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1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weihe/Documents/VT/paper3/data/07312023 Bill Long-Term Mono ICI_month 10,11,12 + MCF7 basal/"/>
    </mc:Choice>
  </mc:AlternateContent>
  <xr:revisionPtr revIDLastSave="0" documentId="13_ncr:1_{CFEF3442-6111-BE4A-9F3C-FF8AF93EA920}" xr6:coauthVersionLast="47" xr6:coauthVersionMax="47" xr10:uidLastSave="{00000000-0000-0000-0000-000000000000}"/>
  <bookViews>
    <workbookView xWindow="1000" yWindow="500" windowWidth="35980" windowHeight="20220" tabRatio="500" activeTab="1" xr2:uid="{00000000-000D-0000-FFFF-FFFF00000000}"/>
  </bookViews>
  <sheets>
    <sheet name="Blot1" sheetId="1" r:id="rId1"/>
    <sheet name="Blot2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7" i="1" l="1"/>
  <c r="H8" i="1"/>
  <c r="G7" i="4"/>
  <c r="H4" i="4"/>
  <c r="H3" i="4"/>
  <c r="H2" i="4"/>
  <c r="H6" i="1"/>
  <c r="H5" i="1"/>
  <c r="G10" i="1"/>
  <c r="G13" i="1" s="1"/>
  <c r="H4" i="1"/>
  <c r="H3" i="1"/>
  <c r="H2" i="1"/>
  <c r="F7" i="4"/>
  <c r="E7" i="4"/>
  <c r="E9" i="4" s="1"/>
  <c r="D7" i="4"/>
  <c r="C7" i="4"/>
  <c r="B7" i="4"/>
  <c r="G16" i="1" l="1"/>
  <c r="G15" i="1"/>
  <c r="G12" i="1"/>
  <c r="G14" i="1"/>
  <c r="C10" i="4"/>
  <c r="G9" i="4"/>
  <c r="F10" i="4"/>
  <c r="G10" i="4"/>
  <c r="B10" i="4"/>
  <c r="D10" i="4"/>
  <c r="H5" i="4"/>
  <c r="E10" i="4"/>
  <c r="B9" i="4"/>
  <c r="F9" i="4"/>
  <c r="C9" i="4"/>
  <c r="D9" i="4"/>
  <c r="F10" i="1"/>
  <c r="E10" i="1"/>
  <c r="D10" i="1"/>
  <c r="C10" i="1"/>
  <c r="B10" i="1"/>
  <c r="C15" i="1" l="1"/>
  <c r="C16" i="1"/>
  <c r="F15" i="1"/>
  <c r="F16" i="1"/>
  <c r="D15" i="1"/>
  <c r="D16" i="1"/>
  <c r="E15" i="1"/>
  <c r="E16" i="1"/>
  <c r="B15" i="1"/>
  <c r="B21" i="1" s="1"/>
  <c r="F28" i="1" s="1"/>
  <c r="B16" i="1"/>
  <c r="B13" i="4"/>
  <c r="F17" i="4" s="1"/>
  <c r="B12" i="4"/>
  <c r="E16" i="4" s="1"/>
  <c r="B13" i="1"/>
  <c r="B12" i="1"/>
  <c r="B14" i="1"/>
  <c r="C14" i="1"/>
  <c r="C12" i="1"/>
  <c r="C13" i="1"/>
  <c r="D14" i="1"/>
  <c r="D12" i="1"/>
  <c r="D13" i="1"/>
  <c r="E14" i="1"/>
  <c r="E12" i="1"/>
  <c r="E13" i="1"/>
  <c r="F13" i="1"/>
  <c r="F14" i="1"/>
  <c r="F12" i="1"/>
  <c r="B16" i="4" l="1"/>
  <c r="F16" i="4"/>
  <c r="C17" i="4"/>
  <c r="C16" i="4"/>
  <c r="D16" i="4"/>
  <c r="G17" i="4"/>
  <c r="B17" i="4"/>
  <c r="D17" i="4"/>
  <c r="G16" i="4"/>
  <c r="E17" i="4"/>
  <c r="B22" i="1"/>
  <c r="G29" i="1" s="1"/>
  <c r="D29" i="1"/>
  <c r="F29" i="1"/>
  <c r="C29" i="1"/>
  <c r="G28" i="1"/>
  <c r="D28" i="1"/>
  <c r="B28" i="1"/>
  <c r="B20" i="1"/>
  <c r="G27" i="1" s="1"/>
  <c r="B18" i="1"/>
  <c r="G25" i="1" s="1"/>
  <c r="B19" i="1"/>
  <c r="G26" i="1" s="1"/>
  <c r="E28" i="1"/>
  <c r="C28" i="1"/>
  <c r="E29" i="1" l="1"/>
  <c r="B29" i="1"/>
  <c r="D27" i="1"/>
  <c r="B27" i="1"/>
  <c r="E26" i="1"/>
  <c r="C26" i="1"/>
  <c r="B26" i="1"/>
  <c r="D26" i="1"/>
  <c r="E27" i="1"/>
  <c r="B25" i="1"/>
  <c r="C27" i="1"/>
  <c r="E25" i="1"/>
  <c r="D25" i="1"/>
  <c r="C25" i="1"/>
  <c r="F27" i="1"/>
  <c r="F26" i="1"/>
  <c r="F25" i="1"/>
</calcChain>
</file>

<file path=xl/sharedStrings.xml><?xml version="1.0" encoding="utf-8"?>
<sst xmlns="http://schemas.openxmlformats.org/spreadsheetml/2006/main" count="72" uniqueCount="15">
  <si>
    <t xml:space="preserve">Normalized </t>
  </si>
  <si>
    <t>Normalized T0</t>
  </si>
  <si>
    <t>Cdk6</t>
  </si>
  <si>
    <t>Cdk4</t>
  </si>
  <si>
    <t>Tubulin_blot1</t>
  </si>
  <si>
    <t>actin_blot2</t>
  </si>
  <si>
    <t>Tubulin_blot2</t>
  </si>
  <si>
    <t>Actin_blot1</t>
  </si>
  <si>
    <t>MCF7</t>
  </si>
  <si>
    <t>RB1</t>
  </si>
  <si>
    <t>CyclinD1</t>
  </si>
  <si>
    <t>ICI mono 12m</t>
  </si>
  <si>
    <t>CyclinE1</t>
  </si>
  <si>
    <t>Cdk2</t>
  </si>
  <si>
    <t>PKMYT1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</si>
</sst>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2"/>
      <color theme="10"/>
      <name val="Calibri"/>
      <family val="2"/>
      <charset val="134"/>
      <scheme val="minor"/>
    </font>
    <font>
      <u/>
      <sz val="12"/>
      <color theme="11"/>
      <name val="Calibri"/>
      <family val="2"/>
      <charset val="134"/>
      <scheme val="minor"/>
    </font>
    <font>
      <sz val="16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6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  <xf numFmtId="164" fontId="4" fillId="0" borderId="0" xfId="0" applyNumberFormat="1" applyFont="1" applyAlignment="1">
      <alignment horizontal="center"/>
    </xf>
    <xf numFmtId="164" fontId="5" fillId="0" borderId="0" xfId="0" applyNumberFormat="1" applyFont="1"/>
    <xf numFmtId="0" fontId="4" fillId="0" borderId="0" xfId="0" applyFont="1" applyFill="1" applyAlignment="1">
      <alignment horizontal="center"/>
    </xf>
    <xf numFmtId="0" fontId="1" fillId="0" borderId="0" xfId="0" applyFont="1" applyFill="1" applyAlignment="1">
      <alignment horizontal="center"/>
    </xf>
  </cellXfs>
  <cellStyles count="36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9"/>
  <sheetViews>
    <sheetView zoomScale="97" zoomScaleNormal="97" workbookViewId="0">
      <selection activeCell="J22" sqref="J22"/>
    </sheetView>
  </sheetViews>
  <sheetFormatPr baseColWidth="10" defaultColWidth="10.83203125" defaultRowHeight="21" x14ac:dyDescent="0.25"/>
  <cols>
    <col min="1" max="1" width="17.33203125" style="1" bestFit="1" customWidth="1"/>
    <col min="2" max="2" width="19.33203125" style="1" customWidth="1"/>
    <col min="3" max="3" width="23.83203125" style="1" customWidth="1"/>
    <col min="4" max="4" width="19.83203125" style="1" customWidth="1"/>
    <col min="5" max="5" width="30.33203125" style="1" customWidth="1"/>
    <col min="6" max="7" width="26.33203125" style="1" customWidth="1"/>
    <col min="8" max="8" width="12" style="1" bestFit="1" customWidth="1"/>
    <col min="9" max="16384" width="10.83203125" style="1"/>
  </cols>
  <sheetData>
    <row r="1" spans="1:8" x14ac:dyDescent="0.25">
      <c r="A1" s="2"/>
      <c r="B1" s="2" t="s">
        <v>8</v>
      </c>
      <c r="C1" s="2" t="s">
        <v>8</v>
      </c>
      <c r="D1" s="2" t="s">
        <v>8</v>
      </c>
      <c r="E1" s="2" t="s">
        <v>11</v>
      </c>
      <c r="F1" s="2" t="s">
        <v>11</v>
      </c>
      <c r="G1" s="2" t="s">
        <v>11</v>
      </c>
      <c r="H1" s="3"/>
    </row>
    <row r="2" spans="1:8" s="7" customFormat="1" x14ac:dyDescent="0.25">
      <c r="A2" s="6" t="s">
        <v>7</v>
      </c>
      <c r="B2" s="7">
        <v>16.591000000000001</v>
      </c>
      <c r="C2" s="7">
        <v>15.347</v>
      </c>
      <c r="D2" s="7">
        <v>15.957000000000001</v>
      </c>
      <c r="E2" s="7">
        <v>18.372</v>
      </c>
      <c r="F2" s="7">
        <v>15.798999999999999</v>
      </c>
      <c r="G2" s="7">
        <v>17.934000000000001</v>
      </c>
      <c r="H2" s="6">
        <f t="shared" ref="H2:H8" si="0">SUM(B2:G2)</f>
        <v>100</v>
      </c>
    </row>
    <row r="3" spans="1:8" s="7" customFormat="1" x14ac:dyDescent="0.25">
      <c r="A3" s="6" t="s">
        <v>4</v>
      </c>
      <c r="B3" s="7">
        <v>18.044</v>
      </c>
      <c r="C3" s="7">
        <v>19.539000000000001</v>
      </c>
      <c r="D3" s="7">
        <v>16.917000000000002</v>
      </c>
      <c r="E3" s="7">
        <v>14.9</v>
      </c>
      <c r="F3" s="7">
        <v>12.427</v>
      </c>
      <c r="G3" s="7">
        <v>18.172999999999998</v>
      </c>
      <c r="H3" s="6">
        <f t="shared" si="0"/>
        <v>100</v>
      </c>
    </row>
    <row r="4" spans="1:8" s="7" customFormat="1" x14ac:dyDescent="0.25">
      <c r="A4" s="6" t="s">
        <v>10</v>
      </c>
      <c r="B4" s="7">
        <v>28.297999999999998</v>
      </c>
      <c r="C4" s="7">
        <v>29.367000000000001</v>
      </c>
      <c r="D4" s="7">
        <v>20.303999999999998</v>
      </c>
      <c r="E4" s="7">
        <v>10.427</v>
      </c>
      <c r="F4" s="7">
        <v>2.9689999999999999</v>
      </c>
      <c r="G4" s="7">
        <v>8.6349999999999998</v>
      </c>
      <c r="H4" s="6">
        <f t="shared" si="0"/>
        <v>99.999999999999986</v>
      </c>
    </row>
    <row r="5" spans="1:8" s="7" customFormat="1" x14ac:dyDescent="0.25">
      <c r="A5" s="6" t="s">
        <v>12</v>
      </c>
      <c r="B5" s="7">
        <v>23.175999999999998</v>
      </c>
      <c r="C5" s="7">
        <v>29.437000000000001</v>
      </c>
      <c r="D5" s="7">
        <v>22.734999999999999</v>
      </c>
      <c r="E5" s="7">
        <v>13.115</v>
      </c>
      <c r="F5" s="7">
        <v>3.3460000000000001</v>
      </c>
      <c r="G5" s="7">
        <v>8.1910000000000007</v>
      </c>
      <c r="H5" s="6">
        <f t="shared" si="0"/>
        <v>100</v>
      </c>
    </row>
    <row r="6" spans="1:8" s="7" customFormat="1" x14ac:dyDescent="0.25">
      <c r="A6" s="6" t="s">
        <v>9</v>
      </c>
      <c r="B6" s="7">
        <v>9.9390000000000001</v>
      </c>
      <c r="C6" s="7">
        <v>29.207000000000001</v>
      </c>
      <c r="D6" s="7">
        <v>21.68</v>
      </c>
      <c r="E6" s="7">
        <v>25.172000000000001</v>
      </c>
      <c r="F6" s="7">
        <v>10.962</v>
      </c>
      <c r="G6" s="7">
        <v>3.04</v>
      </c>
      <c r="H6" s="6">
        <f t="shared" si="0"/>
        <v>100.00000000000001</v>
      </c>
    </row>
    <row r="7" spans="1:8" s="7" customFormat="1" x14ac:dyDescent="0.25">
      <c r="A7" s="6" t="s">
        <v>13</v>
      </c>
      <c r="B7" s="7">
        <v>17.117000000000001</v>
      </c>
      <c r="C7" s="7">
        <v>18.126999999999999</v>
      </c>
      <c r="D7" s="7">
        <v>15.487</v>
      </c>
      <c r="E7" s="7">
        <v>16.187000000000001</v>
      </c>
      <c r="F7" s="7">
        <v>11.577999999999999</v>
      </c>
      <c r="G7" s="7">
        <v>21.504000000000001</v>
      </c>
      <c r="H7" s="6">
        <f t="shared" si="0"/>
        <v>100.00000000000001</v>
      </c>
    </row>
    <row r="8" spans="1:8" s="7" customFormat="1" x14ac:dyDescent="0.25">
      <c r="A8" s="7" t="s">
        <v>14</v>
      </c>
      <c r="B8" s="7">
        <v>18.099</v>
      </c>
      <c r="C8" s="7">
        <v>19.718</v>
      </c>
      <c r="D8" s="7">
        <v>13.561</v>
      </c>
      <c r="E8" s="7">
        <v>16.042999999999999</v>
      </c>
      <c r="F8" s="7">
        <v>11.358000000000001</v>
      </c>
      <c r="G8" s="7">
        <v>21.221</v>
      </c>
      <c r="H8" s="7">
        <f t="shared" si="0"/>
        <v>100</v>
      </c>
    </row>
    <row r="9" spans="1:8" x14ac:dyDescent="0.25">
      <c r="C9" s="2"/>
      <c r="D9" s="2"/>
      <c r="E9" s="2"/>
      <c r="F9" s="2"/>
      <c r="G9" s="2"/>
      <c r="H9" s="2"/>
    </row>
    <row r="10" spans="1:8" x14ac:dyDescent="0.25">
      <c r="A10" s="2"/>
      <c r="B10" s="2">
        <f t="shared" ref="B10:G10" si="1">AVERAGE(B2:B3)</f>
        <v>17.317500000000003</v>
      </c>
      <c r="C10" s="2">
        <f t="shared" si="1"/>
        <v>17.443000000000001</v>
      </c>
      <c r="D10" s="2">
        <f t="shared" si="1"/>
        <v>16.437000000000001</v>
      </c>
      <c r="E10" s="2">
        <f t="shared" si="1"/>
        <v>16.635999999999999</v>
      </c>
      <c r="F10" s="2">
        <f t="shared" si="1"/>
        <v>14.113</v>
      </c>
      <c r="G10" s="2">
        <f t="shared" si="1"/>
        <v>18.0535</v>
      </c>
      <c r="H10" s="3"/>
    </row>
    <row r="11" spans="1:8" x14ac:dyDescent="0.25">
      <c r="A11" s="2" t="s">
        <v>0</v>
      </c>
      <c r="B11" s="2" t="s">
        <v>8</v>
      </c>
      <c r="C11" s="2" t="s">
        <v>8</v>
      </c>
      <c r="D11" s="2" t="s">
        <v>8</v>
      </c>
      <c r="E11" s="2" t="s">
        <v>11</v>
      </c>
      <c r="F11" s="2" t="s">
        <v>11</v>
      </c>
      <c r="G11" s="2" t="s">
        <v>11</v>
      </c>
      <c r="H11" s="3"/>
    </row>
    <row r="12" spans="1:8" x14ac:dyDescent="0.25">
      <c r="A12" s="2" t="s">
        <v>10</v>
      </c>
      <c r="B12" s="4">
        <f t="shared" ref="B12:G12" si="2">B4 /B10</f>
        <v>1.6340695827919731</v>
      </c>
      <c r="C12" s="4">
        <f t="shared" si="2"/>
        <v>1.6835980049303445</v>
      </c>
      <c r="D12" s="4">
        <f t="shared" si="2"/>
        <v>1.2352619091075012</v>
      </c>
      <c r="E12" s="4">
        <f t="shared" si="2"/>
        <v>0.62677326280355861</v>
      </c>
      <c r="F12" s="4">
        <f t="shared" si="2"/>
        <v>0.21037341458229999</v>
      </c>
      <c r="G12" s="4">
        <f t="shared" si="2"/>
        <v>0.47830060653058964</v>
      </c>
      <c r="H12" s="5"/>
    </row>
    <row r="13" spans="1:8" x14ac:dyDescent="0.25">
      <c r="A13" s="2" t="s">
        <v>12</v>
      </c>
      <c r="B13" s="4">
        <f t="shared" ref="B13:G13" si="3">B5/B10</f>
        <v>1.33829940811318</v>
      </c>
      <c r="C13" s="4">
        <f t="shared" si="3"/>
        <v>1.687611076076363</v>
      </c>
      <c r="D13" s="4">
        <f t="shared" si="3"/>
        <v>1.3831599440287157</v>
      </c>
      <c r="E13" s="4">
        <f t="shared" si="3"/>
        <v>0.78835056503967305</v>
      </c>
      <c r="F13" s="4">
        <f t="shared" si="3"/>
        <v>0.2370863742648622</v>
      </c>
      <c r="G13" s="4">
        <f t="shared" si="3"/>
        <v>0.45370703741656748</v>
      </c>
      <c r="H13" s="5"/>
    </row>
    <row r="14" spans="1:8" x14ac:dyDescent="0.25">
      <c r="A14" s="2" t="s">
        <v>9</v>
      </c>
      <c r="B14" s="4">
        <f t="shared" ref="B14:G14" si="4">B6/B10</f>
        <v>0.57392810740580325</v>
      </c>
      <c r="C14" s="4">
        <f t="shared" si="4"/>
        <v>1.6744252708823022</v>
      </c>
      <c r="D14" s="4">
        <f t="shared" si="4"/>
        <v>1.3189754821439434</v>
      </c>
      <c r="E14" s="4">
        <f t="shared" si="4"/>
        <v>1.5131041115652801</v>
      </c>
      <c r="F14" s="4">
        <f t="shared" si="4"/>
        <v>0.77673067384680794</v>
      </c>
      <c r="G14" s="4">
        <f t="shared" si="4"/>
        <v>0.168388401141053</v>
      </c>
      <c r="H14" s="5"/>
    </row>
    <row r="15" spans="1:8" x14ac:dyDescent="0.25">
      <c r="A15" s="2" t="s">
        <v>13</v>
      </c>
      <c r="B15" s="4">
        <f t="shared" ref="B15:G15" si="5">B7/B10</f>
        <v>0.98842211635628685</v>
      </c>
      <c r="C15" s="4">
        <f t="shared" si="5"/>
        <v>1.0392134380553801</v>
      </c>
      <c r="D15" s="4">
        <f t="shared" si="5"/>
        <v>0.94220356512745629</v>
      </c>
      <c r="E15" s="4">
        <f t="shared" si="5"/>
        <v>0.97301033902380396</v>
      </c>
      <c r="F15" s="4">
        <f t="shared" si="5"/>
        <v>0.82037837454828877</v>
      </c>
      <c r="G15" s="4">
        <f t="shared" si="5"/>
        <v>1.191126374387238</v>
      </c>
      <c r="H15" s="5"/>
    </row>
    <row r="16" spans="1:8" x14ac:dyDescent="0.25">
      <c r="A16" s="1" t="s">
        <v>14</v>
      </c>
      <c r="B16" s="4">
        <f>B8/B10</f>
        <v>1.0451277609354697</v>
      </c>
      <c r="C16" s="4">
        <f t="shared" ref="C16:F16" si="6">C8/C10</f>
        <v>1.1304248122455998</v>
      </c>
      <c r="D16" s="4">
        <f t="shared" si="6"/>
        <v>0.82502889821743619</v>
      </c>
      <c r="E16" s="4">
        <f t="shared" si="6"/>
        <v>0.96435441211829764</v>
      </c>
      <c r="F16" s="4">
        <f t="shared" si="6"/>
        <v>0.80478991001204569</v>
      </c>
      <c r="G16" s="4">
        <f>G8/G10</f>
        <v>1.1754507436231203</v>
      </c>
      <c r="H16" s="5"/>
    </row>
    <row r="17" spans="1:8" x14ac:dyDescent="0.25">
      <c r="A17" s="2"/>
      <c r="B17" s="4"/>
      <c r="C17" s="4"/>
      <c r="D17" s="4"/>
      <c r="E17" s="4"/>
      <c r="F17" s="4"/>
      <c r="G17" s="4"/>
      <c r="H17" s="5"/>
    </row>
    <row r="18" spans="1:8" x14ac:dyDescent="0.25">
      <c r="A18" s="2" t="s">
        <v>10</v>
      </c>
      <c r="B18" s="4">
        <f>AVERAGE(B12:D12)</f>
        <v>1.5176431656099396</v>
      </c>
      <c r="C18" s="4"/>
      <c r="D18" s="4"/>
      <c r="E18" s="4"/>
      <c r="F18" s="4"/>
      <c r="G18" s="4"/>
      <c r="H18" s="5"/>
    </row>
    <row r="19" spans="1:8" x14ac:dyDescent="0.25">
      <c r="A19" s="2" t="s">
        <v>12</v>
      </c>
      <c r="B19" s="4">
        <f>AVERAGE(B13:D13)</f>
        <v>1.4696901427394196</v>
      </c>
      <c r="C19" s="4"/>
      <c r="D19" s="4"/>
      <c r="E19" s="4"/>
      <c r="F19" s="4"/>
      <c r="G19" s="4"/>
      <c r="H19" s="5"/>
    </row>
    <row r="20" spans="1:8" x14ac:dyDescent="0.25">
      <c r="A20" s="2" t="s">
        <v>9</v>
      </c>
      <c r="B20" s="4">
        <f>AVERAGE(B14:D14)</f>
        <v>1.1891096201440163</v>
      </c>
      <c r="C20" s="4"/>
      <c r="D20" s="4"/>
      <c r="E20" s="4"/>
      <c r="F20" s="4"/>
      <c r="G20" s="4"/>
      <c r="H20" s="5"/>
    </row>
    <row r="21" spans="1:8" x14ac:dyDescent="0.25">
      <c r="A21" s="2" t="s">
        <v>13</v>
      </c>
      <c r="B21" s="4">
        <f>AVERAGE(B15:D15)</f>
        <v>0.98994637317970768</v>
      </c>
      <c r="C21" s="4"/>
      <c r="D21" s="4"/>
      <c r="E21" s="4"/>
      <c r="F21" s="4"/>
      <c r="G21" s="4"/>
      <c r="H21" s="3"/>
    </row>
    <row r="22" spans="1:8" x14ac:dyDescent="0.25">
      <c r="A22" s="1" t="s">
        <v>14</v>
      </c>
      <c r="B22" s="4">
        <f>AVERAGE(B16:D16)</f>
        <v>1.0001938237995018</v>
      </c>
      <c r="C22" s="4"/>
      <c r="D22" s="4"/>
      <c r="E22" s="4"/>
      <c r="F22" s="4"/>
      <c r="G22" s="4"/>
      <c r="H22" s="3"/>
    </row>
    <row r="23" spans="1:8" x14ac:dyDescent="0.25">
      <c r="A23" s="2"/>
      <c r="B23" s="4"/>
      <c r="C23" s="4"/>
      <c r="D23" s="4"/>
      <c r="E23" s="4"/>
      <c r="F23" s="4"/>
      <c r="G23" s="4"/>
      <c r="H23" s="3"/>
    </row>
    <row r="24" spans="1:8" x14ac:dyDescent="0.25">
      <c r="A24" s="2" t="s">
        <v>1</v>
      </c>
      <c r="B24" s="2" t="s">
        <v>8</v>
      </c>
      <c r="C24" s="2" t="s">
        <v>8</v>
      </c>
      <c r="D24" s="2" t="s">
        <v>8</v>
      </c>
      <c r="E24" s="2" t="s">
        <v>11</v>
      </c>
      <c r="F24" s="2" t="s">
        <v>11</v>
      </c>
      <c r="G24" s="2" t="s">
        <v>11</v>
      </c>
      <c r="H24" s="3"/>
    </row>
    <row r="25" spans="1:8" x14ac:dyDescent="0.25">
      <c r="A25" s="2" t="s">
        <v>10</v>
      </c>
      <c r="B25" s="4">
        <f>B12/B18</f>
        <v>1.0767152778863152</v>
      </c>
      <c r="C25" s="4">
        <f>C12/B18</f>
        <v>1.1093503684403361</v>
      </c>
      <c r="D25" s="4">
        <f>D12/B18</f>
        <v>0.81393435367334876</v>
      </c>
      <c r="E25" s="4">
        <f>E12/B18</f>
        <v>0.41299119385001082</v>
      </c>
      <c r="F25" s="4">
        <f>F12/B18</f>
        <v>0.13861849698888282</v>
      </c>
      <c r="G25" s="4">
        <f>G12/B18</f>
        <v>0.31516012285955308</v>
      </c>
      <c r="H25" s="3"/>
    </row>
    <row r="26" spans="1:8" x14ac:dyDescent="0.25">
      <c r="A26" s="2" t="s">
        <v>12</v>
      </c>
      <c r="B26" s="4">
        <f>B13/B19</f>
        <v>0.91059970343045604</v>
      </c>
      <c r="C26" s="1">
        <f>C13/B19</f>
        <v>1.1482767877389115</v>
      </c>
      <c r="D26" s="1">
        <f>D13/B19</f>
        <v>0.94112350883063256</v>
      </c>
      <c r="E26" s="1">
        <f>E13/B19</f>
        <v>0.53640596892773063</v>
      </c>
      <c r="F26" s="1">
        <f>F13/B19</f>
        <v>0.16131725141936828</v>
      </c>
      <c r="G26" s="1">
        <f>G13/B19</f>
        <v>0.30870931512875438</v>
      </c>
    </row>
    <row r="27" spans="1:8" x14ac:dyDescent="0.25">
      <c r="A27" s="2" t="s">
        <v>9</v>
      </c>
      <c r="B27" s="4">
        <f>B14/B20</f>
        <v>0.48265365756295303</v>
      </c>
      <c r="C27" s="4">
        <f>C14/B20</f>
        <v>1.4081336510249642</v>
      </c>
      <c r="D27" s="4">
        <f>D14/B20</f>
        <v>1.1092126914120826</v>
      </c>
      <c r="E27" s="4">
        <f>E14/B20</f>
        <v>1.272468144174987</v>
      </c>
      <c r="F27" s="4">
        <f>F14/B20</f>
        <v>0.65320359089579638</v>
      </c>
      <c r="G27" s="4">
        <f>G14/B20</f>
        <v>0.14160881241601511</v>
      </c>
    </row>
    <row r="28" spans="1:8" x14ac:dyDescent="0.25">
      <c r="A28" s="2" t="s">
        <v>13</v>
      </c>
      <c r="B28" s="1">
        <f>B15/B21</f>
        <v>0.99846026323777026</v>
      </c>
      <c r="C28" s="1">
        <f>C15/B21</f>
        <v>1.0497674078217254</v>
      </c>
      <c r="D28" s="1">
        <f>D15/B21</f>
        <v>0.95177232894050467</v>
      </c>
      <c r="E28" s="1">
        <f>E15/B21</f>
        <v>0.98289196807549772</v>
      </c>
      <c r="F28" s="1">
        <f>F15/B21</f>
        <v>0.82870991477369982</v>
      </c>
      <c r="G28" s="1">
        <f>G15/B21</f>
        <v>1.2032231307250918</v>
      </c>
    </row>
    <row r="29" spans="1:8" x14ac:dyDescent="0.25">
      <c r="A29" s="1" t="s">
        <v>14</v>
      </c>
      <c r="B29" s="1">
        <f>B16/B22</f>
        <v>1.0449252295572815</v>
      </c>
      <c r="C29" s="1">
        <f>C16/B22</f>
        <v>1.1302057514726305</v>
      </c>
      <c r="D29" s="1">
        <f>D16/B22</f>
        <v>0.82486901897008802</v>
      </c>
      <c r="E29" s="1">
        <f>E16/B22</f>
        <v>0.96416753350359763</v>
      </c>
      <c r="F29" s="1">
        <f>F16/B22</f>
        <v>0.80463395280210537</v>
      </c>
      <c r="G29" s="1">
        <f>G16/B22</f>
        <v>1.1752229574442468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D21" sqref="D21"/>
    </sheetView>
  </sheetViews>
  <sheetFormatPr baseColWidth="10" defaultColWidth="10.83203125" defaultRowHeight="21" x14ac:dyDescent="0.25"/>
  <cols>
    <col min="1" max="1" width="23.6640625" style="1" customWidth="1"/>
    <col min="2" max="2" width="19.6640625" style="1" customWidth="1"/>
    <col min="3" max="3" width="27.6640625" style="1" customWidth="1"/>
    <col min="4" max="4" width="26" style="1" customWidth="1"/>
    <col min="5" max="5" width="28.1640625" style="1" customWidth="1"/>
    <col min="6" max="6" width="25.6640625" style="1" customWidth="1"/>
    <col min="7" max="7" width="31.5" style="1" customWidth="1"/>
    <col min="8" max="8" width="12" style="1" bestFit="1" customWidth="1"/>
    <col min="9" max="16384" width="10.83203125" style="1"/>
  </cols>
  <sheetData>
    <row r="1" spans="1:8" x14ac:dyDescent="0.25">
      <c r="A1" s="2"/>
      <c r="B1" s="2" t="s">
        <v>8</v>
      </c>
      <c r="C1" s="2" t="s">
        <v>8</v>
      </c>
      <c r="D1" s="2" t="s">
        <v>8</v>
      </c>
      <c r="E1" s="2" t="s">
        <v>11</v>
      </c>
      <c r="F1" s="2" t="s">
        <v>11</v>
      </c>
      <c r="G1" s="2" t="s">
        <v>11</v>
      </c>
      <c r="H1" s="3"/>
    </row>
    <row r="2" spans="1:8" s="7" customFormat="1" x14ac:dyDescent="0.25">
      <c r="A2" s="6" t="s">
        <v>5</v>
      </c>
      <c r="B2" s="7">
        <v>17.594999999999999</v>
      </c>
      <c r="C2" s="7">
        <v>16.440999999999999</v>
      </c>
      <c r="D2" s="7">
        <v>15.965</v>
      </c>
      <c r="E2" s="7">
        <v>17.530999999999999</v>
      </c>
      <c r="F2" s="7">
        <v>16.181999999999999</v>
      </c>
      <c r="G2" s="7">
        <v>16.286000000000001</v>
      </c>
      <c r="H2" s="6">
        <f t="shared" ref="H2:H5" si="0">SUM(B2:G2)</f>
        <v>100.00000000000001</v>
      </c>
    </row>
    <row r="3" spans="1:8" s="7" customFormat="1" x14ac:dyDescent="0.25">
      <c r="A3" s="6" t="s">
        <v>6</v>
      </c>
      <c r="B3" s="7">
        <v>18.452999999999999</v>
      </c>
      <c r="C3" s="7">
        <v>18.21</v>
      </c>
      <c r="D3" s="7">
        <v>17.79</v>
      </c>
      <c r="E3" s="7">
        <v>14.419</v>
      </c>
      <c r="F3" s="7">
        <v>13.227</v>
      </c>
      <c r="G3" s="7">
        <v>17.901</v>
      </c>
      <c r="H3" s="6">
        <f t="shared" si="0"/>
        <v>100</v>
      </c>
    </row>
    <row r="4" spans="1:8" s="7" customFormat="1" x14ac:dyDescent="0.25">
      <c r="A4" s="6" t="s">
        <v>3</v>
      </c>
      <c r="B4" s="7">
        <v>16.978999999999999</v>
      </c>
      <c r="C4" s="7">
        <v>20.32</v>
      </c>
      <c r="D4" s="7">
        <v>18.696999999999999</v>
      </c>
      <c r="E4" s="7">
        <v>14.103</v>
      </c>
      <c r="F4" s="7">
        <v>13.090999999999999</v>
      </c>
      <c r="G4" s="7">
        <v>16.809999999999999</v>
      </c>
      <c r="H4" s="6">
        <f t="shared" si="0"/>
        <v>99.999999999999986</v>
      </c>
    </row>
    <row r="5" spans="1:8" s="7" customFormat="1" x14ac:dyDescent="0.25">
      <c r="A5" s="6" t="s">
        <v>2</v>
      </c>
      <c r="B5" s="7">
        <v>8.3699999999999992</v>
      </c>
      <c r="C5" s="7">
        <v>7.0410000000000004</v>
      </c>
      <c r="D5" s="7">
        <v>4.79</v>
      </c>
      <c r="E5" s="7">
        <v>25.983000000000001</v>
      </c>
      <c r="F5" s="7">
        <v>24.012</v>
      </c>
      <c r="G5" s="7">
        <v>29.803999999999998</v>
      </c>
      <c r="H5" s="6">
        <f t="shared" si="0"/>
        <v>100</v>
      </c>
    </row>
    <row r="6" spans="1:8" x14ac:dyDescent="0.25">
      <c r="A6" s="2"/>
      <c r="B6" s="2"/>
      <c r="C6" s="2"/>
      <c r="D6" s="2"/>
      <c r="E6" s="2"/>
      <c r="F6" s="2"/>
      <c r="G6" s="2"/>
      <c r="H6" s="2"/>
    </row>
    <row r="7" spans="1:8" x14ac:dyDescent="0.25">
      <c r="A7" s="2"/>
      <c r="B7" s="2">
        <f t="shared" ref="B7:G7" si="1">AVERAGE(B2:B3)</f>
        <v>18.024000000000001</v>
      </c>
      <c r="C7" s="2">
        <f t="shared" si="1"/>
        <v>17.325499999999998</v>
      </c>
      <c r="D7" s="2">
        <f t="shared" si="1"/>
        <v>16.877499999999998</v>
      </c>
      <c r="E7" s="2">
        <f t="shared" si="1"/>
        <v>15.975</v>
      </c>
      <c r="F7" s="2">
        <f t="shared" si="1"/>
        <v>14.704499999999999</v>
      </c>
      <c r="G7" s="2">
        <f t="shared" si="1"/>
        <v>17.093499999999999</v>
      </c>
      <c r="H7" s="3"/>
    </row>
    <row r="8" spans="1:8" x14ac:dyDescent="0.25">
      <c r="A8" s="2" t="s">
        <v>0</v>
      </c>
      <c r="B8" s="2" t="s">
        <v>8</v>
      </c>
      <c r="C8" s="2" t="s">
        <v>8</v>
      </c>
      <c r="D8" s="2" t="s">
        <v>8</v>
      </c>
      <c r="E8" s="2" t="s">
        <v>11</v>
      </c>
      <c r="F8" s="2" t="s">
        <v>11</v>
      </c>
      <c r="G8" s="2" t="s">
        <v>11</v>
      </c>
      <c r="H8" s="3"/>
    </row>
    <row r="9" spans="1:8" x14ac:dyDescent="0.25">
      <c r="A9" s="2" t="s">
        <v>3</v>
      </c>
      <c r="B9" s="4">
        <f t="shared" ref="B9:G9" si="2">B4/B7</f>
        <v>0.94202174877940514</v>
      </c>
      <c r="C9" s="4">
        <f t="shared" si="2"/>
        <v>1.1728377247409889</v>
      </c>
      <c r="D9" s="4">
        <f t="shared" si="2"/>
        <v>1.1078062509257889</v>
      </c>
      <c r="E9" s="4">
        <f t="shared" si="2"/>
        <v>0.8828169014084507</v>
      </c>
      <c r="F9" s="4">
        <f t="shared" si="2"/>
        <v>0.8902716855384406</v>
      </c>
      <c r="G9" s="4">
        <f t="shared" si="2"/>
        <v>0.98341474829613595</v>
      </c>
      <c r="H9" s="5"/>
    </row>
    <row r="10" spans="1:8" x14ac:dyDescent="0.25">
      <c r="A10" s="2" t="s">
        <v>2</v>
      </c>
      <c r="B10" s="4">
        <f t="shared" ref="B10:G10" si="3">B5/B7</f>
        <v>0.46438082556591204</v>
      </c>
      <c r="C10" s="4">
        <f t="shared" si="3"/>
        <v>0.4063951978297885</v>
      </c>
      <c r="D10" s="4">
        <f t="shared" si="3"/>
        <v>0.28380980595467342</v>
      </c>
      <c r="E10" s="4">
        <f t="shared" si="3"/>
        <v>1.6264788732394366</v>
      </c>
      <c r="F10" s="4">
        <f t="shared" si="3"/>
        <v>1.6329694991329187</v>
      </c>
      <c r="G10" s="4">
        <f t="shared" si="3"/>
        <v>1.7435867434989909</v>
      </c>
      <c r="H10" s="5"/>
    </row>
    <row r="11" spans="1:8" x14ac:dyDescent="0.25">
      <c r="A11" s="2"/>
      <c r="B11" s="4"/>
      <c r="C11" s="4"/>
      <c r="D11" s="4"/>
      <c r="E11" s="4"/>
      <c r="F11" s="4"/>
      <c r="G11" s="4"/>
      <c r="H11" s="5"/>
    </row>
    <row r="12" spans="1:8" x14ac:dyDescent="0.25">
      <c r="A12" s="2" t="s">
        <v>3</v>
      </c>
      <c r="B12" s="4">
        <f>AVERAGE(B9:D9)</f>
        <v>1.0742219081487276</v>
      </c>
      <c r="C12" s="4"/>
      <c r="D12" s="4"/>
      <c r="E12" s="4"/>
      <c r="F12" s="4"/>
      <c r="G12" s="4"/>
      <c r="H12" s="5"/>
    </row>
    <row r="13" spans="1:8" x14ac:dyDescent="0.25">
      <c r="A13" s="2" t="s">
        <v>2</v>
      </c>
      <c r="B13" s="4">
        <f>AVERAGE(B10:D10)</f>
        <v>0.38486194311679128</v>
      </c>
      <c r="C13" s="4"/>
      <c r="D13" s="4"/>
      <c r="E13" s="4"/>
      <c r="F13" s="4"/>
      <c r="G13" s="4"/>
      <c r="H13" s="3"/>
    </row>
    <row r="14" spans="1:8" x14ac:dyDescent="0.25">
      <c r="A14" s="2"/>
      <c r="B14" s="4"/>
      <c r="C14" s="4"/>
      <c r="D14" s="4"/>
      <c r="E14" s="4"/>
      <c r="F14" s="4"/>
      <c r="G14" s="4"/>
      <c r="H14" s="3"/>
    </row>
    <row r="15" spans="1:8" x14ac:dyDescent="0.25">
      <c r="A15" s="2" t="s">
        <v>1</v>
      </c>
      <c r="B15" s="2" t="s">
        <v>8</v>
      </c>
      <c r="C15" s="2" t="s">
        <v>8</v>
      </c>
      <c r="D15" s="2" t="s">
        <v>8</v>
      </c>
      <c r="E15" s="2" t="s">
        <v>11</v>
      </c>
      <c r="F15" s="2" t="s">
        <v>11</v>
      </c>
      <c r="G15" s="2" t="s">
        <v>11</v>
      </c>
      <c r="H15" s="3"/>
    </row>
    <row r="16" spans="1:8" x14ac:dyDescent="0.25">
      <c r="A16" s="2" t="s">
        <v>3</v>
      </c>
      <c r="B16" s="4">
        <f>B9/B12</f>
        <v>0.87693403163118211</v>
      </c>
      <c r="C16" s="4">
        <f>C9/B12</f>
        <v>1.091802090279663</v>
      </c>
      <c r="D16" s="4">
        <f>D9/B12</f>
        <v>1.031263878089155</v>
      </c>
      <c r="E16" s="4">
        <f>E9/B12</f>
        <v>0.82181986302054022</v>
      </c>
      <c r="F16" s="4">
        <f>F9/B12</f>
        <v>0.82875956893552871</v>
      </c>
      <c r="G16" s="4">
        <f>G9/B12</f>
        <v>0.91546703789621531</v>
      </c>
      <c r="H16" s="3"/>
    </row>
    <row r="17" spans="1:8" x14ac:dyDescent="0.25">
      <c r="A17" s="2" t="s">
        <v>2</v>
      </c>
      <c r="B17" s="4">
        <f>B10/B13</f>
        <v>1.2066166423344948</v>
      </c>
      <c r="C17" s="4">
        <f>C10/B13</f>
        <v>1.0559505950071626</v>
      </c>
      <c r="D17" s="4">
        <f>D10/B13</f>
        <v>0.7374327626583429</v>
      </c>
      <c r="E17" s="4">
        <f>E10/B13</f>
        <v>4.2261358971153475</v>
      </c>
      <c r="F17" s="4">
        <f>F10/B13</f>
        <v>4.243000713212564</v>
      </c>
      <c r="G17" s="4">
        <f>G10/B13</f>
        <v>4.5304212969944837</v>
      </c>
      <c r="H17" s="3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Blot1</vt:lpstr>
      <vt:lpstr>Blot2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craftsman</dc:creator>
  <cp:lastModifiedBy>Wei He</cp:lastModifiedBy>
  <dcterms:created xsi:type="dcterms:W3CDTF">2018-04-30T15:36:49Z</dcterms:created>
  <dcterms:modified xsi:type="dcterms:W3CDTF">2023-08-11T02:01:33Z</dcterms:modified>
</cp:coreProperties>
</file>