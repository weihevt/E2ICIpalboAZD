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weihe/Documents/VT/R01/E2ER model 12month/Westernblot/010923 Bill Long-Term cells 12+mo (basal, mono palbo, alt Palbo-arm, alt AZD+ICI-arm_3reps_Run#1/"/>
    </mc:Choice>
  </mc:AlternateContent>
  <xr:revisionPtr revIDLastSave="0" documentId="13_ncr:1_{AD8C6242-9A02-1E49-8DCF-A0EF29B2AED7}" xr6:coauthVersionLast="47" xr6:coauthVersionMax="47" xr10:uidLastSave="{00000000-0000-0000-0000-000000000000}"/>
  <bookViews>
    <workbookView xWindow="2720" yWindow="3380" windowWidth="34860" windowHeight="16560" tabRatio="500" activeTab="1" xr2:uid="{00000000-000D-0000-FFFF-FFFF00000000}"/>
  </bookViews>
  <sheets>
    <sheet name="Blot1" sheetId="1" r:id="rId1"/>
    <sheet name="Blot2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3" i="1" l="1"/>
  <c r="F13" i="1"/>
  <c r="E13" i="1"/>
  <c r="C13" i="1"/>
  <c r="H13" i="1" s="1"/>
  <c r="G18" i="4"/>
  <c r="H9" i="4"/>
  <c r="H8" i="4"/>
  <c r="G11" i="4"/>
  <c r="G16" i="4" s="1"/>
  <c r="H7" i="4"/>
  <c r="B6" i="4"/>
  <c r="C6" i="4"/>
  <c r="G6" i="4"/>
  <c r="F6" i="4"/>
  <c r="E6" i="4"/>
  <c r="D6" i="4"/>
  <c r="H5" i="4"/>
  <c r="H4" i="4"/>
  <c r="H3" i="4"/>
  <c r="H2" i="4"/>
  <c r="H12" i="1"/>
  <c r="H11" i="1"/>
  <c r="H10" i="1"/>
  <c r="H9" i="1"/>
  <c r="G15" i="1"/>
  <c r="G20" i="1" s="1"/>
  <c r="H8" i="1"/>
  <c r="H7" i="1"/>
  <c r="H6" i="1"/>
  <c r="H4" i="1"/>
  <c r="H5" i="1"/>
  <c r="H3" i="1"/>
  <c r="H2" i="1"/>
  <c r="F11" i="4"/>
  <c r="F13" i="4" s="1"/>
  <c r="E11" i="4"/>
  <c r="E14" i="4" s="1"/>
  <c r="D11" i="4"/>
  <c r="D16" i="4" s="1"/>
  <c r="C11" i="4"/>
  <c r="C16" i="4" s="1"/>
  <c r="B11" i="4"/>
  <c r="B13" i="4" s="1"/>
  <c r="B21" i="4" s="1"/>
  <c r="C18" i="4" l="1"/>
  <c r="C15" i="4"/>
  <c r="F18" i="4"/>
  <c r="B18" i="4"/>
  <c r="G26" i="1"/>
  <c r="D18" i="4"/>
  <c r="D26" i="4" s="1"/>
  <c r="E18" i="4"/>
  <c r="E26" i="4" s="1"/>
  <c r="C26" i="1"/>
  <c r="C38" i="1" s="1"/>
  <c r="G24" i="1"/>
  <c r="G22" i="1"/>
  <c r="G25" i="1"/>
  <c r="G13" i="4"/>
  <c r="G21" i="4" s="1"/>
  <c r="G14" i="4"/>
  <c r="F15" i="4"/>
  <c r="G15" i="4"/>
  <c r="G17" i="4"/>
  <c r="F17" i="4"/>
  <c r="C17" i="4"/>
  <c r="B17" i="4"/>
  <c r="B25" i="4" s="1"/>
  <c r="D17" i="4"/>
  <c r="B15" i="4"/>
  <c r="B23" i="4" s="1"/>
  <c r="D15" i="4"/>
  <c r="E17" i="4"/>
  <c r="E16" i="4"/>
  <c r="H6" i="4"/>
  <c r="B16" i="4"/>
  <c r="B24" i="4" s="1"/>
  <c r="E15" i="4"/>
  <c r="F16" i="4"/>
  <c r="G21" i="1"/>
  <c r="G23" i="1"/>
  <c r="G18" i="1"/>
  <c r="G17" i="1"/>
  <c r="G19" i="1"/>
  <c r="F21" i="4"/>
  <c r="C13" i="4"/>
  <c r="C21" i="4" s="1"/>
  <c r="B14" i="4"/>
  <c r="B22" i="4" s="1"/>
  <c r="F14" i="4"/>
  <c r="D13" i="4"/>
  <c r="D21" i="4" s="1"/>
  <c r="C14" i="4"/>
  <c r="E13" i="4"/>
  <c r="E21" i="4" s="1"/>
  <c r="D14" i="4"/>
  <c r="F15" i="1"/>
  <c r="F26" i="1" s="1"/>
  <c r="E15" i="1"/>
  <c r="E26" i="1" s="1"/>
  <c r="D15" i="1"/>
  <c r="D26" i="1" s="1"/>
  <c r="C15" i="1"/>
  <c r="B15" i="1"/>
  <c r="B26" i="1" s="1"/>
  <c r="B38" i="1" s="1"/>
  <c r="G38" i="1" l="1"/>
  <c r="D38" i="1"/>
  <c r="G26" i="4"/>
  <c r="B26" i="4"/>
  <c r="E38" i="1"/>
  <c r="F26" i="4"/>
  <c r="F38" i="1"/>
  <c r="C26" i="4"/>
  <c r="D24" i="1"/>
  <c r="D25" i="1"/>
  <c r="B24" i="1"/>
  <c r="B36" i="1" s="1"/>
  <c r="B25" i="1"/>
  <c r="B37" i="1" s="1"/>
  <c r="C24" i="1"/>
  <c r="C25" i="1"/>
  <c r="E24" i="1"/>
  <c r="E25" i="1"/>
  <c r="F24" i="1"/>
  <c r="F25" i="1"/>
  <c r="G25" i="4"/>
  <c r="D24" i="4"/>
  <c r="D25" i="4"/>
  <c r="D23" i="4"/>
  <c r="C23" i="4"/>
  <c r="F23" i="4"/>
  <c r="C25" i="4"/>
  <c r="G22" i="4"/>
  <c r="G23" i="4"/>
  <c r="E23" i="4"/>
  <c r="E25" i="4"/>
  <c r="F25" i="4"/>
  <c r="E24" i="4"/>
  <c r="C24" i="4"/>
  <c r="F24" i="4"/>
  <c r="G24" i="4"/>
  <c r="C23" i="1"/>
  <c r="C22" i="1"/>
  <c r="E22" i="1"/>
  <c r="E23" i="1"/>
  <c r="F22" i="1"/>
  <c r="F23" i="1"/>
  <c r="D23" i="1"/>
  <c r="D22" i="1"/>
  <c r="B22" i="1"/>
  <c r="B23" i="1"/>
  <c r="B35" i="1" s="1"/>
  <c r="B20" i="1"/>
  <c r="G32" i="1" s="1"/>
  <c r="B21" i="1"/>
  <c r="D18" i="1"/>
  <c r="D21" i="1"/>
  <c r="D20" i="1"/>
  <c r="E18" i="1"/>
  <c r="E21" i="1"/>
  <c r="E20" i="1"/>
  <c r="F19" i="1"/>
  <c r="F21" i="1"/>
  <c r="F20" i="1"/>
  <c r="F17" i="1"/>
  <c r="C18" i="1"/>
  <c r="C21" i="1"/>
  <c r="C20" i="1"/>
  <c r="D22" i="4"/>
  <c r="F22" i="4"/>
  <c r="E22" i="4"/>
  <c r="C22" i="4"/>
  <c r="F18" i="1"/>
  <c r="E19" i="1"/>
  <c r="D19" i="1"/>
  <c r="C19" i="1"/>
  <c r="B18" i="1"/>
  <c r="G30" i="1" s="1"/>
  <c r="B19" i="1"/>
  <c r="B32" i="1" s="1"/>
  <c r="D37" i="1" l="1"/>
  <c r="F37" i="1"/>
  <c r="C36" i="1"/>
  <c r="F33" i="1"/>
  <c r="F36" i="1"/>
  <c r="E36" i="1"/>
  <c r="G36" i="1"/>
  <c r="C37" i="1"/>
  <c r="D36" i="1"/>
  <c r="G37" i="1"/>
  <c r="E37" i="1"/>
  <c r="C33" i="1"/>
  <c r="E33" i="1"/>
  <c r="D34" i="1"/>
  <c r="F34" i="1"/>
  <c r="F32" i="1"/>
  <c r="D33" i="1"/>
  <c r="D35" i="1"/>
  <c r="F35" i="1"/>
  <c r="E35" i="1"/>
  <c r="G35" i="1"/>
  <c r="E34" i="1"/>
  <c r="C34" i="1"/>
  <c r="B34" i="1"/>
  <c r="G34" i="1"/>
  <c r="C35" i="1"/>
  <c r="G31" i="1"/>
  <c r="C32" i="1"/>
  <c r="D32" i="1"/>
  <c r="E32" i="1"/>
  <c r="B33" i="1"/>
  <c r="G33" i="1"/>
  <c r="F30" i="1"/>
  <c r="F31" i="1"/>
  <c r="B31" i="1"/>
  <c r="E31" i="1"/>
  <c r="D31" i="1"/>
  <c r="C31" i="1"/>
  <c r="E30" i="1"/>
  <c r="D30" i="1"/>
  <c r="C30" i="1"/>
  <c r="B30" i="1"/>
  <c r="E17" i="1" l="1"/>
  <c r="B17" i="1"/>
  <c r="C17" i="1"/>
  <c r="D17" i="1"/>
  <c r="B29" i="1" l="1"/>
  <c r="G29" i="1"/>
  <c r="E29" i="1"/>
  <c r="D29" i="1"/>
  <c r="F29" i="1"/>
  <c r="C29" i="1"/>
</calcChain>
</file>

<file path=xl/sharedStrings.xml><?xml version="1.0" encoding="utf-8"?>
<sst xmlns="http://schemas.openxmlformats.org/spreadsheetml/2006/main" count="92" uniqueCount="27">
  <si>
    <t xml:space="preserve">Normalized </t>
  </si>
  <si>
    <t>Normalized T0</t>
  </si>
  <si>
    <t>Cdk6</t>
  </si>
  <si>
    <t>Cdk2</t>
  </si>
  <si>
    <t>Cdk4</t>
  </si>
  <si>
    <t>Tubulin_blot1</t>
  </si>
  <si>
    <t>actin_blot2</t>
  </si>
  <si>
    <t>Tubulin_blot2</t>
  </si>
  <si>
    <t>Actin_blot1</t>
  </si>
  <si>
    <t>MCF7</t>
  </si>
  <si>
    <t>palbo mono 11m</t>
  </si>
  <si>
    <t>ICI mono  11m</t>
  </si>
  <si>
    <t>ICI alt 11m (palbo)</t>
  </si>
  <si>
    <t>AZD Alt 11m palbo</t>
  </si>
  <si>
    <t>AZD Alt 10m AZD</t>
  </si>
  <si>
    <t>Cdk9_42kDa</t>
  </si>
  <si>
    <t>Cdk9_55kDa</t>
  </si>
  <si>
    <t>CyclinD3</t>
  </si>
  <si>
    <t>CyclinE</t>
  </si>
  <si>
    <t>HER2</t>
  </si>
  <si>
    <t>mTOR</t>
  </si>
  <si>
    <t>RB1</t>
  </si>
  <si>
    <t>Cdc25c</t>
  </si>
  <si>
    <t>Cdk7</t>
  </si>
  <si>
    <t>CyclinD1</t>
  </si>
  <si>
    <t>Wee1</t>
  </si>
  <si>
    <t>Cdc25a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</si>
</sst>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2"/>
      <color theme="10"/>
      <name val="Calibri"/>
      <family val="2"/>
      <charset val="134"/>
      <scheme val="minor"/>
    </font>
    <font>
      <u/>
      <sz val="12"/>
      <color theme="11"/>
      <name val="Calibri"/>
      <family val="2"/>
      <charset val="134"/>
      <scheme val="minor"/>
    </font>
    <font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6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164" fontId="4" fillId="0" borderId="0" xfId="0" applyNumberFormat="1" applyFont="1" applyAlignment="1">
      <alignment horizontal="center"/>
    </xf>
    <xf numFmtId="164" fontId="5" fillId="0" borderId="0" xfId="0" applyNumberFormat="1" applyFont="1"/>
  </cellXfs>
  <cellStyles count="36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8"/>
  <sheetViews>
    <sheetView workbookViewId="0">
      <selection activeCell="B3" sqref="B3:G3"/>
    </sheetView>
  </sheetViews>
  <sheetFormatPr baseColWidth="10" defaultColWidth="10.83203125" defaultRowHeight="21" x14ac:dyDescent="0.25"/>
  <cols>
    <col min="1" max="1" width="17.33203125" style="1" bestFit="1" customWidth="1"/>
    <col min="2" max="2" width="19.33203125" style="1" customWidth="1"/>
    <col min="3" max="3" width="23.83203125" style="1" customWidth="1"/>
    <col min="4" max="4" width="19.83203125" style="1" customWidth="1"/>
    <col min="5" max="5" width="30.33203125" style="1" customWidth="1"/>
    <col min="6" max="7" width="26.33203125" style="1" customWidth="1"/>
    <col min="8" max="8" width="12" style="1" bestFit="1" customWidth="1"/>
    <col min="9" max="16384" width="10.83203125" style="1"/>
  </cols>
  <sheetData>
    <row r="1" spans="1:8" x14ac:dyDescent="0.25">
      <c r="A1" s="2"/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3"/>
    </row>
    <row r="2" spans="1:8" x14ac:dyDescent="0.25">
      <c r="A2" s="2" t="s">
        <v>8</v>
      </c>
      <c r="B2" s="2">
        <v>17.736000000000001</v>
      </c>
      <c r="C2" s="2">
        <v>14.048999999999999</v>
      </c>
      <c r="D2" s="2">
        <v>16.283999999999999</v>
      </c>
      <c r="E2" s="2">
        <v>16.417000000000002</v>
      </c>
      <c r="F2" s="2">
        <v>17.016999999999999</v>
      </c>
      <c r="G2" s="2">
        <v>18.497</v>
      </c>
      <c r="H2" s="2">
        <f t="shared" ref="H2:H13" si="0">SUM(B2:G2)</f>
        <v>100</v>
      </c>
    </row>
    <row r="3" spans="1:8" x14ac:dyDescent="0.25">
      <c r="A3" s="2" t="s">
        <v>5</v>
      </c>
      <c r="B3" s="2">
        <v>19.297000000000001</v>
      </c>
      <c r="C3" s="2">
        <v>17.122</v>
      </c>
      <c r="D3" s="2">
        <v>17.808</v>
      </c>
      <c r="E3" s="2">
        <v>17.837</v>
      </c>
      <c r="F3" s="2">
        <v>16.132999999999999</v>
      </c>
      <c r="G3" s="2">
        <v>11.803000000000001</v>
      </c>
      <c r="H3" s="2">
        <f>SUM(B3:G3)</f>
        <v>99.999999999999986</v>
      </c>
    </row>
    <row r="4" spans="1:8" x14ac:dyDescent="0.25">
      <c r="A4" s="2" t="s">
        <v>2</v>
      </c>
      <c r="B4" s="2">
        <v>4.117</v>
      </c>
      <c r="C4" s="2">
        <v>17.422999999999998</v>
      </c>
      <c r="D4" s="2">
        <v>20.518999999999998</v>
      </c>
      <c r="E4" s="2">
        <v>30.391999999999999</v>
      </c>
      <c r="F4" s="2">
        <v>20.332999999999998</v>
      </c>
      <c r="G4" s="2">
        <v>7.2160000000000002</v>
      </c>
      <c r="H4" s="2">
        <f>SUM(B4:G4)</f>
        <v>99.999999999999986</v>
      </c>
    </row>
    <row r="5" spans="1:8" x14ac:dyDescent="0.25">
      <c r="A5" s="2" t="s">
        <v>4</v>
      </c>
      <c r="B5" s="2">
        <v>17.391999999999999</v>
      </c>
      <c r="C5" s="2">
        <v>21.003</v>
      </c>
      <c r="D5" s="2">
        <v>10.108000000000001</v>
      </c>
      <c r="E5" s="2">
        <v>27.100999999999999</v>
      </c>
      <c r="F5" s="2">
        <v>21.533999999999999</v>
      </c>
      <c r="G5" s="2">
        <v>2.8620000000000001</v>
      </c>
      <c r="H5" s="2">
        <f t="shared" si="0"/>
        <v>100</v>
      </c>
    </row>
    <row r="6" spans="1:8" x14ac:dyDescent="0.25">
      <c r="A6" s="2" t="s">
        <v>15</v>
      </c>
      <c r="B6" s="2">
        <v>21.172000000000001</v>
      </c>
      <c r="C6" s="2">
        <v>19.689</v>
      </c>
      <c r="D6" s="2">
        <v>11.596</v>
      </c>
      <c r="E6" s="2">
        <v>21.998000000000001</v>
      </c>
      <c r="F6" s="2">
        <v>17.797000000000001</v>
      </c>
      <c r="G6" s="2">
        <v>7.7480000000000002</v>
      </c>
      <c r="H6" s="2">
        <f t="shared" si="0"/>
        <v>100.00000000000001</v>
      </c>
    </row>
    <row r="7" spans="1:8" x14ac:dyDescent="0.25">
      <c r="A7" s="2" t="s">
        <v>16</v>
      </c>
      <c r="B7" s="2">
        <v>14.859</v>
      </c>
      <c r="C7" s="2">
        <v>23.805</v>
      </c>
      <c r="D7" s="2">
        <v>9.5850000000000009</v>
      </c>
      <c r="E7" s="2">
        <v>22.96</v>
      </c>
      <c r="F7" s="2">
        <v>18.818999999999999</v>
      </c>
      <c r="G7" s="2">
        <v>9.9719999999999995</v>
      </c>
      <c r="H7" s="2">
        <f t="shared" si="0"/>
        <v>100</v>
      </c>
    </row>
    <row r="8" spans="1:8" x14ac:dyDescent="0.25">
      <c r="A8" s="2" t="s">
        <v>17</v>
      </c>
      <c r="B8" s="2">
        <v>19.899000000000001</v>
      </c>
      <c r="C8" s="2">
        <v>18.7</v>
      </c>
      <c r="D8" s="2">
        <v>14.967000000000001</v>
      </c>
      <c r="E8" s="2">
        <v>22.411999999999999</v>
      </c>
      <c r="F8" s="2">
        <v>13.826000000000001</v>
      </c>
      <c r="G8" s="2">
        <v>10.196</v>
      </c>
      <c r="H8" s="2">
        <f t="shared" si="0"/>
        <v>100</v>
      </c>
    </row>
    <row r="9" spans="1:8" x14ac:dyDescent="0.25">
      <c r="A9" s="2" t="s">
        <v>18</v>
      </c>
      <c r="B9" s="2">
        <v>13.406000000000001</v>
      </c>
      <c r="C9" s="2">
        <v>20.687999999999999</v>
      </c>
      <c r="D9" s="2">
        <v>10.472</v>
      </c>
      <c r="E9" s="2">
        <v>26.149000000000001</v>
      </c>
      <c r="F9" s="2">
        <v>23.817</v>
      </c>
      <c r="G9" s="2">
        <v>5.468</v>
      </c>
      <c r="H9" s="2">
        <f t="shared" si="0"/>
        <v>100.00000000000001</v>
      </c>
    </row>
    <row r="10" spans="1:8" x14ac:dyDescent="0.25">
      <c r="A10" s="2" t="s">
        <v>19</v>
      </c>
      <c r="B10" s="2">
        <v>16.295999999999999</v>
      </c>
      <c r="C10" s="2">
        <v>21.042999999999999</v>
      </c>
      <c r="D10" s="2">
        <v>16.404</v>
      </c>
      <c r="E10" s="2">
        <v>17.786000000000001</v>
      </c>
      <c r="F10" s="2">
        <v>14.826000000000001</v>
      </c>
      <c r="G10" s="2">
        <v>13.645</v>
      </c>
      <c r="H10" s="2">
        <f t="shared" si="0"/>
        <v>99.999999999999986</v>
      </c>
    </row>
    <row r="11" spans="1:8" x14ac:dyDescent="0.25">
      <c r="A11" s="2" t="s">
        <v>20</v>
      </c>
      <c r="B11" s="2">
        <v>9.7769999999999992</v>
      </c>
      <c r="C11" s="2">
        <v>15.718</v>
      </c>
      <c r="D11" s="2">
        <v>14.157</v>
      </c>
      <c r="E11" s="2">
        <v>24.332000000000001</v>
      </c>
      <c r="F11" s="2">
        <v>19.305</v>
      </c>
      <c r="G11" s="2">
        <v>16.710999999999999</v>
      </c>
      <c r="H11" s="2">
        <f t="shared" si="0"/>
        <v>100</v>
      </c>
    </row>
    <row r="12" spans="1:8" x14ac:dyDescent="0.25">
      <c r="A12" s="2" t="s">
        <v>21</v>
      </c>
      <c r="B12" s="2">
        <v>45.643999999999998</v>
      </c>
      <c r="C12" s="2">
        <v>25.472000000000001</v>
      </c>
      <c r="D12" s="2">
        <v>5.95</v>
      </c>
      <c r="E12" s="2">
        <v>18.417000000000002</v>
      </c>
      <c r="F12" s="2">
        <v>2.012</v>
      </c>
      <c r="G12" s="2">
        <v>2.5049999999999999</v>
      </c>
      <c r="H12" s="2">
        <f t="shared" si="0"/>
        <v>100</v>
      </c>
    </row>
    <row r="13" spans="1:8" x14ac:dyDescent="0.25">
      <c r="A13" s="2" t="s">
        <v>26</v>
      </c>
      <c r="B13" s="2">
        <v>16.55</v>
      </c>
      <c r="C13" s="2">
        <f>10.53+9.073</f>
        <v>19.603000000000002</v>
      </c>
      <c r="D13" s="2">
        <v>21.18</v>
      </c>
      <c r="E13" s="2">
        <f>8.87+11.996</f>
        <v>20.866</v>
      </c>
      <c r="F13" s="2">
        <f>5.872+10.647</f>
        <v>16.518999999999998</v>
      </c>
      <c r="G13" s="2">
        <f>2.144+3.138</f>
        <v>5.282</v>
      </c>
      <c r="H13" s="2">
        <f t="shared" si="0"/>
        <v>100.00000000000001</v>
      </c>
    </row>
    <row r="14" spans="1:8" x14ac:dyDescent="0.25">
      <c r="B14" s="2"/>
      <c r="C14" s="2"/>
      <c r="D14" s="2"/>
      <c r="E14" s="2"/>
      <c r="F14" s="2"/>
      <c r="G14" s="2"/>
      <c r="H14" s="2"/>
    </row>
    <row r="15" spans="1:8" x14ac:dyDescent="0.25">
      <c r="A15" s="2"/>
      <c r="B15" s="2">
        <f>AVERAGE(B2:B3)</f>
        <v>18.516500000000001</v>
      </c>
      <c r="C15" s="2">
        <f>AVERAGE(C2:C3)</f>
        <v>15.5855</v>
      </c>
      <c r="D15" s="2">
        <f>AVERAGE(D2:D3)</f>
        <v>17.045999999999999</v>
      </c>
      <c r="E15" s="2">
        <f>AVERAGE(E2:E3)</f>
        <v>17.127000000000002</v>
      </c>
      <c r="F15" s="2">
        <f>AVERAGE(F2:F3)</f>
        <v>16.574999999999999</v>
      </c>
      <c r="G15" s="2">
        <f>AVERAGE(G2:G3)</f>
        <v>15.15</v>
      </c>
      <c r="H15" s="3"/>
    </row>
    <row r="16" spans="1:8" x14ac:dyDescent="0.25">
      <c r="A16" s="2" t="s">
        <v>0</v>
      </c>
      <c r="B16" s="2" t="s">
        <v>9</v>
      </c>
      <c r="C16" s="2" t="s">
        <v>10</v>
      </c>
      <c r="D16" s="2" t="s">
        <v>11</v>
      </c>
      <c r="E16" s="2" t="s">
        <v>12</v>
      </c>
      <c r="F16" s="2" t="s">
        <v>13</v>
      </c>
      <c r="G16" s="2" t="s">
        <v>14</v>
      </c>
      <c r="H16" s="3"/>
    </row>
    <row r="17" spans="1:8" x14ac:dyDescent="0.25">
      <c r="A17" s="2" t="s">
        <v>2</v>
      </c>
      <c r="B17" s="4">
        <f t="shared" ref="B17:G17" si="1">B4/B15</f>
        <v>0.22234223530364808</v>
      </c>
      <c r="C17" s="4">
        <f t="shared" si="1"/>
        <v>1.1178980462609476</v>
      </c>
      <c r="D17" s="4">
        <f t="shared" si="1"/>
        <v>1.2037428135632993</v>
      </c>
      <c r="E17" s="4">
        <f t="shared" si="1"/>
        <v>1.7745080866468146</v>
      </c>
      <c r="F17" s="4">
        <f t="shared" si="1"/>
        <v>1.2267269984917044</v>
      </c>
      <c r="G17" s="4">
        <f t="shared" si="1"/>
        <v>0.4763036303630363</v>
      </c>
      <c r="H17" s="5"/>
    </row>
    <row r="18" spans="1:8" x14ac:dyDescent="0.25">
      <c r="A18" s="2" t="s">
        <v>4</v>
      </c>
      <c r="B18" s="4">
        <f>B5/B15</f>
        <v>0.93927038047147138</v>
      </c>
      <c r="C18" s="4">
        <f>C5/C15</f>
        <v>1.3475987295883995</v>
      </c>
      <c r="D18" s="4">
        <f t="shared" ref="D18:E18" si="2">D5/D15</f>
        <v>0.59298369118854866</v>
      </c>
      <c r="E18" s="4">
        <f t="shared" si="2"/>
        <v>1.5823553453611254</v>
      </c>
      <c r="F18" s="4">
        <f>F5/F15</f>
        <v>1.2991855203619909</v>
      </c>
      <c r="G18" s="4">
        <f>G5/G15</f>
        <v>0.18891089108910891</v>
      </c>
      <c r="H18" s="5"/>
    </row>
    <row r="19" spans="1:8" x14ac:dyDescent="0.25">
      <c r="A19" s="2" t="s">
        <v>15</v>
      </c>
      <c r="B19" s="4">
        <f t="shared" ref="B19:G19" si="3">B6/B15</f>
        <v>1.1434126319768856</v>
      </c>
      <c r="C19" s="4">
        <f t="shared" si="3"/>
        <v>1.2632895960989381</v>
      </c>
      <c r="D19" s="4">
        <f t="shared" si="3"/>
        <v>0.68027689780593692</v>
      </c>
      <c r="E19" s="4">
        <f t="shared" si="3"/>
        <v>1.2844047410521398</v>
      </c>
      <c r="F19" s="4">
        <f t="shared" si="3"/>
        <v>1.0737254901960784</v>
      </c>
      <c r="G19" s="4">
        <f t="shared" si="3"/>
        <v>0.51141914191419147</v>
      </c>
      <c r="H19" s="5"/>
    </row>
    <row r="20" spans="1:8" x14ac:dyDescent="0.25">
      <c r="A20" s="2" t="s">
        <v>16</v>
      </c>
      <c r="B20" s="4">
        <f t="shared" ref="B20:G20" si="4">B7/B15</f>
        <v>0.80247346960818722</v>
      </c>
      <c r="C20" s="4">
        <f t="shared" si="4"/>
        <v>1.5273812197234609</v>
      </c>
      <c r="D20" s="4">
        <f t="shared" si="4"/>
        <v>0.5623020063357973</v>
      </c>
      <c r="E20" s="4">
        <f t="shared" si="4"/>
        <v>1.3405733636947508</v>
      </c>
      <c r="F20" s="4">
        <f t="shared" si="4"/>
        <v>1.1353846153846154</v>
      </c>
      <c r="G20" s="4">
        <f t="shared" si="4"/>
        <v>0.65821782178217814</v>
      </c>
      <c r="H20" s="5"/>
    </row>
    <row r="21" spans="1:8" x14ac:dyDescent="0.25">
      <c r="A21" s="2" t="s">
        <v>17</v>
      </c>
      <c r="B21" s="4">
        <f t="shared" ref="B21:G21" si="5">B8/B15</f>
        <v>1.0746631382820728</v>
      </c>
      <c r="C21" s="4">
        <f t="shared" si="5"/>
        <v>1.1998331782746783</v>
      </c>
      <c r="D21" s="4">
        <f t="shared" si="5"/>
        <v>0.87803590285110877</v>
      </c>
      <c r="E21" s="4">
        <f t="shared" si="5"/>
        <v>1.3085771004846147</v>
      </c>
      <c r="F21" s="4">
        <f t="shared" si="5"/>
        <v>0.83414781297134244</v>
      </c>
      <c r="G21" s="4">
        <f t="shared" si="5"/>
        <v>0.67300330033003297</v>
      </c>
      <c r="H21" s="5"/>
    </row>
    <row r="22" spans="1:8" x14ac:dyDescent="0.25">
      <c r="A22" s="2" t="s">
        <v>18</v>
      </c>
      <c r="B22" s="4">
        <f t="shared" ref="B22:G22" si="6">B9/B15</f>
        <v>0.72400291631787861</v>
      </c>
      <c r="C22" s="4">
        <f t="shared" si="6"/>
        <v>1.3273876359436656</v>
      </c>
      <c r="D22" s="4">
        <f t="shared" si="6"/>
        <v>0.61433767452774846</v>
      </c>
      <c r="E22" s="4">
        <f t="shared" si="6"/>
        <v>1.5267705961347577</v>
      </c>
      <c r="F22" s="4">
        <f t="shared" si="6"/>
        <v>1.436923076923077</v>
      </c>
      <c r="G22" s="4">
        <f t="shared" si="6"/>
        <v>0.36092409240924089</v>
      </c>
      <c r="H22" s="5"/>
    </row>
    <row r="23" spans="1:8" x14ac:dyDescent="0.25">
      <c r="A23" s="2" t="s">
        <v>19</v>
      </c>
      <c r="B23" s="4">
        <f t="shared" ref="B23:G23" si="7">B10/B15</f>
        <v>0.88007992871222962</v>
      </c>
      <c r="C23" s="4">
        <f t="shared" si="7"/>
        <v>1.3501652176702705</v>
      </c>
      <c r="D23" s="4">
        <f t="shared" si="7"/>
        <v>0.96233720520943333</v>
      </c>
      <c r="E23" s="4">
        <f t="shared" si="7"/>
        <v>1.0384772581304373</v>
      </c>
      <c r="F23" s="4">
        <f t="shared" si="7"/>
        <v>0.89447963800904984</v>
      </c>
      <c r="G23" s="4">
        <f t="shared" si="7"/>
        <v>0.90066006600660065</v>
      </c>
      <c r="H23" s="5"/>
    </row>
    <row r="24" spans="1:8" x14ac:dyDescent="0.25">
      <c r="A24" s="2" t="s">
        <v>20</v>
      </c>
      <c r="B24" s="4">
        <f t="shared" ref="B24:G24" si="8">B11/B15</f>
        <v>0.52801555369535269</v>
      </c>
      <c r="C24" s="4">
        <f t="shared" si="8"/>
        <v>1.0085014917711976</v>
      </c>
      <c r="D24" s="4">
        <f t="shared" si="8"/>
        <v>0.83051742344244983</v>
      </c>
      <c r="E24" s="4">
        <f t="shared" si="8"/>
        <v>1.4206807964033397</v>
      </c>
      <c r="F24" s="4">
        <f t="shared" si="8"/>
        <v>1.1647058823529413</v>
      </c>
      <c r="G24" s="4">
        <f t="shared" si="8"/>
        <v>1.103036303630363</v>
      </c>
      <c r="H24" s="5"/>
    </row>
    <row r="25" spans="1:8" x14ac:dyDescent="0.25">
      <c r="A25" s="2" t="s">
        <v>21</v>
      </c>
      <c r="B25" s="4">
        <f t="shared" ref="B25:G25" si="9">B12/B15</f>
        <v>2.465044689871196</v>
      </c>
      <c r="C25" s="4">
        <f t="shared" si="9"/>
        <v>1.6343396105354338</v>
      </c>
      <c r="D25" s="4">
        <f t="shared" si="9"/>
        <v>0.3490554968907662</v>
      </c>
      <c r="E25" s="4">
        <f t="shared" si="9"/>
        <v>1.0753196706953931</v>
      </c>
      <c r="F25" s="4">
        <f t="shared" si="9"/>
        <v>0.12138763197586727</v>
      </c>
      <c r="G25" s="4">
        <f t="shared" si="9"/>
        <v>0.16534653465346533</v>
      </c>
      <c r="H25" s="5"/>
    </row>
    <row r="26" spans="1:8" x14ac:dyDescent="0.25">
      <c r="A26" s="2" t="s">
        <v>26</v>
      </c>
      <c r="B26" s="4">
        <f t="shared" ref="B26:G26" si="10">B13/B15</f>
        <v>0.89379742391920725</v>
      </c>
      <c r="C26" s="4">
        <f t="shared" si="10"/>
        <v>1.2577716467229156</v>
      </c>
      <c r="D26" s="4">
        <f t="shared" si="10"/>
        <v>1.2425202393523407</v>
      </c>
      <c r="E26" s="4">
        <f t="shared" si="10"/>
        <v>1.2183102703333915</v>
      </c>
      <c r="F26" s="4">
        <f t="shared" si="10"/>
        <v>0.99662141779788838</v>
      </c>
      <c r="G26" s="4">
        <f t="shared" si="10"/>
        <v>0.34864686468646866</v>
      </c>
      <c r="H26" s="5"/>
    </row>
    <row r="27" spans="1:8" x14ac:dyDescent="0.25">
      <c r="A27" s="2"/>
      <c r="B27" s="4"/>
      <c r="C27" s="4"/>
      <c r="D27" s="4"/>
      <c r="E27" s="4"/>
      <c r="F27" s="4"/>
      <c r="G27" s="4"/>
      <c r="H27" s="3"/>
    </row>
    <row r="28" spans="1:8" x14ac:dyDescent="0.25">
      <c r="A28" s="2" t="s">
        <v>1</v>
      </c>
      <c r="B28" s="2" t="s">
        <v>9</v>
      </c>
      <c r="C28" s="2" t="s">
        <v>10</v>
      </c>
      <c r="D28" s="2" t="s">
        <v>11</v>
      </c>
      <c r="E28" s="2" t="s">
        <v>12</v>
      </c>
      <c r="F28" s="2" t="s">
        <v>13</v>
      </c>
      <c r="G28" s="2" t="s">
        <v>14</v>
      </c>
      <c r="H28" s="3"/>
    </row>
    <row r="29" spans="1:8" x14ac:dyDescent="0.25">
      <c r="A29" s="2" t="s">
        <v>2</v>
      </c>
      <c r="B29" s="4">
        <f>B17/B17</f>
        <v>1</v>
      </c>
      <c r="C29" s="4">
        <f>C17/B17</f>
        <v>5.0278258862256102</v>
      </c>
      <c r="D29" s="4">
        <f>D17/B17</f>
        <v>5.4139188261707147</v>
      </c>
      <c r="E29" s="4">
        <f>E17/B17</f>
        <v>7.9809761929550023</v>
      </c>
      <c r="F29" s="4">
        <f>F17/B17</f>
        <v>5.5172918308408176</v>
      </c>
      <c r="G29" s="4">
        <f t="shared" ref="G29:G37" si="11">G17/B17</f>
        <v>2.142209417444052</v>
      </c>
      <c r="H29" s="3"/>
    </row>
    <row r="30" spans="1:8" x14ac:dyDescent="0.25">
      <c r="A30" s="2" t="s">
        <v>4</v>
      </c>
      <c r="B30" s="4">
        <f>B18/B18</f>
        <v>1</v>
      </c>
      <c r="C30" s="1">
        <f>C18/B18</f>
        <v>1.4347292937226082</v>
      </c>
      <c r="D30" s="1">
        <f>D18/B18</f>
        <v>0.63132374182916062</v>
      </c>
      <c r="E30" s="1">
        <f>E18/B18</f>
        <v>1.6846643716869412</v>
      </c>
      <c r="F30" s="1">
        <f>F18/B18</f>
        <v>1.3831858721126267</v>
      </c>
      <c r="G30" s="1">
        <f t="shared" si="11"/>
        <v>0.20112514459817649</v>
      </c>
    </row>
    <row r="31" spans="1:8" x14ac:dyDescent="0.25">
      <c r="A31" s="2" t="s">
        <v>15</v>
      </c>
      <c r="B31" s="4">
        <f>B19/B19</f>
        <v>1</v>
      </c>
      <c r="C31" s="4">
        <f>C19/B19</f>
        <v>1.1048413851391454</v>
      </c>
      <c r="D31" s="4">
        <f>D19/B19</f>
        <v>0.59495310684978409</v>
      </c>
      <c r="E31" s="4">
        <f>E19/B19</f>
        <v>1.123308161141694</v>
      </c>
      <c r="F31" s="4">
        <f>F19/B19</f>
        <v>0.93905337423085611</v>
      </c>
      <c r="G31" s="4">
        <f t="shared" si="11"/>
        <v>0.44727435014425304</v>
      </c>
    </row>
    <row r="32" spans="1:8" x14ac:dyDescent="0.25">
      <c r="A32" s="2" t="s">
        <v>16</v>
      </c>
      <c r="B32" s="2">
        <f>B19/B19</f>
        <v>1</v>
      </c>
      <c r="C32" s="2">
        <f>C19/B19</f>
        <v>1.1048413851391454</v>
      </c>
      <c r="D32" s="2">
        <f>D19/B19</f>
        <v>0.59495310684978409</v>
      </c>
      <c r="E32" s="2">
        <f>E19/B19</f>
        <v>1.123308161141694</v>
      </c>
      <c r="F32" s="2">
        <f>F19/B19</f>
        <v>0.93905337423085611</v>
      </c>
      <c r="G32" s="2">
        <f t="shared" si="11"/>
        <v>0.82023624046232602</v>
      </c>
    </row>
    <row r="33" spans="1:7" x14ac:dyDescent="0.25">
      <c r="A33" s="2" t="s">
        <v>17</v>
      </c>
      <c r="B33" s="1">
        <f t="shared" ref="B33:B38" si="12">B21/B21</f>
        <v>1</v>
      </c>
      <c r="C33" s="1">
        <f t="shared" ref="C33:C38" si="13">C21/B21</f>
        <v>1.1164737446868225</v>
      </c>
      <c r="D33" s="1">
        <f t="shared" ref="D33:D38" si="14">D21/B21</f>
        <v>0.81703360948502712</v>
      </c>
      <c r="E33" s="1">
        <f t="shared" ref="E33:E38" si="15">E21/B21</f>
        <v>1.2176625901363569</v>
      </c>
      <c r="F33" s="1">
        <f t="shared" ref="F33:F38" si="16">F21/B21</f>
        <v>0.77619468208874121</v>
      </c>
      <c r="G33" s="1">
        <f t="shared" si="11"/>
        <v>0.62624582192879319</v>
      </c>
    </row>
    <row r="34" spans="1:7" x14ac:dyDescent="0.25">
      <c r="A34" s="2" t="s">
        <v>18</v>
      </c>
      <c r="B34" s="1">
        <f t="shared" si="12"/>
        <v>1</v>
      </c>
      <c r="C34" s="1">
        <f t="shared" si="13"/>
        <v>1.833400951883551</v>
      </c>
      <c r="D34" s="1">
        <f t="shared" si="14"/>
        <v>0.84852928169424546</v>
      </c>
      <c r="E34" s="1">
        <f t="shared" si="15"/>
        <v>2.1087906715895302</v>
      </c>
      <c r="F34" s="1">
        <f t="shared" si="16"/>
        <v>1.9846923880237324</v>
      </c>
      <c r="G34" s="1">
        <f t="shared" si="11"/>
        <v>0.49851193175411823</v>
      </c>
    </row>
    <row r="35" spans="1:7" x14ac:dyDescent="0.25">
      <c r="A35" s="2" t="s">
        <v>19</v>
      </c>
      <c r="B35" s="1">
        <f t="shared" si="12"/>
        <v>1</v>
      </c>
      <c r="C35" s="1">
        <f t="shared" si="13"/>
        <v>1.5341393135120007</v>
      </c>
      <c r="D35" s="1">
        <f t="shared" si="14"/>
        <v>1.0934656885285023</v>
      </c>
      <c r="E35" s="1">
        <f t="shared" si="15"/>
        <v>1.1799806179536232</v>
      </c>
      <c r="F35" s="1">
        <f t="shared" si="16"/>
        <v>1.0163618199063924</v>
      </c>
      <c r="G35" s="1">
        <f t="shared" si="11"/>
        <v>1.023384395692883</v>
      </c>
    </row>
    <row r="36" spans="1:7" x14ac:dyDescent="0.25">
      <c r="A36" s="2" t="s">
        <v>20</v>
      </c>
      <c r="B36" s="1">
        <f t="shared" si="12"/>
        <v>1</v>
      </c>
      <c r="C36" s="1">
        <f t="shared" si="13"/>
        <v>1.9099844402558437</v>
      </c>
      <c r="D36" s="1">
        <f t="shared" si="14"/>
        <v>1.572903331407602</v>
      </c>
      <c r="E36" s="1">
        <f t="shared" si="15"/>
        <v>2.6906040673624263</v>
      </c>
      <c r="F36" s="1">
        <f t="shared" si="16"/>
        <v>2.2058173745104059</v>
      </c>
      <c r="G36" s="1">
        <f t="shared" si="11"/>
        <v>2.08902237047884</v>
      </c>
    </row>
    <row r="37" spans="1:7" x14ac:dyDescent="0.25">
      <c r="A37" s="2" t="s">
        <v>21</v>
      </c>
      <c r="B37" s="1">
        <f t="shared" si="12"/>
        <v>1</v>
      </c>
      <c r="C37" s="1">
        <f t="shared" si="13"/>
        <v>0.66300607743579354</v>
      </c>
      <c r="D37" s="1">
        <f t="shared" si="14"/>
        <v>0.14160209684028288</v>
      </c>
      <c r="E37" s="1">
        <f t="shared" si="15"/>
        <v>0.43622725182786887</v>
      </c>
      <c r="F37" s="1">
        <f t="shared" si="16"/>
        <v>4.924358267200829E-2</v>
      </c>
      <c r="G37" s="1">
        <f t="shared" si="11"/>
        <v>6.7076485604041947E-2</v>
      </c>
    </row>
    <row r="38" spans="1:7" x14ac:dyDescent="0.25">
      <c r="A38" s="2" t="s">
        <v>26</v>
      </c>
      <c r="B38" s="1">
        <f t="shared" si="12"/>
        <v>1</v>
      </c>
      <c r="C38" s="1">
        <f t="shared" si="13"/>
        <v>1.4072222777368499</v>
      </c>
      <c r="D38" s="1">
        <f t="shared" si="14"/>
        <v>1.3901586714179828</v>
      </c>
      <c r="E38" s="1">
        <f t="shared" si="15"/>
        <v>1.3630720314578999</v>
      </c>
      <c r="F38" s="1">
        <f t="shared" si="16"/>
        <v>1.1150417210063202</v>
      </c>
      <c r="G38" s="1">
        <f>G26/B26</f>
        <v>0.3900736960705134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topLeftCell="A15" workbookViewId="0">
      <selection activeCell="G1" sqref="G1"/>
    </sheetView>
  </sheetViews>
  <sheetFormatPr baseColWidth="10" defaultColWidth="10.83203125" defaultRowHeight="21" x14ac:dyDescent="0.25"/>
  <cols>
    <col min="1" max="1" width="23.6640625" style="1" customWidth="1"/>
    <col min="2" max="2" width="19.6640625" style="1" customWidth="1"/>
    <col min="3" max="3" width="27.6640625" style="1" customWidth="1"/>
    <col min="4" max="4" width="26" style="1" customWidth="1"/>
    <col min="5" max="5" width="28.1640625" style="1" customWidth="1"/>
    <col min="6" max="6" width="25.6640625" style="1" customWidth="1"/>
    <col min="7" max="7" width="31.5" style="1" customWidth="1"/>
    <col min="8" max="8" width="12" style="1" bestFit="1" customWidth="1"/>
    <col min="9" max="16384" width="10.83203125" style="1"/>
  </cols>
  <sheetData>
    <row r="1" spans="1:8" x14ac:dyDescent="0.25">
      <c r="A1" s="2"/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3"/>
    </row>
    <row r="2" spans="1:8" x14ac:dyDescent="0.25">
      <c r="A2" s="2" t="s">
        <v>6</v>
      </c>
      <c r="B2" s="2">
        <v>17.706</v>
      </c>
      <c r="C2" s="2">
        <v>17.221</v>
      </c>
      <c r="D2" s="2">
        <v>18.329999999999998</v>
      </c>
      <c r="E2" s="2">
        <v>15.664</v>
      </c>
      <c r="F2" s="2">
        <v>14.327</v>
      </c>
      <c r="G2" s="2">
        <v>16.751999999999999</v>
      </c>
      <c r="H2" s="2">
        <f t="shared" ref="H2:H9" si="0">SUM(B2:G2)</f>
        <v>99.999999999999986</v>
      </c>
    </row>
    <row r="3" spans="1:8" x14ac:dyDescent="0.25">
      <c r="A3" s="2" t="s">
        <v>7</v>
      </c>
      <c r="B3" s="2">
        <v>19.411000000000001</v>
      </c>
      <c r="C3" s="2">
        <v>17.878</v>
      </c>
      <c r="D3" s="2">
        <v>17.689</v>
      </c>
      <c r="E3" s="2">
        <v>16.532</v>
      </c>
      <c r="F3" s="2">
        <v>15.614000000000001</v>
      </c>
      <c r="G3" s="2">
        <v>12.875999999999999</v>
      </c>
      <c r="H3" s="2">
        <f t="shared" si="0"/>
        <v>100.00000000000001</v>
      </c>
    </row>
    <row r="4" spans="1:8" x14ac:dyDescent="0.25">
      <c r="A4" s="2" t="s">
        <v>22</v>
      </c>
      <c r="B4" s="2">
        <v>24.649000000000001</v>
      </c>
      <c r="C4" s="2">
        <v>23.242999999999999</v>
      </c>
      <c r="D4" s="2">
        <v>20.062000000000001</v>
      </c>
      <c r="E4" s="2">
        <v>18.834</v>
      </c>
      <c r="F4" s="2">
        <v>8.0259999999999998</v>
      </c>
      <c r="G4" s="2">
        <v>5.1859999999999999</v>
      </c>
      <c r="H4" s="2">
        <f t="shared" si="0"/>
        <v>100</v>
      </c>
    </row>
    <row r="5" spans="1:8" x14ac:dyDescent="0.25">
      <c r="A5" s="2" t="s">
        <v>3</v>
      </c>
      <c r="B5" s="2">
        <v>22.396999999999998</v>
      </c>
      <c r="C5" s="2">
        <v>18.303999999999998</v>
      </c>
      <c r="D5" s="2">
        <v>18.286000000000001</v>
      </c>
      <c r="E5" s="2">
        <v>20.449000000000002</v>
      </c>
      <c r="F5" s="2">
        <v>14.428000000000001</v>
      </c>
      <c r="G5" s="2">
        <v>6.1360000000000001</v>
      </c>
      <c r="H5" s="2">
        <f t="shared" si="0"/>
        <v>99.999999999999986</v>
      </c>
    </row>
    <row r="6" spans="1:8" x14ac:dyDescent="0.25">
      <c r="A6" s="2" t="s">
        <v>23</v>
      </c>
      <c r="B6" s="2">
        <f>5.938+13.678</f>
        <v>19.616</v>
      </c>
      <c r="C6" s="2">
        <f>7.778+11.539</f>
        <v>19.317</v>
      </c>
      <c r="D6" s="2">
        <f>6.443+7.565</f>
        <v>14.007999999999999</v>
      </c>
      <c r="E6" s="2">
        <f>7.247+12.035</f>
        <v>19.282</v>
      </c>
      <c r="F6" s="2">
        <f>7.972+9.598</f>
        <v>17.57</v>
      </c>
      <c r="G6" s="2">
        <f>5.063+5.144</f>
        <v>10.207000000000001</v>
      </c>
      <c r="H6" s="2">
        <f t="shared" si="0"/>
        <v>100</v>
      </c>
    </row>
    <row r="7" spans="1:8" x14ac:dyDescent="0.25">
      <c r="A7" s="2" t="s">
        <v>24</v>
      </c>
      <c r="B7" s="2">
        <v>7.2130000000000001</v>
      </c>
      <c r="C7" s="2">
        <v>28.859000000000002</v>
      </c>
      <c r="D7" s="2">
        <v>0.127</v>
      </c>
      <c r="E7" s="2">
        <v>38.89</v>
      </c>
      <c r="F7" s="2">
        <v>24.77</v>
      </c>
      <c r="G7" s="2">
        <v>0.14099999999999999</v>
      </c>
      <c r="H7" s="2">
        <f t="shared" si="0"/>
        <v>100</v>
      </c>
    </row>
    <row r="8" spans="1:8" x14ac:dyDescent="0.25">
      <c r="A8" s="2" t="s">
        <v>20</v>
      </c>
      <c r="B8" s="2">
        <v>20.878</v>
      </c>
      <c r="C8" s="2">
        <v>15.255000000000001</v>
      </c>
      <c r="D8" s="2">
        <v>9.3160000000000007</v>
      </c>
      <c r="E8" s="2">
        <v>24.061</v>
      </c>
      <c r="F8" s="2">
        <v>15.884</v>
      </c>
      <c r="G8" s="2">
        <v>14.606</v>
      </c>
      <c r="H8" s="2">
        <f t="shared" si="0"/>
        <v>100</v>
      </c>
    </row>
    <row r="9" spans="1:8" x14ac:dyDescent="0.25">
      <c r="A9" s="2" t="s">
        <v>25</v>
      </c>
      <c r="B9" s="2">
        <v>38.155999999999999</v>
      </c>
      <c r="C9" s="2">
        <v>21.137</v>
      </c>
      <c r="D9" s="2">
        <v>18.617000000000001</v>
      </c>
      <c r="E9" s="2">
        <v>10.102</v>
      </c>
      <c r="F9" s="2">
        <v>5.5</v>
      </c>
      <c r="G9" s="2">
        <v>6.4880000000000004</v>
      </c>
      <c r="H9" s="2">
        <f t="shared" si="0"/>
        <v>100</v>
      </c>
    </row>
    <row r="10" spans="1:8" x14ac:dyDescent="0.25">
      <c r="A10" s="2"/>
      <c r="B10" s="2"/>
      <c r="C10" s="2"/>
      <c r="D10" s="2"/>
      <c r="E10" s="2"/>
      <c r="F10" s="2"/>
      <c r="G10" s="2"/>
      <c r="H10" s="2"/>
    </row>
    <row r="11" spans="1:8" x14ac:dyDescent="0.25">
      <c r="A11" s="2"/>
      <c r="B11" s="2">
        <f t="shared" ref="B11:G11" si="1">AVERAGE(B2:B3)</f>
        <v>18.558500000000002</v>
      </c>
      <c r="C11" s="2">
        <f t="shared" si="1"/>
        <v>17.549500000000002</v>
      </c>
      <c r="D11" s="2">
        <f t="shared" si="1"/>
        <v>18.009499999999999</v>
      </c>
      <c r="E11" s="2">
        <f t="shared" si="1"/>
        <v>16.097999999999999</v>
      </c>
      <c r="F11" s="2">
        <f t="shared" si="1"/>
        <v>14.970500000000001</v>
      </c>
      <c r="G11" s="2">
        <f t="shared" si="1"/>
        <v>14.814</v>
      </c>
      <c r="H11" s="3"/>
    </row>
    <row r="12" spans="1:8" x14ac:dyDescent="0.25">
      <c r="A12" s="2" t="s">
        <v>0</v>
      </c>
      <c r="B12" s="2" t="s">
        <v>9</v>
      </c>
      <c r="C12" s="2" t="s">
        <v>10</v>
      </c>
      <c r="D12" s="2" t="s">
        <v>11</v>
      </c>
      <c r="E12" s="2" t="s">
        <v>12</v>
      </c>
      <c r="F12" s="2" t="s">
        <v>13</v>
      </c>
      <c r="G12" s="2" t="s">
        <v>14</v>
      </c>
      <c r="H12" s="3"/>
    </row>
    <row r="13" spans="1:8" x14ac:dyDescent="0.25">
      <c r="A13" s="2" t="s">
        <v>22</v>
      </c>
      <c r="B13" s="4">
        <f t="shared" ref="B13:G13" si="2">B4/B11</f>
        <v>1.3281784626990327</v>
      </c>
      <c r="C13" s="4">
        <f t="shared" si="2"/>
        <v>1.3244251972990682</v>
      </c>
      <c r="D13" s="4">
        <f t="shared" si="2"/>
        <v>1.1139676281962299</v>
      </c>
      <c r="E13" s="4">
        <f t="shared" si="2"/>
        <v>1.1699590011181513</v>
      </c>
      <c r="F13" s="4">
        <f t="shared" si="2"/>
        <v>0.53612103804148148</v>
      </c>
      <c r="G13" s="4">
        <f t="shared" si="2"/>
        <v>0.35007425408397463</v>
      </c>
      <c r="H13" s="5"/>
    </row>
    <row r="14" spans="1:8" x14ac:dyDescent="0.25">
      <c r="A14" s="2" t="s">
        <v>3</v>
      </c>
      <c r="B14" s="4">
        <f t="shared" ref="B14:G14" si="3">B5/B11</f>
        <v>1.2068324487431632</v>
      </c>
      <c r="C14" s="4">
        <f t="shared" si="3"/>
        <v>1.0429926778540697</v>
      </c>
      <c r="D14" s="4">
        <f t="shared" si="3"/>
        <v>1.0153530081345958</v>
      </c>
      <c r="E14" s="4">
        <f t="shared" si="3"/>
        <v>1.2702820226115048</v>
      </c>
      <c r="F14" s="4">
        <f t="shared" si="3"/>
        <v>0.96376206539527731</v>
      </c>
      <c r="G14" s="4">
        <f t="shared" si="3"/>
        <v>0.41420278115296344</v>
      </c>
      <c r="H14" s="5"/>
    </row>
    <row r="15" spans="1:8" x14ac:dyDescent="0.25">
      <c r="A15" s="2" t="s">
        <v>23</v>
      </c>
      <c r="B15" s="4">
        <f t="shared" ref="B15:G15" si="4">B6/B11</f>
        <v>1.0569819759140016</v>
      </c>
      <c r="C15" s="4">
        <f t="shared" si="4"/>
        <v>1.1007151200888914</v>
      </c>
      <c r="D15" s="4">
        <f t="shared" si="4"/>
        <v>0.77781171048613229</v>
      </c>
      <c r="E15" s="4">
        <f t="shared" si="4"/>
        <v>1.1977885451608896</v>
      </c>
      <c r="F15" s="4">
        <f t="shared" si="4"/>
        <v>1.1736414949400487</v>
      </c>
      <c r="G15" s="4">
        <f t="shared" si="4"/>
        <v>0.68901039557175647</v>
      </c>
      <c r="H15" s="5"/>
    </row>
    <row r="16" spans="1:8" x14ac:dyDescent="0.25">
      <c r="A16" s="2" t="s">
        <v>24</v>
      </c>
      <c r="B16" s="4">
        <f t="shared" ref="B16:G16" si="5">B7/B11</f>
        <v>0.38866287684888323</v>
      </c>
      <c r="C16" s="4">
        <f t="shared" si="5"/>
        <v>1.6444343143679305</v>
      </c>
      <c r="D16" s="4">
        <f t="shared" si="5"/>
        <v>7.0518337544073963E-3</v>
      </c>
      <c r="E16" s="4">
        <f t="shared" si="5"/>
        <v>2.4158280531743075</v>
      </c>
      <c r="F16" s="4">
        <f t="shared" si="5"/>
        <v>1.6545873551317589</v>
      </c>
      <c r="G16" s="4">
        <f t="shared" si="5"/>
        <v>9.5180234912920197E-3</v>
      </c>
      <c r="H16" s="5"/>
    </row>
    <row r="17" spans="1:8" x14ac:dyDescent="0.25">
      <c r="A17" s="2" t="s">
        <v>20</v>
      </c>
      <c r="B17" s="4">
        <f t="shared" ref="B17:G17" si="6">B8/B11</f>
        <v>1.1249831613546353</v>
      </c>
      <c r="C17" s="4">
        <f t="shared" si="6"/>
        <v>0.86925553434570779</v>
      </c>
      <c r="D17" s="4">
        <f t="shared" si="6"/>
        <v>0.51728254532330165</v>
      </c>
      <c r="E17" s="4">
        <f t="shared" si="6"/>
        <v>1.4946577214560817</v>
      </c>
      <c r="F17" s="4">
        <f t="shared" si="6"/>
        <v>1.0610200060118231</v>
      </c>
      <c r="G17" s="4">
        <f t="shared" si="6"/>
        <v>0.98595922775752665</v>
      </c>
      <c r="H17" s="5"/>
    </row>
    <row r="18" spans="1:8" x14ac:dyDescent="0.25">
      <c r="A18" s="2" t="s">
        <v>25</v>
      </c>
      <c r="B18" s="4">
        <f t="shared" ref="B18:G18" si="7">B9/B11</f>
        <v>2.0559851281084138</v>
      </c>
      <c r="C18" s="4">
        <f t="shared" si="7"/>
        <v>1.2044217783982449</v>
      </c>
      <c r="D18" s="4">
        <f t="shared" si="7"/>
        <v>1.0337321968960826</v>
      </c>
      <c r="E18" s="4">
        <f t="shared" si="7"/>
        <v>0.62753137035656614</v>
      </c>
      <c r="F18" s="4">
        <f t="shared" si="7"/>
        <v>0.36738919875755649</v>
      </c>
      <c r="G18" s="4">
        <f t="shared" si="7"/>
        <v>0.43796408802484138</v>
      </c>
      <c r="H18" s="5"/>
    </row>
    <row r="19" spans="1:8" x14ac:dyDescent="0.25">
      <c r="A19" s="2"/>
      <c r="B19" s="4"/>
      <c r="C19" s="4"/>
      <c r="D19" s="4"/>
      <c r="E19" s="4"/>
      <c r="F19" s="4"/>
      <c r="G19" s="4"/>
      <c r="H19" s="3"/>
    </row>
    <row r="20" spans="1:8" x14ac:dyDescent="0.25">
      <c r="A20" s="2" t="s">
        <v>1</v>
      </c>
      <c r="B20" s="2" t="s">
        <v>9</v>
      </c>
      <c r="C20" s="2" t="s">
        <v>10</v>
      </c>
      <c r="D20" s="2" t="s">
        <v>11</v>
      </c>
      <c r="E20" s="2" t="s">
        <v>12</v>
      </c>
      <c r="F20" s="2" t="s">
        <v>13</v>
      </c>
      <c r="G20" s="2" t="s">
        <v>14</v>
      </c>
      <c r="H20" s="3"/>
    </row>
    <row r="21" spans="1:8" x14ac:dyDescent="0.25">
      <c r="A21" s="2" t="s">
        <v>22</v>
      </c>
      <c r="B21" s="4">
        <f t="shared" ref="B21:B26" si="8">B13/B13</f>
        <v>1</v>
      </c>
      <c r="C21" s="4">
        <f t="shared" ref="C21:C26" si="9">C13/B13</f>
        <v>0.99717412568764485</v>
      </c>
      <c r="D21" s="4">
        <f t="shared" ref="D21:D26" si="10">D13/B13</f>
        <v>0.83871833453201883</v>
      </c>
      <c r="E21" s="4">
        <f t="shared" ref="E21:E26" si="11">E13/B13</f>
        <v>0.88087484775249347</v>
      </c>
      <c r="F21" s="4">
        <f t="shared" ref="F21:F26" si="12">F13/B13</f>
        <v>0.40365135642390498</v>
      </c>
      <c r="G21" s="4">
        <f t="shared" ref="G21:G26" si="13">G13/B13</f>
        <v>0.26357471071513827</v>
      </c>
      <c r="H21" s="3"/>
    </row>
    <row r="22" spans="1:8" x14ac:dyDescent="0.25">
      <c r="A22" s="2" t="s">
        <v>3</v>
      </c>
      <c r="B22" s="4">
        <f t="shared" si="8"/>
        <v>1</v>
      </c>
      <c r="C22" s="4">
        <f t="shared" si="9"/>
        <v>0.86423983622604617</v>
      </c>
      <c r="D22" s="4">
        <f t="shared" si="10"/>
        <v>0.84133717915193562</v>
      </c>
      <c r="E22" s="4">
        <f t="shared" si="11"/>
        <v>1.0525752965413055</v>
      </c>
      <c r="F22" s="4">
        <f t="shared" si="12"/>
        <v>0.79858812745627805</v>
      </c>
      <c r="G22" s="4">
        <f t="shared" si="13"/>
        <v>0.34321481957526784</v>
      </c>
      <c r="H22" s="3"/>
    </row>
    <row r="23" spans="1:8" x14ac:dyDescent="0.25">
      <c r="A23" s="2" t="s">
        <v>23</v>
      </c>
      <c r="B23" s="2">
        <f t="shared" si="8"/>
        <v>1</v>
      </c>
      <c r="C23" s="2">
        <f t="shared" si="9"/>
        <v>1.0413754871619949</v>
      </c>
      <c r="D23" s="2">
        <f t="shared" si="10"/>
        <v>0.73587982407508601</v>
      </c>
      <c r="E23" s="2">
        <f t="shared" si="11"/>
        <v>1.1332156767622539</v>
      </c>
      <c r="F23" s="2">
        <f t="shared" si="12"/>
        <v>1.1103703957914404</v>
      </c>
      <c r="G23" s="2">
        <f t="shared" si="13"/>
        <v>0.65186579456660088</v>
      </c>
    </row>
    <row r="24" spans="1:8" x14ac:dyDescent="0.25">
      <c r="A24" s="2" t="s">
        <v>24</v>
      </c>
      <c r="B24" s="1">
        <f t="shared" si="8"/>
        <v>1</v>
      </c>
      <c r="C24" s="1">
        <f t="shared" si="9"/>
        <v>4.2310043287393926</v>
      </c>
      <c r="D24" s="1">
        <f t="shared" si="10"/>
        <v>1.814383151686811E-2</v>
      </c>
      <c r="E24" s="1">
        <f t="shared" si="11"/>
        <v>6.2157417059247733</v>
      </c>
      <c r="F24" s="1">
        <f t="shared" si="12"/>
        <v>4.2571273298506513</v>
      </c>
      <c r="G24" s="1">
        <f t="shared" si="13"/>
        <v>2.448915000182212E-2</v>
      </c>
    </row>
    <row r="25" spans="1:8" x14ac:dyDescent="0.25">
      <c r="A25" s="2" t="s">
        <v>20</v>
      </c>
      <c r="B25" s="1">
        <f t="shared" si="8"/>
        <v>1</v>
      </c>
      <c r="C25" s="1">
        <f t="shared" si="9"/>
        <v>0.77268315136290922</v>
      </c>
      <c r="D25" s="1">
        <f t="shared" si="10"/>
        <v>0.45981358929890287</v>
      </c>
      <c r="E25" s="1">
        <f t="shared" si="11"/>
        <v>1.3286045274280436</v>
      </c>
      <c r="F25" s="1">
        <f t="shared" si="12"/>
        <v>0.94314301090001051</v>
      </c>
      <c r="G25" s="1">
        <f t="shared" si="13"/>
        <v>0.87642132044918375</v>
      </c>
    </row>
    <row r="26" spans="1:8" x14ac:dyDescent="0.25">
      <c r="A26" s="2" t="s">
        <v>25</v>
      </c>
      <c r="B26" s="4">
        <f t="shared" si="8"/>
        <v>1</v>
      </c>
      <c r="C26" s="1">
        <f t="shared" si="9"/>
        <v>0.58581249539794078</v>
      </c>
      <c r="D26" s="1">
        <f t="shared" si="10"/>
        <v>0.50279167040821759</v>
      </c>
      <c r="E26" s="1">
        <f t="shared" si="11"/>
        <v>0.30522174590529233</v>
      </c>
      <c r="F26" s="1">
        <f t="shared" si="12"/>
        <v>0.17869253708832458</v>
      </c>
      <c r="G26" s="1">
        <f t="shared" si="13"/>
        <v>0.21301909339577049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Blot1</vt:lpstr>
      <vt:lpstr>Blot2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craftsman</dc:creator>
  <cp:lastModifiedBy>Wei He</cp:lastModifiedBy>
  <dcterms:created xsi:type="dcterms:W3CDTF">2018-04-30T15:36:49Z</dcterms:created>
  <dcterms:modified xsi:type="dcterms:W3CDTF">2024-02-11T16:09:58Z</dcterms:modified>
</cp:coreProperties>
</file>