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eihe/Documents/VT/R01/Data/longterm alternation/western012w/"/>
    </mc:Choice>
  </mc:AlternateContent>
  <xr:revisionPtr revIDLastSave="0" documentId="13_ncr:1_{4740FB75-F188-D64E-91EC-B0B00A57CC1F}" xr6:coauthVersionLast="47" xr6:coauthVersionMax="47" xr10:uidLastSave="{00000000-0000-0000-0000-000000000000}"/>
  <bookViews>
    <workbookView xWindow="5440" yWindow="1920" windowWidth="32960" windowHeight="18140" tabRatio="500" activeTab="4" xr2:uid="{00000000-000D-0000-FFFF-FFFF00000000}"/>
  </bookViews>
  <sheets>
    <sheet name="CyclinD1" sheetId="1" r:id="rId1"/>
    <sheet name="Cdk2" sheetId="5" r:id="rId2"/>
    <sheet name="CyclinE" sheetId="6" r:id="rId3"/>
    <sheet name="Cdk6" sheetId="4" r:id="rId4"/>
    <sheet name="Cdk4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7" i="7" l="1"/>
  <c r="C14" i="7"/>
  <c r="C18" i="7" s="1"/>
  <c r="D14" i="7"/>
  <c r="D18" i="7" s="1"/>
  <c r="E14" i="7"/>
  <c r="E18" i="7" s="1"/>
  <c r="F14" i="7"/>
  <c r="F18" i="7" s="1"/>
  <c r="B14" i="7"/>
  <c r="B18" i="7" s="1"/>
  <c r="C13" i="7"/>
  <c r="C17" i="7" s="1"/>
  <c r="D13" i="7"/>
  <c r="E13" i="7"/>
  <c r="E17" i="7" s="1"/>
  <c r="F13" i="7"/>
  <c r="F17" i="7" s="1"/>
  <c r="B13" i="7"/>
  <c r="B17" i="7" s="1"/>
  <c r="F12" i="7"/>
  <c r="C12" i="7"/>
  <c r="D12" i="7"/>
  <c r="E12" i="7"/>
  <c r="G3" i="7"/>
  <c r="G4" i="7"/>
  <c r="G5" i="7"/>
  <c r="G6" i="7"/>
  <c r="G7" i="7"/>
  <c r="C14" i="4"/>
  <c r="C18" i="4" s="1"/>
  <c r="D14" i="4"/>
  <c r="D18" i="4" s="1"/>
  <c r="E14" i="4"/>
  <c r="E18" i="4" s="1"/>
  <c r="F14" i="4"/>
  <c r="F18" i="4" s="1"/>
  <c r="B14" i="4"/>
  <c r="B18" i="4" s="1"/>
  <c r="F13" i="4"/>
  <c r="F17" i="4" s="1"/>
  <c r="C13" i="4"/>
  <c r="C17" i="4" s="1"/>
  <c r="D13" i="4"/>
  <c r="D17" i="4" s="1"/>
  <c r="E13" i="4"/>
  <c r="E17" i="4" s="1"/>
  <c r="B13" i="4"/>
  <c r="B17" i="4" s="1"/>
  <c r="G7" i="4"/>
  <c r="G6" i="4"/>
  <c r="G5" i="4"/>
  <c r="G4" i="4"/>
  <c r="G3" i="4"/>
  <c r="C16" i="7"/>
  <c r="D16" i="7"/>
  <c r="B12" i="7"/>
  <c r="C12" i="4"/>
  <c r="D12" i="4"/>
  <c r="E12" i="4"/>
  <c r="F12" i="4"/>
  <c r="B12" i="4"/>
  <c r="G10" i="7"/>
  <c r="G9" i="7"/>
  <c r="G8" i="7"/>
  <c r="G2" i="7"/>
  <c r="F14" i="6"/>
  <c r="F18" i="6" s="1"/>
  <c r="E14" i="6"/>
  <c r="E18" i="6" s="1"/>
  <c r="D14" i="6"/>
  <c r="D18" i="6" s="1"/>
  <c r="C14" i="6"/>
  <c r="C18" i="6" s="1"/>
  <c r="B14" i="6"/>
  <c r="B18" i="6" s="1"/>
  <c r="B23" i="6" s="1"/>
  <c r="F13" i="6"/>
  <c r="F17" i="6" s="1"/>
  <c r="E13" i="6"/>
  <c r="E17" i="6" s="1"/>
  <c r="D13" i="6"/>
  <c r="D17" i="6" s="1"/>
  <c r="C13" i="6"/>
  <c r="C17" i="6" s="1"/>
  <c r="B13" i="6"/>
  <c r="B17" i="6" s="1"/>
  <c r="B22" i="6" s="1"/>
  <c r="F12" i="6"/>
  <c r="F16" i="6" s="1"/>
  <c r="E12" i="6"/>
  <c r="E16" i="6" s="1"/>
  <c r="D12" i="6"/>
  <c r="D16" i="6" s="1"/>
  <c r="C12" i="6"/>
  <c r="C16" i="6" s="1"/>
  <c r="B12" i="6"/>
  <c r="B16" i="6" s="1"/>
  <c r="B21" i="6" s="1"/>
  <c r="G10" i="6"/>
  <c r="G9" i="6"/>
  <c r="G8" i="6"/>
  <c r="G7" i="6"/>
  <c r="G6" i="6"/>
  <c r="G5" i="6"/>
  <c r="G4" i="6"/>
  <c r="G3" i="6"/>
  <c r="G2" i="6"/>
  <c r="B18" i="5"/>
  <c r="B23" i="5" s="1"/>
  <c r="E16" i="5"/>
  <c r="D16" i="5"/>
  <c r="D21" i="5" s="1"/>
  <c r="F14" i="5"/>
  <c r="F18" i="5" s="1"/>
  <c r="E14" i="5"/>
  <c r="E18" i="5" s="1"/>
  <c r="D14" i="5"/>
  <c r="D18" i="5" s="1"/>
  <c r="C14" i="5"/>
  <c r="C18" i="5" s="1"/>
  <c r="B14" i="5"/>
  <c r="F13" i="5"/>
  <c r="F17" i="5" s="1"/>
  <c r="E13" i="5"/>
  <c r="E17" i="5" s="1"/>
  <c r="D13" i="5"/>
  <c r="D17" i="5" s="1"/>
  <c r="C13" i="5"/>
  <c r="C17" i="5" s="1"/>
  <c r="B13" i="5"/>
  <c r="B17" i="5" s="1"/>
  <c r="F12" i="5"/>
  <c r="F16" i="5" s="1"/>
  <c r="E12" i="5"/>
  <c r="D12" i="5"/>
  <c r="C12" i="5"/>
  <c r="C16" i="5" s="1"/>
  <c r="B12" i="5"/>
  <c r="B16" i="5" s="1"/>
  <c r="G10" i="5"/>
  <c r="G9" i="5"/>
  <c r="G8" i="5"/>
  <c r="G7" i="5"/>
  <c r="G6" i="5"/>
  <c r="G5" i="5"/>
  <c r="G4" i="5"/>
  <c r="G3" i="5"/>
  <c r="G2" i="5"/>
  <c r="C14" i="1"/>
  <c r="D14" i="1"/>
  <c r="E14" i="1"/>
  <c r="F14" i="1"/>
  <c r="B14" i="1"/>
  <c r="G3" i="1"/>
  <c r="G4" i="1"/>
  <c r="G5" i="1"/>
  <c r="G6" i="1"/>
  <c r="G7" i="1"/>
  <c r="C13" i="1"/>
  <c r="C17" i="1" s="1"/>
  <c r="D13" i="1"/>
  <c r="D17" i="1" s="1"/>
  <c r="E13" i="1"/>
  <c r="E17" i="1" s="1"/>
  <c r="F13" i="1"/>
  <c r="F17" i="1" s="1"/>
  <c r="B13" i="1"/>
  <c r="B17" i="1" s="1"/>
  <c r="C12" i="1"/>
  <c r="C16" i="1" s="1"/>
  <c r="D12" i="1"/>
  <c r="D16" i="1" s="1"/>
  <c r="E12" i="1"/>
  <c r="E16" i="1" s="1"/>
  <c r="F12" i="1"/>
  <c r="F16" i="1" s="1"/>
  <c r="B12" i="1"/>
  <c r="B16" i="1" s="1"/>
  <c r="G2" i="1"/>
  <c r="C25" i="6" l="1"/>
  <c r="D26" i="6" s="1"/>
  <c r="D22" i="6"/>
  <c r="B22" i="7"/>
  <c r="C21" i="5"/>
  <c r="D23" i="5"/>
  <c r="C23" i="6"/>
  <c r="E23" i="5"/>
  <c r="E21" i="6"/>
  <c r="E23" i="6"/>
  <c r="B23" i="7"/>
  <c r="F23" i="7"/>
  <c r="C22" i="7"/>
  <c r="F22" i="7"/>
  <c r="E16" i="7"/>
  <c r="D22" i="7"/>
  <c r="C23" i="7"/>
  <c r="B16" i="7"/>
  <c r="B21" i="7" s="1"/>
  <c r="F16" i="7"/>
  <c r="F21" i="7" s="1"/>
  <c r="E22" i="7"/>
  <c r="C21" i="6"/>
  <c r="F21" i="6"/>
  <c r="D21" i="6"/>
  <c r="F22" i="6"/>
  <c r="E22" i="6"/>
  <c r="C22" i="6"/>
  <c r="F23" i="6"/>
  <c r="D23" i="6"/>
  <c r="F23" i="5"/>
  <c r="B22" i="5"/>
  <c r="D22" i="5"/>
  <c r="F22" i="5"/>
  <c r="B21" i="5"/>
  <c r="E21" i="5"/>
  <c r="F21" i="5"/>
  <c r="E22" i="5"/>
  <c r="C22" i="5"/>
  <c r="C23" i="5"/>
  <c r="G10" i="4"/>
  <c r="D27" i="6" l="1"/>
  <c r="D25" i="6"/>
  <c r="F27" i="6"/>
  <c r="F26" i="6"/>
  <c r="F25" i="6"/>
  <c r="E21" i="7"/>
  <c r="E23" i="7"/>
  <c r="D23" i="7"/>
  <c r="D21" i="7"/>
  <c r="C21" i="7"/>
  <c r="G2" i="4"/>
  <c r="B16" i="4" l="1"/>
  <c r="B21" i="4" s="1"/>
  <c r="B23" i="4"/>
  <c r="F16" i="4"/>
  <c r="C16" i="4"/>
  <c r="B22" i="4"/>
  <c r="D16" i="4"/>
  <c r="E16" i="4"/>
  <c r="G10" i="1"/>
  <c r="G9" i="1"/>
  <c r="F18" i="1"/>
  <c r="C21" i="4" l="1"/>
  <c r="D21" i="4"/>
  <c r="F23" i="4"/>
  <c r="E21" i="4"/>
  <c r="D22" i="4"/>
  <c r="F22" i="4"/>
  <c r="F21" i="4"/>
  <c r="D23" i="4"/>
  <c r="E23" i="4"/>
  <c r="E22" i="4"/>
  <c r="C23" i="4"/>
  <c r="G9" i="4"/>
  <c r="G8" i="4"/>
  <c r="C22" i="4"/>
  <c r="E18" i="1"/>
  <c r="D18" i="1"/>
  <c r="C18" i="1"/>
  <c r="B18" i="1"/>
  <c r="F22" i="1" l="1"/>
  <c r="F23" i="1"/>
  <c r="B23" i="1"/>
  <c r="E23" i="1"/>
  <c r="D23" i="1"/>
  <c r="C23" i="1"/>
  <c r="E22" i="1"/>
  <c r="D22" i="1"/>
  <c r="C22" i="1"/>
  <c r="B22" i="1"/>
  <c r="G8" i="1"/>
  <c r="B21" i="1" l="1"/>
  <c r="E21" i="1" l="1"/>
  <c r="D21" i="1"/>
  <c r="F21" i="1"/>
  <c r="C21" i="1"/>
</calcChain>
</file>

<file path=xl/sharedStrings.xml><?xml version="1.0" encoding="utf-8"?>
<sst xmlns="http://schemas.openxmlformats.org/spreadsheetml/2006/main" count="160" uniqueCount="30">
  <si>
    <t xml:space="preserve">Normalized </t>
  </si>
  <si>
    <t>Normalized T0</t>
  </si>
  <si>
    <t>T=0</t>
  </si>
  <si>
    <t>control 1w</t>
  </si>
  <si>
    <t>Palbo 1w</t>
  </si>
  <si>
    <t>control 2w</t>
  </si>
  <si>
    <t>palbo 2w</t>
  </si>
  <si>
    <t>CyclinD1_rep1</t>
  </si>
  <si>
    <t>CyclinD1_rep2</t>
  </si>
  <si>
    <t>CyclinD1_rep3</t>
  </si>
  <si>
    <t>Cdk6_rep1</t>
  </si>
  <si>
    <t>Cdk6_rep2</t>
  </si>
  <si>
    <t>Cdk6_rep3</t>
  </si>
  <si>
    <t>actin_rep1</t>
  </si>
  <si>
    <t>actin_rep2</t>
  </si>
  <si>
    <t>Tubulin_rep1</t>
  </si>
  <si>
    <t>Tubulin_rep2</t>
  </si>
  <si>
    <t>Tubulin_rep3</t>
  </si>
  <si>
    <t>actin_rep3</t>
  </si>
  <si>
    <t>Cdk2_rep1</t>
  </si>
  <si>
    <t>Cdk2_rep2</t>
  </si>
  <si>
    <t>Cdk2_rep3</t>
  </si>
  <si>
    <t>CyclinE_rep1</t>
  </si>
  <si>
    <t>CyclinE_rep2</t>
  </si>
  <si>
    <t>CyclinE_rep3</t>
  </si>
  <si>
    <t>Cdk4_rep1</t>
  </si>
  <si>
    <t>Cdk4_rep2</t>
  </si>
  <si>
    <t>Cdk4_rep3</t>
  </si>
  <si>
    <t>palbo 750nM 1w</t>
  </si>
  <si>
    <t>palbo 750nM 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</si>
</sst>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  <xf numFmtId="164" fontId="1" fillId="0" borderId="0" xfId="0" applyNumberFormat="1" applyFont="1" applyAlignment="1">
      <alignment horizontal="center"/>
    </xf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J10" sqref="J10"/>
    </sheetView>
  </sheetViews>
  <sheetFormatPr baseColWidth="10" defaultColWidth="10.83203125" defaultRowHeight="21" x14ac:dyDescent="0.25"/>
  <cols>
    <col min="1" max="1" width="17.33203125" style="1" bestFit="1" customWidth="1"/>
    <col min="2" max="2" width="10.5" style="1" customWidth="1"/>
    <col min="3" max="3" width="18.83203125" style="1" customWidth="1"/>
    <col min="4" max="5" width="19.83203125" style="1" customWidth="1"/>
    <col min="6" max="6" width="25.5" style="1" customWidth="1"/>
    <col min="7" max="7" width="12" style="1" bestFit="1" customWidth="1"/>
    <col min="8" max="16384" width="10.83203125" style="1"/>
  </cols>
  <sheetData>
    <row r="1" spans="1:7" x14ac:dyDescent="0.25">
      <c r="A1" s="2"/>
      <c r="B1" s="2" t="s">
        <v>2</v>
      </c>
      <c r="C1" s="2" t="s">
        <v>3</v>
      </c>
      <c r="D1" s="2" t="s">
        <v>28</v>
      </c>
      <c r="E1" s="2" t="s">
        <v>5</v>
      </c>
      <c r="F1" s="2" t="s">
        <v>29</v>
      </c>
      <c r="G1" s="3"/>
    </row>
    <row r="2" spans="1:7" x14ac:dyDescent="0.25">
      <c r="A2" s="2" t="s">
        <v>13</v>
      </c>
      <c r="B2" s="2">
        <v>20.141999999999999</v>
      </c>
      <c r="C2" s="2">
        <v>19.829000000000001</v>
      </c>
      <c r="D2" s="2">
        <v>20.81</v>
      </c>
      <c r="E2" s="2">
        <v>18.706</v>
      </c>
      <c r="F2" s="2">
        <v>20.513000000000002</v>
      </c>
      <c r="G2" s="2">
        <f t="shared" ref="G2:G7" si="0">SUM(B2:F2)</f>
        <v>100.00000000000001</v>
      </c>
    </row>
    <row r="3" spans="1:7" x14ac:dyDescent="0.25">
      <c r="A3" s="2" t="s">
        <v>15</v>
      </c>
      <c r="B3" s="2">
        <v>20.991</v>
      </c>
      <c r="C3" s="2">
        <v>20.896999999999998</v>
      </c>
      <c r="D3" s="2">
        <v>18.913</v>
      </c>
      <c r="E3" s="2">
        <v>21.687999999999999</v>
      </c>
      <c r="F3" s="2">
        <v>17.510999999999999</v>
      </c>
      <c r="G3" s="2">
        <f t="shared" si="0"/>
        <v>100</v>
      </c>
    </row>
    <row r="4" spans="1:7" x14ac:dyDescent="0.25">
      <c r="A4" s="2" t="s">
        <v>14</v>
      </c>
      <c r="B4" s="2">
        <v>20.812000000000001</v>
      </c>
      <c r="C4" s="2">
        <v>19.652999999999999</v>
      </c>
      <c r="D4" s="2">
        <v>21.649000000000001</v>
      </c>
      <c r="E4" s="2">
        <v>17.024000000000001</v>
      </c>
      <c r="F4" s="2">
        <v>20.861999999999998</v>
      </c>
      <c r="G4" s="2">
        <f t="shared" si="0"/>
        <v>100</v>
      </c>
    </row>
    <row r="5" spans="1:7" x14ac:dyDescent="0.25">
      <c r="A5" s="2" t="s">
        <v>16</v>
      </c>
      <c r="B5" s="2">
        <v>21.902000000000001</v>
      </c>
      <c r="C5" s="2">
        <v>21.122</v>
      </c>
      <c r="D5" s="2">
        <v>18.731999999999999</v>
      </c>
      <c r="E5" s="2">
        <v>20.324000000000002</v>
      </c>
      <c r="F5" s="2">
        <v>17.920000000000002</v>
      </c>
      <c r="G5" s="2">
        <f t="shared" si="0"/>
        <v>100</v>
      </c>
    </row>
    <row r="6" spans="1:7" x14ac:dyDescent="0.25">
      <c r="A6" s="2" t="s">
        <v>18</v>
      </c>
      <c r="B6" s="2">
        <v>18.695</v>
      </c>
      <c r="C6" s="2">
        <v>19.079000000000001</v>
      </c>
      <c r="D6" s="2">
        <v>21.073</v>
      </c>
      <c r="E6" s="2">
        <v>20.154</v>
      </c>
      <c r="F6" s="2">
        <v>20.998999999999999</v>
      </c>
      <c r="G6" s="2">
        <f t="shared" si="0"/>
        <v>100</v>
      </c>
    </row>
    <row r="7" spans="1:7" x14ac:dyDescent="0.25">
      <c r="A7" s="2" t="s">
        <v>17</v>
      </c>
      <c r="B7" s="1">
        <v>20.713999999999999</v>
      </c>
      <c r="C7" s="1">
        <v>21.626000000000001</v>
      </c>
      <c r="D7" s="1">
        <v>19.331</v>
      </c>
      <c r="E7" s="1">
        <v>21.27</v>
      </c>
      <c r="F7" s="1">
        <v>17.059000000000001</v>
      </c>
      <c r="G7" s="2">
        <f t="shared" si="0"/>
        <v>100</v>
      </c>
    </row>
    <row r="8" spans="1:7" x14ac:dyDescent="0.25">
      <c r="A8" s="2" t="s">
        <v>7</v>
      </c>
      <c r="B8" s="2">
        <v>12.84</v>
      </c>
      <c r="C8" s="2">
        <v>15.62</v>
      </c>
      <c r="D8" s="2">
        <v>29.302</v>
      </c>
      <c r="E8" s="2">
        <v>3.4929999999999999</v>
      </c>
      <c r="F8" s="2">
        <v>38.744999999999997</v>
      </c>
      <c r="G8" s="2">
        <f t="shared" ref="G8:G10" si="1">SUM(B8:F8)</f>
        <v>100</v>
      </c>
    </row>
    <row r="9" spans="1:7" x14ac:dyDescent="0.25">
      <c r="A9" s="2" t="s">
        <v>8</v>
      </c>
      <c r="B9" s="2">
        <v>11.138999999999999</v>
      </c>
      <c r="C9" s="2">
        <v>5.7469999999999999</v>
      </c>
      <c r="D9" s="2">
        <v>37.454999999999998</v>
      </c>
      <c r="E9" s="2">
        <v>2.9580000000000002</v>
      </c>
      <c r="F9" s="2">
        <v>42.701000000000001</v>
      </c>
      <c r="G9" s="2">
        <f t="shared" si="1"/>
        <v>100</v>
      </c>
    </row>
    <row r="10" spans="1:7" x14ac:dyDescent="0.25">
      <c r="A10" s="2" t="s">
        <v>9</v>
      </c>
      <c r="B10" s="2">
        <v>13.363</v>
      </c>
      <c r="C10" s="2">
        <v>16.175000000000001</v>
      </c>
      <c r="D10" s="2">
        <v>29.885000000000002</v>
      </c>
      <c r="E10" s="2">
        <v>8.6189999999999998</v>
      </c>
      <c r="F10" s="2">
        <v>31.957999999999998</v>
      </c>
      <c r="G10" s="2">
        <f t="shared" si="1"/>
        <v>100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>
        <f>AVERAGE(B2:B3)</f>
        <v>20.566499999999998</v>
      </c>
      <c r="C12" s="2">
        <f t="shared" ref="C12:F12" si="2">AVERAGE(C2:C3)</f>
        <v>20.363</v>
      </c>
      <c r="D12" s="2">
        <f t="shared" si="2"/>
        <v>19.861499999999999</v>
      </c>
      <c r="E12" s="2">
        <f t="shared" si="2"/>
        <v>20.196999999999999</v>
      </c>
      <c r="F12" s="2">
        <f t="shared" si="2"/>
        <v>19.012</v>
      </c>
      <c r="G12" s="2"/>
    </row>
    <row r="13" spans="1:7" x14ac:dyDescent="0.25">
      <c r="A13" s="2"/>
      <c r="B13" s="2">
        <f>AVERAGE(B4:B5)</f>
        <v>21.356999999999999</v>
      </c>
      <c r="C13" s="2">
        <f t="shared" ref="C13:F13" si="3">AVERAGE(C4:C5)</f>
        <v>20.387499999999999</v>
      </c>
      <c r="D13" s="2">
        <f t="shared" si="3"/>
        <v>20.1905</v>
      </c>
      <c r="E13" s="2">
        <f t="shared" si="3"/>
        <v>18.673999999999999</v>
      </c>
      <c r="F13" s="2">
        <f t="shared" si="3"/>
        <v>19.390999999999998</v>
      </c>
      <c r="G13" s="2"/>
    </row>
    <row r="14" spans="1:7" x14ac:dyDescent="0.25">
      <c r="A14" s="2"/>
      <c r="B14" s="2">
        <f>AVERAGE(B6:B7)</f>
        <v>19.704499999999999</v>
      </c>
      <c r="C14" s="2">
        <f t="shared" ref="C14:F14" si="4">AVERAGE(C6:C7)</f>
        <v>20.352499999999999</v>
      </c>
      <c r="D14" s="2">
        <f t="shared" si="4"/>
        <v>20.201999999999998</v>
      </c>
      <c r="E14" s="2">
        <f t="shared" si="4"/>
        <v>20.712</v>
      </c>
      <c r="F14" s="2">
        <f t="shared" si="4"/>
        <v>19.029</v>
      </c>
      <c r="G14" s="3"/>
    </row>
    <row r="15" spans="1:7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3"/>
    </row>
    <row r="16" spans="1:7" x14ac:dyDescent="0.25">
      <c r="A16" s="2" t="s">
        <v>7</v>
      </c>
      <c r="B16" s="4">
        <f>B8/B12</f>
        <v>0.62431624243308304</v>
      </c>
      <c r="C16" s="4">
        <f t="shared" ref="C16:F16" si="5">C8/C12</f>
        <v>0.76707754260177774</v>
      </c>
      <c r="D16" s="4">
        <f t="shared" si="5"/>
        <v>1.4753165672280544</v>
      </c>
      <c r="E16" s="4">
        <f t="shared" si="5"/>
        <v>0.17294647719958409</v>
      </c>
      <c r="F16" s="4">
        <f t="shared" si="5"/>
        <v>2.037923416789396</v>
      </c>
      <c r="G16" s="5"/>
    </row>
    <row r="17" spans="1:7" x14ac:dyDescent="0.25">
      <c r="A17" s="2" t="s">
        <v>8</v>
      </c>
      <c r="B17" s="4">
        <f>B9/B13</f>
        <v>0.52156201713723838</v>
      </c>
      <c r="C17" s="4">
        <f t="shared" ref="C17:F17" si="6">C9/C13</f>
        <v>0.28188841201716741</v>
      </c>
      <c r="D17" s="4">
        <f t="shared" si="6"/>
        <v>1.8550803595750476</v>
      </c>
      <c r="E17" s="4">
        <f t="shared" si="6"/>
        <v>0.15840205633501125</v>
      </c>
      <c r="F17" s="4">
        <f t="shared" si="6"/>
        <v>2.2021040688979427</v>
      </c>
      <c r="G17" s="5"/>
    </row>
    <row r="18" spans="1:7" x14ac:dyDescent="0.25">
      <c r="A18" s="2" t="s">
        <v>9</v>
      </c>
      <c r="B18" s="4">
        <f>B10/B14</f>
        <v>0.67816996117638106</v>
      </c>
      <c r="C18" s="4">
        <f>C10/C14</f>
        <v>0.7947426606068051</v>
      </c>
      <c r="D18" s="4">
        <f>D10/D14</f>
        <v>1.4793089793089795</v>
      </c>
      <c r="E18" s="4">
        <f>E10/E14</f>
        <v>0.41613557358053299</v>
      </c>
      <c r="F18" s="4">
        <f>F10/F14</f>
        <v>1.6794366493247148</v>
      </c>
      <c r="G18" s="5"/>
    </row>
    <row r="19" spans="1:7" x14ac:dyDescent="0.25">
      <c r="A19" s="2"/>
      <c r="B19" s="4"/>
      <c r="C19" s="4"/>
      <c r="D19" s="4"/>
      <c r="E19" s="4"/>
      <c r="F19" s="4"/>
      <c r="G19" s="3"/>
    </row>
    <row r="20" spans="1:7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3"/>
    </row>
    <row r="21" spans="1:7" x14ac:dyDescent="0.25">
      <c r="A21" s="2" t="s">
        <v>7</v>
      </c>
      <c r="B21" s="4">
        <f>B16/B16</f>
        <v>1</v>
      </c>
      <c r="C21" s="4">
        <f>C16/B16</f>
        <v>1.2286682460996463</v>
      </c>
      <c r="D21" s="4">
        <f>D16/B16</f>
        <v>2.3630917585588609</v>
      </c>
      <c r="E21" s="4">
        <f>E16/B16</f>
        <v>0.27701742393498796</v>
      </c>
      <c r="F21" s="4">
        <f>F16/B16</f>
        <v>3.2642485943457249</v>
      </c>
      <c r="G21" s="3"/>
    </row>
    <row r="22" spans="1:7" x14ac:dyDescent="0.25">
      <c r="A22" s="2" t="s">
        <v>8</v>
      </c>
      <c r="B22" s="4">
        <f>B17/B17</f>
        <v>1</v>
      </c>
      <c r="C22" s="1">
        <f>C17/B17</f>
        <v>0.54046959470784128</v>
      </c>
      <c r="D22" s="1">
        <f>D17/B17</f>
        <v>3.5567780985226944</v>
      </c>
      <c r="E22" s="1">
        <f>E17/B17</f>
        <v>0.30370703987313363</v>
      </c>
      <c r="F22" s="1">
        <f>F17/B17</f>
        <v>4.2221327407714666</v>
      </c>
    </row>
    <row r="23" spans="1:7" x14ac:dyDescent="0.25">
      <c r="A23" s="2" t="s">
        <v>9</v>
      </c>
      <c r="B23" s="4">
        <f>B18/B18</f>
        <v>1</v>
      </c>
      <c r="C23" s="4">
        <f>C18/B18</f>
        <v>1.1718930446701183</v>
      </c>
      <c r="D23" s="4">
        <f>D18/B18</f>
        <v>2.1813248359495461</v>
      </c>
      <c r="E23" s="4">
        <f>E18/B18</f>
        <v>0.6136154613198842</v>
      </c>
      <c r="F23" s="4">
        <f>F18/B18</f>
        <v>2.4764244149232089</v>
      </c>
    </row>
    <row r="24" spans="1:7" x14ac:dyDescent="0.25">
      <c r="A24" s="2"/>
      <c r="B24" s="2"/>
      <c r="C24" s="2"/>
      <c r="D24" s="2"/>
      <c r="E24" s="2"/>
      <c r="F24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8138-C611-BC4A-8A72-B4C370E764DE}">
  <dimension ref="A1:G24"/>
  <sheetViews>
    <sheetView workbookViewId="0">
      <selection activeCell="D2" sqref="D2"/>
    </sheetView>
  </sheetViews>
  <sheetFormatPr baseColWidth="10" defaultColWidth="10.83203125" defaultRowHeight="21" x14ac:dyDescent="0.25"/>
  <cols>
    <col min="1" max="1" width="17.33203125" style="1" bestFit="1" customWidth="1"/>
    <col min="2" max="2" width="10.5" style="1" customWidth="1"/>
    <col min="3" max="3" width="18.83203125" style="1" customWidth="1"/>
    <col min="4" max="5" width="19.83203125" style="1" customWidth="1"/>
    <col min="6" max="6" width="23" style="1" customWidth="1"/>
    <col min="7" max="7" width="12" style="1" bestFit="1" customWidth="1"/>
    <col min="8" max="16384" width="10.83203125" style="1"/>
  </cols>
  <sheetData>
    <row r="1" spans="1:7" x14ac:dyDescent="0.25">
      <c r="A1" s="2"/>
      <c r="B1" s="2" t="s">
        <v>2</v>
      </c>
      <c r="C1" s="2" t="s">
        <v>3</v>
      </c>
      <c r="D1" s="2" t="s">
        <v>28</v>
      </c>
      <c r="E1" s="2" t="s">
        <v>5</v>
      </c>
      <c r="F1" s="2" t="s">
        <v>29</v>
      </c>
      <c r="G1" s="3"/>
    </row>
    <row r="2" spans="1:7" x14ac:dyDescent="0.25">
      <c r="A2" s="2" t="s">
        <v>13</v>
      </c>
      <c r="B2" s="2">
        <v>20.132999999999999</v>
      </c>
      <c r="C2" s="2">
        <v>20.183</v>
      </c>
      <c r="D2" s="2">
        <v>20.484000000000002</v>
      </c>
      <c r="E2" s="2">
        <v>18.806000000000001</v>
      </c>
      <c r="F2" s="2">
        <v>20.393999999999998</v>
      </c>
      <c r="G2" s="2">
        <f t="shared" ref="G2:G10" si="0">SUM(B2:F2)</f>
        <v>100</v>
      </c>
    </row>
    <row r="3" spans="1:7" x14ac:dyDescent="0.25">
      <c r="A3" s="2" t="s">
        <v>15</v>
      </c>
      <c r="B3" s="2">
        <v>20.991</v>
      </c>
      <c r="C3" s="2">
        <v>20.896999999999998</v>
      </c>
      <c r="D3" s="2">
        <v>18.913</v>
      </c>
      <c r="E3" s="2">
        <v>21.687999999999999</v>
      </c>
      <c r="F3" s="2">
        <v>17.510999999999999</v>
      </c>
      <c r="G3" s="2">
        <f t="shared" si="0"/>
        <v>100</v>
      </c>
    </row>
    <row r="4" spans="1:7" x14ac:dyDescent="0.25">
      <c r="A4" s="2" t="s">
        <v>14</v>
      </c>
      <c r="B4" s="2">
        <v>20.875</v>
      </c>
      <c r="C4" s="2">
        <v>20.132000000000001</v>
      </c>
      <c r="D4" s="2">
        <v>21.341999999999999</v>
      </c>
      <c r="E4" s="2">
        <v>17.071999999999999</v>
      </c>
      <c r="F4" s="2">
        <v>20.579000000000001</v>
      </c>
      <c r="G4" s="2">
        <f t="shared" si="0"/>
        <v>100</v>
      </c>
    </row>
    <row r="5" spans="1:7" x14ac:dyDescent="0.25">
      <c r="A5" s="2" t="s">
        <v>16</v>
      </c>
      <c r="B5" s="2">
        <v>21.902000000000001</v>
      </c>
      <c r="C5" s="2">
        <v>21.122</v>
      </c>
      <c r="D5" s="2">
        <v>18.731999999999999</v>
      </c>
      <c r="E5" s="2">
        <v>20.324000000000002</v>
      </c>
      <c r="F5" s="2">
        <v>17.920000000000002</v>
      </c>
      <c r="G5" s="2">
        <f t="shared" si="0"/>
        <v>100</v>
      </c>
    </row>
    <row r="6" spans="1:7" x14ac:dyDescent="0.25">
      <c r="A6" s="2" t="s">
        <v>18</v>
      </c>
      <c r="B6" s="2">
        <v>18.739000000000001</v>
      </c>
      <c r="C6" s="2">
        <v>19.742999999999999</v>
      </c>
      <c r="D6" s="2">
        <v>20.521000000000001</v>
      </c>
      <c r="E6" s="2">
        <v>20.475000000000001</v>
      </c>
      <c r="F6" s="2">
        <v>20.521999999999998</v>
      </c>
      <c r="G6" s="2">
        <f t="shared" si="0"/>
        <v>100</v>
      </c>
    </row>
    <row r="7" spans="1:7" x14ac:dyDescent="0.25">
      <c r="A7" s="2" t="s">
        <v>17</v>
      </c>
      <c r="B7" s="1">
        <v>20.713999999999999</v>
      </c>
      <c r="C7" s="1">
        <v>21.626000000000001</v>
      </c>
      <c r="D7" s="1">
        <v>19.331</v>
      </c>
      <c r="E7" s="1">
        <v>21.27</v>
      </c>
      <c r="F7" s="1">
        <v>17.059000000000001</v>
      </c>
      <c r="G7" s="2">
        <f t="shared" si="0"/>
        <v>100</v>
      </c>
    </row>
    <row r="8" spans="1:7" x14ac:dyDescent="0.25">
      <c r="A8" s="2" t="s">
        <v>19</v>
      </c>
      <c r="B8" s="2">
        <v>25.11</v>
      </c>
      <c r="C8" s="2">
        <v>23.812999999999999</v>
      </c>
      <c r="D8" s="2">
        <v>12.285</v>
      </c>
      <c r="E8" s="2">
        <v>24.117999999999999</v>
      </c>
      <c r="F8" s="2">
        <v>14.673999999999999</v>
      </c>
      <c r="G8" s="2">
        <f t="shared" si="0"/>
        <v>100</v>
      </c>
    </row>
    <row r="9" spans="1:7" x14ac:dyDescent="0.25">
      <c r="A9" s="2" t="s">
        <v>20</v>
      </c>
      <c r="B9" s="2">
        <v>25.271999999999998</v>
      </c>
      <c r="C9" s="2">
        <v>24.128</v>
      </c>
      <c r="D9" s="2">
        <v>13.247999999999999</v>
      </c>
      <c r="E9" s="2">
        <v>20.48</v>
      </c>
      <c r="F9" s="2">
        <v>16.872</v>
      </c>
      <c r="G9" s="2">
        <f t="shared" si="0"/>
        <v>100</v>
      </c>
    </row>
    <row r="10" spans="1:7" x14ac:dyDescent="0.25">
      <c r="A10" s="2" t="s">
        <v>21</v>
      </c>
      <c r="B10" s="2">
        <v>22.63</v>
      </c>
      <c r="C10" s="2">
        <v>23.141999999999999</v>
      </c>
      <c r="D10" s="2">
        <v>13.202999999999999</v>
      </c>
      <c r="E10" s="2">
        <v>24.695</v>
      </c>
      <c r="F10" s="2">
        <v>16.329999999999998</v>
      </c>
      <c r="G10" s="2">
        <f t="shared" si="0"/>
        <v>99.999999999999986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>
        <f>AVERAGE(B2:B3)</f>
        <v>20.561999999999998</v>
      </c>
      <c r="C12" s="2">
        <f t="shared" ref="C12:F12" si="1">AVERAGE(C2:C3)</f>
        <v>20.54</v>
      </c>
      <c r="D12" s="2">
        <f t="shared" si="1"/>
        <v>19.698500000000003</v>
      </c>
      <c r="E12" s="2">
        <f t="shared" si="1"/>
        <v>20.247</v>
      </c>
      <c r="F12" s="2">
        <f t="shared" si="1"/>
        <v>18.952500000000001</v>
      </c>
      <c r="G12" s="2"/>
    </row>
    <row r="13" spans="1:7" x14ac:dyDescent="0.25">
      <c r="A13" s="2"/>
      <c r="B13" s="2">
        <f>AVERAGE(B4:B5)</f>
        <v>21.388500000000001</v>
      </c>
      <c r="C13" s="2">
        <f t="shared" ref="C13:F13" si="2">AVERAGE(C4:C5)</f>
        <v>20.627000000000002</v>
      </c>
      <c r="D13" s="2">
        <f t="shared" si="2"/>
        <v>20.036999999999999</v>
      </c>
      <c r="E13" s="2">
        <f t="shared" si="2"/>
        <v>18.698</v>
      </c>
      <c r="F13" s="2">
        <f t="shared" si="2"/>
        <v>19.249500000000001</v>
      </c>
      <c r="G13" s="2"/>
    </row>
    <row r="14" spans="1:7" x14ac:dyDescent="0.25">
      <c r="A14" s="2"/>
      <c r="B14" s="2">
        <f>AVERAGE(B6:B7)</f>
        <v>19.726500000000001</v>
      </c>
      <c r="C14" s="2">
        <f t="shared" ref="C14:F14" si="3">AVERAGE(C6:C7)</f>
        <v>20.6845</v>
      </c>
      <c r="D14" s="2">
        <f t="shared" si="3"/>
        <v>19.926000000000002</v>
      </c>
      <c r="E14" s="2">
        <f t="shared" si="3"/>
        <v>20.872500000000002</v>
      </c>
      <c r="F14" s="2">
        <f t="shared" si="3"/>
        <v>18.790500000000002</v>
      </c>
      <c r="G14" s="3"/>
    </row>
    <row r="15" spans="1:7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3"/>
    </row>
    <row r="16" spans="1:7" x14ac:dyDescent="0.25">
      <c r="A16" s="2" t="s">
        <v>19</v>
      </c>
      <c r="B16" s="4">
        <f>B8/B12</f>
        <v>1.2211847096585937</v>
      </c>
      <c r="C16" s="4">
        <f t="shared" ref="C16:F17" si="4">C8/C12</f>
        <v>1.1593476144109056</v>
      </c>
      <c r="D16" s="4">
        <f t="shared" si="4"/>
        <v>0.62365154707211201</v>
      </c>
      <c r="E16" s="4">
        <f t="shared" si="4"/>
        <v>1.191188818096508</v>
      </c>
      <c r="F16" s="4">
        <f t="shared" si="4"/>
        <v>0.77425141801873099</v>
      </c>
      <c r="G16" s="5"/>
    </row>
    <row r="17" spans="1:7" x14ac:dyDescent="0.25">
      <c r="A17" s="2" t="s">
        <v>20</v>
      </c>
      <c r="B17" s="4">
        <f>B9/B13</f>
        <v>1.1815695350305069</v>
      </c>
      <c r="C17" s="4">
        <f t="shared" si="4"/>
        <v>1.1697289959761477</v>
      </c>
      <c r="D17" s="4">
        <f t="shared" si="4"/>
        <v>0.66117682287767632</v>
      </c>
      <c r="E17" s="4">
        <f t="shared" si="4"/>
        <v>1.0953043106214568</v>
      </c>
      <c r="F17" s="4">
        <f t="shared" si="4"/>
        <v>0.87649029844931037</v>
      </c>
      <c r="G17" s="5"/>
    </row>
    <row r="18" spans="1:7" x14ac:dyDescent="0.25">
      <c r="A18" s="2" t="s">
        <v>21</v>
      </c>
      <c r="B18" s="4">
        <f>B10/B14</f>
        <v>1.1471877930702354</v>
      </c>
      <c r="C18" s="4">
        <f>C10/C14</f>
        <v>1.1188087698518214</v>
      </c>
      <c r="D18" s="4">
        <f>D10/D14</f>
        <v>0.66260162601626005</v>
      </c>
      <c r="E18" s="4">
        <f>E10/E14</f>
        <v>1.1831357048748352</v>
      </c>
      <c r="F18" s="4">
        <f>F10/F14</f>
        <v>0.86905617200180929</v>
      </c>
      <c r="G18" s="5"/>
    </row>
    <row r="19" spans="1:7" x14ac:dyDescent="0.25">
      <c r="A19" s="2"/>
      <c r="B19" s="4"/>
      <c r="C19" s="4"/>
      <c r="D19" s="4"/>
      <c r="E19" s="4"/>
      <c r="F19" s="4"/>
      <c r="G19" s="3"/>
    </row>
    <row r="20" spans="1:7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3"/>
    </row>
    <row r="21" spans="1:7" x14ac:dyDescent="0.25">
      <c r="A21" s="2" t="s">
        <v>19</v>
      </c>
      <c r="B21" s="4">
        <f>B16/B16</f>
        <v>1</v>
      </c>
      <c r="C21" s="4">
        <f>C16/B16</f>
        <v>0.9493630285749517</v>
      </c>
      <c r="D21" s="4">
        <f>D16/B16</f>
        <v>0.51069387140170308</v>
      </c>
      <c r="E21" s="4">
        <f>E16/B16</f>
        <v>0.97543705606134579</v>
      </c>
      <c r="F21" s="4">
        <f>F16/B16</f>
        <v>0.63401663310637768</v>
      </c>
      <c r="G21" s="3"/>
    </row>
    <row r="22" spans="1:7" x14ac:dyDescent="0.25">
      <c r="A22" s="2" t="s">
        <v>20</v>
      </c>
      <c r="B22" s="4">
        <f>B17/B17</f>
        <v>1</v>
      </c>
      <c r="C22" s="1">
        <f>C17/B17</f>
        <v>0.98997897398052537</v>
      </c>
      <c r="D22" s="1">
        <f>D17/B17</f>
        <v>0.55957504258148072</v>
      </c>
      <c r="E22" s="1">
        <f>E17/B17</f>
        <v>0.92699098796007573</v>
      </c>
      <c r="F22" s="1">
        <f>F17/B17</f>
        <v>0.74180170735925444</v>
      </c>
    </row>
    <row r="23" spans="1:7" x14ac:dyDescent="0.25">
      <c r="A23" s="2" t="s">
        <v>21</v>
      </c>
      <c r="B23" s="4">
        <f>B18/B18</f>
        <v>1</v>
      </c>
      <c r="C23" s="4">
        <f>C18/B18</f>
        <v>0.975262094497656</v>
      </c>
      <c r="D23" s="4">
        <f>D18/B18</f>
        <v>0.57758775853335198</v>
      </c>
      <c r="E23" s="4">
        <f>E18/B18</f>
        <v>1.0313356819360777</v>
      </c>
      <c r="F23" s="4">
        <f>F18/B18</f>
        <v>0.75755353853264218</v>
      </c>
    </row>
    <row r="24" spans="1:7" x14ac:dyDescent="0.25">
      <c r="A24" s="2"/>
      <c r="B24" s="2"/>
      <c r="C24" s="2"/>
      <c r="D24" s="2"/>
      <c r="E24" s="2"/>
      <c r="F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090D-A185-4942-9378-8C8F82435D5A}">
  <dimension ref="A1:G27"/>
  <sheetViews>
    <sheetView workbookViewId="0">
      <selection activeCell="F2" sqref="F2"/>
    </sheetView>
  </sheetViews>
  <sheetFormatPr baseColWidth="10" defaultColWidth="10.83203125" defaultRowHeight="21" x14ac:dyDescent="0.25"/>
  <cols>
    <col min="1" max="1" width="17.33203125" style="1" bestFit="1" customWidth="1"/>
    <col min="2" max="2" width="10.5" style="1" customWidth="1"/>
    <col min="3" max="3" width="18.83203125" style="1" customWidth="1"/>
    <col min="4" max="5" width="19.83203125" style="1" customWidth="1"/>
    <col min="6" max="6" width="22.5" style="1" customWidth="1"/>
    <col min="7" max="7" width="12" style="1" bestFit="1" customWidth="1"/>
    <col min="8" max="16384" width="10.83203125" style="1"/>
  </cols>
  <sheetData>
    <row r="1" spans="1:7" x14ac:dyDescent="0.25">
      <c r="A1" s="2"/>
      <c r="B1" s="2" t="s">
        <v>2</v>
      </c>
      <c r="C1" s="2" t="s">
        <v>3</v>
      </c>
      <c r="D1" s="2" t="s">
        <v>28</v>
      </c>
      <c r="E1" s="2" t="s">
        <v>5</v>
      </c>
      <c r="F1" s="2" t="s">
        <v>29</v>
      </c>
      <c r="G1" s="3"/>
    </row>
    <row r="2" spans="1:7" x14ac:dyDescent="0.25">
      <c r="A2" s="2" t="s">
        <v>13</v>
      </c>
      <c r="B2" s="2">
        <v>20.141999999999999</v>
      </c>
      <c r="C2" s="2">
        <v>19.829000000000001</v>
      </c>
      <c r="D2" s="2">
        <v>20.81</v>
      </c>
      <c r="E2" s="2">
        <v>18.706</v>
      </c>
      <c r="F2" s="2">
        <v>20.513000000000002</v>
      </c>
      <c r="G2" s="2">
        <f t="shared" ref="G2:G10" si="0">SUM(B2:F2)</f>
        <v>100.00000000000001</v>
      </c>
    </row>
    <row r="3" spans="1:7" x14ac:dyDescent="0.25">
      <c r="A3" s="2" t="s">
        <v>15</v>
      </c>
      <c r="B3" s="2">
        <v>20.991</v>
      </c>
      <c r="C3" s="2">
        <v>20.896999999999998</v>
      </c>
      <c r="D3" s="2">
        <v>18.913</v>
      </c>
      <c r="E3" s="2">
        <v>21.687999999999999</v>
      </c>
      <c r="F3" s="2">
        <v>17.510999999999999</v>
      </c>
      <c r="G3" s="2">
        <f>SUM(B3:F3)</f>
        <v>100</v>
      </c>
    </row>
    <row r="4" spans="1:7" x14ac:dyDescent="0.25">
      <c r="A4" s="2" t="s">
        <v>14</v>
      </c>
      <c r="B4" s="2">
        <v>20.812000000000001</v>
      </c>
      <c r="C4" s="2">
        <v>19.652999999999999</v>
      </c>
      <c r="D4" s="2">
        <v>21.649000000000001</v>
      </c>
      <c r="E4" s="2">
        <v>17.024000000000001</v>
      </c>
      <c r="F4" s="2">
        <v>20.861999999999998</v>
      </c>
      <c r="G4" s="2">
        <f t="shared" si="0"/>
        <v>100</v>
      </c>
    </row>
    <row r="5" spans="1:7" x14ac:dyDescent="0.25">
      <c r="A5" s="2" t="s">
        <v>16</v>
      </c>
      <c r="B5" s="2">
        <v>21.902000000000001</v>
      </c>
      <c r="C5" s="2">
        <v>21.122</v>
      </c>
      <c r="D5" s="2">
        <v>18.731999999999999</v>
      </c>
      <c r="E5" s="2">
        <v>20.324000000000002</v>
      </c>
      <c r="F5" s="2">
        <v>17.920000000000002</v>
      </c>
      <c r="G5" s="2">
        <f>SUM(B5:F5)</f>
        <v>100</v>
      </c>
    </row>
    <row r="6" spans="1:7" x14ac:dyDescent="0.25">
      <c r="A6" s="2" t="s">
        <v>18</v>
      </c>
      <c r="B6" s="2">
        <v>18.695</v>
      </c>
      <c r="C6" s="2">
        <v>19.079000000000001</v>
      </c>
      <c r="D6" s="2">
        <v>21.073</v>
      </c>
      <c r="E6" s="2">
        <v>20.154</v>
      </c>
      <c r="F6" s="2">
        <v>20.998999999999999</v>
      </c>
      <c r="G6" s="2">
        <f t="shared" si="0"/>
        <v>100</v>
      </c>
    </row>
    <row r="7" spans="1:7" x14ac:dyDescent="0.25">
      <c r="A7" s="2" t="s">
        <v>17</v>
      </c>
      <c r="B7" s="1">
        <v>20.713999999999999</v>
      </c>
      <c r="C7" s="1">
        <v>21.626000000000001</v>
      </c>
      <c r="D7" s="1">
        <v>19.331</v>
      </c>
      <c r="E7" s="1">
        <v>21.27</v>
      </c>
      <c r="F7" s="1">
        <v>17.059000000000001</v>
      </c>
      <c r="G7" s="2">
        <f>SUM(B7:F7)</f>
        <v>100</v>
      </c>
    </row>
    <row r="8" spans="1:7" x14ac:dyDescent="0.25">
      <c r="A8" s="2" t="s">
        <v>22</v>
      </c>
      <c r="B8" s="2">
        <v>12.971</v>
      </c>
      <c r="C8" s="2">
        <v>17.832999999999998</v>
      </c>
      <c r="D8" s="2">
        <v>22.475000000000001</v>
      </c>
      <c r="E8" s="2">
        <v>20.033999999999999</v>
      </c>
      <c r="F8" s="2">
        <v>26.687000000000001</v>
      </c>
      <c r="G8" s="2">
        <f t="shared" si="0"/>
        <v>99.999999999999986</v>
      </c>
    </row>
    <row r="9" spans="1:7" x14ac:dyDescent="0.25">
      <c r="A9" s="2" t="s">
        <v>23</v>
      </c>
      <c r="B9" s="2">
        <v>13.565</v>
      </c>
      <c r="C9" s="2">
        <v>17.332000000000001</v>
      </c>
      <c r="D9" s="2">
        <v>26.733000000000001</v>
      </c>
      <c r="E9" s="2">
        <v>16.260000000000002</v>
      </c>
      <c r="F9" s="2">
        <v>26.11</v>
      </c>
      <c r="G9" s="2">
        <f t="shared" si="0"/>
        <v>100</v>
      </c>
    </row>
    <row r="10" spans="1:7" x14ac:dyDescent="0.25">
      <c r="A10" s="2" t="s">
        <v>24</v>
      </c>
      <c r="B10" s="2">
        <v>15.487</v>
      </c>
      <c r="C10" s="2">
        <v>19.016999999999999</v>
      </c>
      <c r="D10" s="2">
        <v>25.050999999999998</v>
      </c>
      <c r="E10" s="2">
        <v>17.645</v>
      </c>
      <c r="F10" s="2">
        <v>22.8</v>
      </c>
      <c r="G10" s="2">
        <f t="shared" si="0"/>
        <v>99.999999999999986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>
        <f>AVERAGE(B2:B3)</f>
        <v>20.566499999999998</v>
      </c>
      <c r="C12" s="2">
        <f>AVERAGE(C2:C3)</f>
        <v>20.363</v>
      </c>
      <c r="D12" s="2">
        <f>AVERAGE(D2:D3)</f>
        <v>19.861499999999999</v>
      </c>
      <c r="E12" s="2">
        <f>AVERAGE(E2:E3)</f>
        <v>20.196999999999999</v>
      </c>
      <c r="F12" s="2">
        <f>AVERAGE(F2:F3)</f>
        <v>19.012</v>
      </c>
      <c r="G12" s="2"/>
    </row>
    <row r="13" spans="1:7" x14ac:dyDescent="0.25">
      <c r="A13" s="2"/>
      <c r="B13" s="2">
        <f>AVERAGE(B4:B5)</f>
        <v>21.356999999999999</v>
      </c>
      <c r="C13" s="2">
        <f>AVERAGE(C4:C5)</f>
        <v>20.387499999999999</v>
      </c>
      <c r="D13" s="2">
        <f>AVERAGE(D4:D5)</f>
        <v>20.1905</v>
      </c>
      <c r="E13" s="2">
        <f>AVERAGE(E4:E5)</f>
        <v>18.673999999999999</v>
      </c>
      <c r="F13" s="2">
        <f>AVERAGE(F4:F5)</f>
        <v>19.390999999999998</v>
      </c>
      <c r="G13" s="2"/>
    </row>
    <row r="14" spans="1:7" x14ac:dyDescent="0.25">
      <c r="A14" s="2"/>
      <c r="B14" s="2">
        <f>AVERAGE(B6:B7)</f>
        <v>19.704499999999999</v>
      </c>
      <c r="C14" s="2">
        <f>AVERAGE(C6:C7)</f>
        <v>20.352499999999999</v>
      </c>
      <c r="D14" s="2">
        <f>AVERAGE(D6:D7)</f>
        <v>20.201999999999998</v>
      </c>
      <c r="E14" s="2">
        <f>AVERAGE(E6:E7)</f>
        <v>20.712</v>
      </c>
      <c r="F14" s="2">
        <f>AVERAGE(F6:F7)</f>
        <v>19.029</v>
      </c>
      <c r="G14" s="3"/>
    </row>
    <row r="15" spans="1:7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3"/>
    </row>
    <row r="16" spans="1:7" x14ac:dyDescent="0.25">
      <c r="A16" s="2" t="s">
        <v>22</v>
      </c>
      <c r="B16" s="4">
        <f>B8/B12</f>
        <v>0.63068582403423046</v>
      </c>
      <c r="C16" s="4">
        <f t="shared" ref="C16:F17" si="1">C8/C12</f>
        <v>0.87575504591661346</v>
      </c>
      <c r="D16" s="4">
        <f t="shared" si="1"/>
        <v>1.1315862346751253</v>
      </c>
      <c r="E16" s="4">
        <f t="shared" si="1"/>
        <v>0.99192949447937806</v>
      </c>
      <c r="F16" s="4">
        <f t="shared" si="1"/>
        <v>1.4036924047969703</v>
      </c>
      <c r="G16" s="5"/>
    </row>
    <row r="17" spans="1:7" x14ac:dyDescent="0.25">
      <c r="A17" s="2" t="s">
        <v>23</v>
      </c>
      <c r="B17" s="4">
        <f>B9/B13</f>
        <v>0.63515475019899803</v>
      </c>
      <c r="C17" s="4">
        <f t="shared" si="1"/>
        <v>0.85012875536480692</v>
      </c>
      <c r="D17" s="4">
        <f t="shared" si="1"/>
        <v>1.3240385329734281</v>
      </c>
      <c r="E17" s="4">
        <f t="shared" si="1"/>
        <v>0.87072935632430126</v>
      </c>
      <c r="F17" s="4">
        <f t="shared" si="1"/>
        <v>1.3465009540508484</v>
      </c>
      <c r="G17" s="5"/>
    </row>
    <row r="18" spans="1:7" x14ac:dyDescent="0.25">
      <c r="A18" s="2" t="s">
        <v>24</v>
      </c>
      <c r="B18" s="4">
        <f>B10/B14</f>
        <v>0.78596259737623386</v>
      </c>
      <c r="C18" s="4">
        <f>C10/C14</f>
        <v>0.93438152561110432</v>
      </c>
      <c r="D18" s="4">
        <f>D10/D14</f>
        <v>1.24002574002574</v>
      </c>
      <c r="E18" s="4">
        <f>E10/E14</f>
        <v>0.85192159134801082</v>
      </c>
      <c r="F18" s="4">
        <f>F10/F14</f>
        <v>1.1981712123600821</v>
      </c>
      <c r="G18" s="5"/>
    </row>
    <row r="19" spans="1:7" x14ac:dyDescent="0.25">
      <c r="A19" s="2"/>
      <c r="B19" s="4"/>
      <c r="C19" s="4"/>
      <c r="D19" s="4"/>
      <c r="E19" s="4"/>
      <c r="F19" s="4"/>
      <c r="G19" s="3"/>
    </row>
    <row r="20" spans="1:7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3"/>
    </row>
    <row r="21" spans="1:7" x14ac:dyDescent="0.25">
      <c r="A21" s="2" t="s">
        <v>22</v>
      </c>
      <c r="B21" s="4">
        <f>B16/B16</f>
        <v>1</v>
      </c>
      <c r="C21" s="4">
        <f>C16/B16</f>
        <v>1.3885757576011124</v>
      </c>
      <c r="D21" s="4">
        <f>D16/B16</f>
        <v>1.7942154263700534</v>
      </c>
      <c r="E21" s="4">
        <f>E16/B16</f>
        <v>1.5727791186654945</v>
      </c>
      <c r="F21" s="4">
        <f>F16/B16</f>
        <v>2.2256603070894219</v>
      </c>
      <c r="G21" s="3"/>
    </row>
    <row r="22" spans="1:7" x14ac:dyDescent="0.25">
      <c r="A22" s="2" t="s">
        <v>23</v>
      </c>
      <c r="B22" s="4">
        <f>B17/B17</f>
        <v>1</v>
      </c>
      <c r="C22" s="1">
        <f>C17/B17</f>
        <v>1.3384592575249672</v>
      </c>
      <c r="D22" s="1">
        <f>D17/B17</f>
        <v>2.0845920345531517</v>
      </c>
      <c r="E22" s="1">
        <f>E17/B17</f>
        <v>1.3708932446014082</v>
      </c>
      <c r="F22" s="1">
        <f>F17/B17</f>
        <v>2.1199573074577196</v>
      </c>
    </row>
    <row r="23" spans="1:7" x14ac:dyDescent="0.25">
      <c r="A23" s="2" t="s">
        <v>24</v>
      </c>
      <c r="B23" s="4">
        <f>B18/B18</f>
        <v>1</v>
      </c>
      <c r="C23" s="4">
        <f>C18/B18</f>
        <v>1.1888371389813395</v>
      </c>
      <c r="D23" s="4">
        <f>D18/B18</f>
        <v>1.5777159678657708</v>
      </c>
      <c r="E23" s="4">
        <f>E18/B18</f>
        <v>1.0839212886108918</v>
      </c>
      <c r="F23" s="4">
        <f>F18/B18</f>
        <v>1.5244633985890901</v>
      </c>
    </row>
    <row r="24" spans="1:7" x14ac:dyDescent="0.25">
      <c r="A24" s="2"/>
      <c r="B24" s="2"/>
      <c r="C24" s="2"/>
      <c r="D24" s="2"/>
      <c r="E24" s="2"/>
      <c r="F24" s="2"/>
    </row>
    <row r="25" spans="1:7" x14ac:dyDescent="0.25">
      <c r="C25" s="6">
        <f>AVERAGE(C16:C18)</f>
        <v>0.88675510896417487</v>
      </c>
      <c r="D25" s="1">
        <f>D16/C25</f>
        <v>1.2760977898361809</v>
      </c>
      <c r="F25" s="1">
        <f>F21/E21</f>
        <v>1.4151130827435565</v>
      </c>
    </row>
    <row r="26" spans="1:7" x14ac:dyDescent="0.25">
      <c r="D26" s="1">
        <f>D17/C25</f>
        <v>1.4931276060197129</v>
      </c>
      <c r="F26" s="1">
        <f t="shared" ref="F26:F27" si="2">F22/E22</f>
        <v>1.546405831238963</v>
      </c>
    </row>
    <row r="27" spans="1:7" x14ac:dyDescent="0.25">
      <c r="D27" s="1">
        <f>D18/C25</f>
        <v>1.398385785985742</v>
      </c>
      <c r="F27" s="1">
        <f t="shared" si="2"/>
        <v>1.4064336724512336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F2" sqref="F2"/>
    </sheetView>
  </sheetViews>
  <sheetFormatPr baseColWidth="10" defaultColWidth="10.83203125" defaultRowHeight="21" x14ac:dyDescent="0.25"/>
  <cols>
    <col min="1" max="1" width="17.33203125" style="1" bestFit="1" customWidth="1"/>
    <col min="2" max="2" width="10.5" style="1" customWidth="1"/>
    <col min="3" max="3" width="18.83203125" style="1" customWidth="1"/>
    <col min="4" max="5" width="19.83203125" style="1" customWidth="1"/>
    <col min="6" max="6" width="26.33203125" style="1" customWidth="1"/>
    <col min="7" max="7" width="12" style="1" bestFit="1" customWidth="1"/>
    <col min="8" max="16384" width="10.83203125" style="1"/>
  </cols>
  <sheetData>
    <row r="1" spans="1:7" x14ac:dyDescent="0.25">
      <c r="A1" s="2"/>
      <c r="B1" s="2" t="s">
        <v>2</v>
      </c>
      <c r="C1" s="2" t="s">
        <v>3</v>
      </c>
      <c r="D1" s="2" t="s">
        <v>28</v>
      </c>
      <c r="E1" s="2" t="s">
        <v>5</v>
      </c>
      <c r="F1" s="2" t="s">
        <v>29</v>
      </c>
      <c r="G1" s="3"/>
    </row>
    <row r="2" spans="1:7" x14ac:dyDescent="0.25">
      <c r="A2" s="2" t="s">
        <v>13</v>
      </c>
      <c r="B2" s="2">
        <v>19.38</v>
      </c>
      <c r="C2" s="2">
        <v>19.021000000000001</v>
      </c>
      <c r="D2" s="2">
        <v>19.77</v>
      </c>
      <c r="E2" s="2">
        <v>19.643999999999998</v>
      </c>
      <c r="F2" s="2">
        <v>22.184999999999999</v>
      </c>
      <c r="G2" s="2">
        <f t="shared" ref="G2:G10" si="0">SUM(B2:F2)</f>
        <v>100</v>
      </c>
    </row>
    <row r="3" spans="1:7" x14ac:dyDescent="0.25">
      <c r="A3" s="2" t="s">
        <v>15</v>
      </c>
      <c r="B3" s="2">
        <v>20.991</v>
      </c>
      <c r="C3" s="2">
        <v>20.896999999999998</v>
      </c>
      <c r="D3" s="2">
        <v>18.913</v>
      </c>
      <c r="E3" s="2">
        <v>21.687999999999999</v>
      </c>
      <c r="F3" s="2">
        <v>17.510999999999999</v>
      </c>
      <c r="G3" s="2">
        <f t="shared" si="0"/>
        <v>100</v>
      </c>
    </row>
    <row r="4" spans="1:7" x14ac:dyDescent="0.25">
      <c r="A4" s="2" t="s">
        <v>14</v>
      </c>
      <c r="B4" s="2">
        <v>21.132999999999999</v>
      </c>
      <c r="C4" s="2">
        <v>20.417999999999999</v>
      </c>
      <c r="D4" s="2">
        <v>20.637</v>
      </c>
      <c r="E4" s="2">
        <v>18.244</v>
      </c>
      <c r="F4" s="2">
        <v>19.568000000000001</v>
      </c>
      <c r="G4" s="2">
        <f t="shared" si="0"/>
        <v>100</v>
      </c>
    </row>
    <row r="5" spans="1:7" x14ac:dyDescent="0.25">
      <c r="A5" s="2" t="s">
        <v>16</v>
      </c>
      <c r="B5" s="2">
        <v>21.902000000000001</v>
      </c>
      <c r="C5" s="2">
        <v>21.122</v>
      </c>
      <c r="D5" s="2">
        <v>18.731999999999999</v>
      </c>
      <c r="E5" s="2">
        <v>20.324000000000002</v>
      </c>
      <c r="F5" s="2">
        <v>17.920000000000002</v>
      </c>
      <c r="G5" s="2">
        <f t="shared" si="0"/>
        <v>100</v>
      </c>
    </row>
    <row r="6" spans="1:7" x14ac:dyDescent="0.25">
      <c r="A6" s="2" t="s">
        <v>18</v>
      </c>
      <c r="B6" s="2">
        <v>20.239999999999998</v>
      </c>
      <c r="C6" s="2">
        <v>20.312999999999999</v>
      </c>
      <c r="D6" s="2">
        <v>21.385000000000002</v>
      </c>
      <c r="E6" s="2">
        <v>18.86</v>
      </c>
      <c r="F6" s="2">
        <v>19.202000000000002</v>
      </c>
      <c r="G6" s="2">
        <f t="shared" si="0"/>
        <v>100</v>
      </c>
    </row>
    <row r="7" spans="1:7" x14ac:dyDescent="0.25">
      <c r="A7" s="2" t="s">
        <v>17</v>
      </c>
      <c r="B7" s="1">
        <v>20.713999999999999</v>
      </c>
      <c r="C7" s="1">
        <v>21.626000000000001</v>
      </c>
      <c r="D7" s="1">
        <v>19.331</v>
      </c>
      <c r="E7" s="1">
        <v>21.27</v>
      </c>
      <c r="F7" s="1">
        <v>17.059000000000001</v>
      </c>
      <c r="G7" s="2">
        <f t="shared" si="0"/>
        <v>100</v>
      </c>
    </row>
    <row r="8" spans="1:7" x14ac:dyDescent="0.25">
      <c r="A8" s="2" t="s">
        <v>10</v>
      </c>
      <c r="B8" s="2">
        <v>23.513000000000002</v>
      </c>
      <c r="C8" s="2">
        <v>8.0570000000000004</v>
      </c>
      <c r="D8" s="2">
        <v>24.15</v>
      </c>
      <c r="E8" s="2">
        <v>23.175000000000001</v>
      </c>
      <c r="F8" s="2">
        <v>21.105</v>
      </c>
      <c r="G8" s="2">
        <f t="shared" si="0"/>
        <v>100</v>
      </c>
    </row>
    <row r="9" spans="1:7" x14ac:dyDescent="0.25">
      <c r="A9" s="2" t="s">
        <v>11</v>
      </c>
      <c r="B9" s="2">
        <v>18.318999999999999</v>
      </c>
      <c r="C9" s="2">
        <v>16.771000000000001</v>
      </c>
      <c r="D9" s="2">
        <v>24.64</v>
      </c>
      <c r="E9" s="2">
        <v>20.504000000000001</v>
      </c>
      <c r="F9" s="2">
        <v>19.765999999999998</v>
      </c>
      <c r="G9" s="2">
        <f t="shared" si="0"/>
        <v>100</v>
      </c>
    </row>
    <row r="10" spans="1:7" x14ac:dyDescent="0.25">
      <c r="A10" s="2" t="s">
        <v>12</v>
      </c>
      <c r="B10" s="2">
        <v>19.245000000000001</v>
      </c>
      <c r="C10" s="2">
        <v>21.401</v>
      </c>
      <c r="D10" s="2">
        <v>24.253</v>
      </c>
      <c r="E10" s="2">
        <v>16.760999999999999</v>
      </c>
      <c r="F10" s="2">
        <v>18.34</v>
      </c>
      <c r="G10" s="2">
        <f t="shared" si="0"/>
        <v>100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>
        <f>AVERAGE(B2:B3)</f>
        <v>20.185499999999998</v>
      </c>
      <c r="C12" s="2">
        <f t="shared" ref="C12:F12" si="1">AVERAGE(C2:C3)</f>
        <v>19.959</v>
      </c>
      <c r="D12" s="2">
        <f t="shared" si="1"/>
        <v>19.3415</v>
      </c>
      <c r="E12" s="2">
        <f t="shared" si="1"/>
        <v>20.665999999999997</v>
      </c>
      <c r="F12" s="2">
        <f t="shared" si="1"/>
        <v>19.847999999999999</v>
      </c>
      <c r="G12" s="2"/>
    </row>
    <row r="13" spans="1:7" x14ac:dyDescent="0.25">
      <c r="A13" s="2"/>
      <c r="B13" s="2">
        <f>AVERAGE(B4:B5)</f>
        <v>21.517499999999998</v>
      </c>
      <c r="C13" s="2">
        <f t="shared" ref="C13:E13" si="2">AVERAGE(C4:C5)</f>
        <v>20.77</v>
      </c>
      <c r="D13" s="2">
        <f t="shared" si="2"/>
        <v>19.6845</v>
      </c>
      <c r="E13" s="2">
        <f t="shared" si="2"/>
        <v>19.283999999999999</v>
      </c>
      <c r="F13" s="2">
        <f>AVERAGE(F4:F5)</f>
        <v>18.744</v>
      </c>
      <c r="G13" s="2"/>
    </row>
    <row r="14" spans="1:7" x14ac:dyDescent="0.25">
      <c r="A14" s="2"/>
      <c r="B14" s="2">
        <f>AVERAGE(B6:B7)</f>
        <v>20.476999999999997</v>
      </c>
      <c r="C14" s="2">
        <f t="shared" ref="C14:F14" si="3">AVERAGE(C6:C7)</f>
        <v>20.9695</v>
      </c>
      <c r="D14" s="2">
        <f t="shared" si="3"/>
        <v>20.358000000000001</v>
      </c>
      <c r="E14" s="2">
        <f t="shared" si="3"/>
        <v>20.064999999999998</v>
      </c>
      <c r="F14" s="2">
        <f t="shared" si="3"/>
        <v>18.130500000000001</v>
      </c>
      <c r="G14" s="2"/>
    </row>
    <row r="15" spans="1:7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3"/>
    </row>
    <row r="16" spans="1:7" x14ac:dyDescent="0.25">
      <c r="A16" s="2" t="s">
        <v>10</v>
      </c>
      <c r="B16" s="4">
        <f>B8/B12</f>
        <v>1.1648460528597262</v>
      </c>
      <c r="C16" s="4">
        <f>C8/C12</f>
        <v>0.40367753895485747</v>
      </c>
      <c r="D16" s="4">
        <f>D8/D12</f>
        <v>1.2486105007367576</v>
      </c>
      <c r="E16" s="4">
        <f>E8/E12</f>
        <v>1.1214071421658764</v>
      </c>
      <c r="F16" s="4">
        <f>F8/F12</f>
        <v>1.0633313180169288</v>
      </c>
      <c r="G16" s="5"/>
    </row>
    <row r="17" spans="1:7" x14ac:dyDescent="0.25">
      <c r="A17" s="2" t="s">
        <v>11</v>
      </c>
      <c r="B17" s="4">
        <f>B9/B13</f>
        <v>0.85135354943650521</v>
      </c>
      <c r="C17" s="4">
        <f t="shared" ref="C17:F17" si="4">C9/C13</f>
        <v>0.80746268656716425</v>
      </c>
      <c r="D17" s="4">
        <f t="shared" si="4"/>
        <v>1.2517462978485612</v>
      </c>
      <c r="E17" s="4">
        <f t="shared" si="4"/>
        <v>1.0632648828043976</v>
      </c>
      <c r="F17" s="4">
        <f t="shared" si="4"/>
        <v>1.0545241143832693</v>
      </c>
      <c r="G17" s="5"/>
    </row>
    <row r="18" spans="1:7" x14ac:dyDescent="0.25">
      <c r="A18" s="2" t="s">
        <v>12</v>
      </c>
      <c r="B18" s="4">
        <f>B10/B14</f>
        <v>0.93983493675831442</v>
      </c>
      <c r="C18" s="4">
        <f t="shared" ref="C18:F18" si="5">C10/C14</f>
        <v>1.0205775054245452</v>
      </c>
      <c r="D18" s="4">
        <f t="shared" si="5"/>
        <v>1.1913252775321741</v>
      </c>
      <c r="E18" s="4">
        <f t="shared" si="5"/>
        <v>0.83533516072763525</v>
      </c>
      <c r="F18" s="4">
        <f t="shared" si="5"/>
        <v>1.0115551143101402</v>
      </c>
      <c r="G18" s="5"/>
    </row>
    <row r="19" spans="1:7" x14ac:dyDescent="0.25">
      <c r="A19" s="2"/>
      <c r="B19" s="4"/>
      <c r="C19" s="4"/>
      <c r="D19" s="4"/>
      <c r="E19" s="4"/>
      <c r="F19" s="4"/>
      <c r="G19" s="3"/>
    </row>
    <row r="20" spans="1:7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3"/>
    </row>
    <row r="21" spans="1:7" x14ac:dyDescent="0.25">
      <c r="A21" s="2" t="s">
        <v>10</v>
      </c>
      <c r="B21" s="4">
        <f>B16/B16</f>
        <v>1</v>
      </c>
      <c r="C21" s="4">
        <f>C16/B16</f>
        <v>0.34655011961779758</v>
      </c>
      <c r="D21" s="4">
        <f>D16/B16</f>
        <v>1.0719103161069119</v>
      </c>
      <c r="E21" s="4">
        <f>E16/B16</f>
        <v>0.96270845354439227</v>
      </c>
      <c r="F21" s="4">
        <f>F16/B16</f>
        <v>0.91285137242507186</v>
      </c>
      <c r="G21" s="3"/>
    </row>
    <row r="22" spans="1:7" x14ac:dyDescent="0.25">
      <c r="A22" s="2" t="s">
        <v>11</v>
      </c>
      <c r="B22" s="4">
        <f>B17/B17</f>
        <v>1</v>
      </c>
      <c r="C22" s="4">
        <f>C17/B17</f>
        <v>0.94844578624427944</v>
      </c>
      <c r="D22" s="4">
        <f>D17/B17</f>
        <v>1.4703013791122013</v>
      </c>
      <c r="E22" s="4">
        <f>E17/B17</f>
        <v>1.2489110822503207</v>
      </c>
      <c r="F22" s="4">
        <f>F17/B17</f>
        <v>1.2386441744222936</v>
      </c>
      <c r="G22" s="3"/>
    </row>
    <row r="23" spans="1:7" x14ac:dyDescent="0.25">
      <c r="A23" s="2" t="s">
        <v>12</v>
      </c>
      <c r="B23" s="4">
        <f>B18/B18</f>
        <v>1</v>
      </c>
      <c r="C23" s="4">
        <f>C18/B18</f>
        <v>1.0859114356237156</v>
      </c>
      <c r="D23" s="4">
        <f>D18/B18</f>
        <v>1.2675899042881955</v>
      </c>
      <c r="E23" s="4">
        <f>E18/B18</f>
        <v>0.88881050071290113</v>
      </c>
      <c r="F23" s="4">
        <f>F18/B18</f>
        <v>1.0763114614564167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594F-DAD9-474E-AF51-C03D85F8E0A1}">
  <dimension ref="A1:G23"/>
  <sheetViews>
    <sheetView tabSelected="1" workbookViewId="0">
      <selection activeCell="F2" sqref="F2"/>
    </sheetView>
  </sheetViews>
  <sheetFormatPr baseColWidth="10" defaultColWidth="10.83203125" defaultRowHeight="21" x14ac:dyDescent="0.25"/>
  <cols>
    <col min="1" max="1" width="17.33203125" style="1" bestFit="1" customWidth="1"/>
    <col min="2" max="2" width="10.5" style="1" customWidth="1"/>
    <col min="3" max="3" width="18.83203125" style="1" customWidth="1"/>
    <col min="4" max="5" width="19.83203125" style="1" customWidth="1"/>
    <col min="6" max="6" width="17.1640625" style="1" customWidth="1"/>
    <col min="7" max="7" width="12" style="1" bestFit="1" customWidth="1"/>
    <col min="8" max="16384" width="10.83203125" style="1"/>
  </cols>
  <sheetData>
    <row r="1" spans="1:7" x14ac:dyDescent="0.25">
      <c r="A1" s="2"/>
      <c r="B1" s="2" t="s">
        <v>2</v>
      </c>
      <c r="C1" s="2" t="s">
        <v>3</v>
      </c>
      <c r="D1" s="2" t="s">
        <v>28</v>
      </c>
      <c r="E1" s="2" t="s">
        <v>5</v>
      </c>
      <c r="F1" s="2" t="s">
        <v>29</v>
      </c>
      <c r="G1" s="3"/>
    </row>
    <row r="2" spans="1:7" x14ac:dyDescent="0.25">
      <c r="A2" s="2" t="s">
        <v>13</v>
      </c>
      <c r="B2" s="2">
        <v>19.38</v>
      </c>
      <c r="C2" s="2">
        <v>19.021000000000001</v>
      </c>
      <c r="D2" s="2">
        <v>19.77</v>
      </c>
      <c r="E2" s="2">
        <v>19.643999999999998</v>
      </c>
      <c r="F2" s="2">
        <v>22.184999999999999</v>
      </c>
      <c r="G2" s="2">
        <f t="shared" ref="G2:G10" si="0">SUM(B2:F2)</f>
        <v>100</v>
      </c>
    </row>
    <row r="3" spans="1:7" x14ac:dyDescent="0.25">
      <c r="A3" s="2" t="s">
        <v>15</v>
      </c>
      <c r="B3" s="2">
        <v>20.991</v>
      </c>
      <c r="C3" s="2">
        <v>20.896999999999998</v>
      </c>
      <c r="D3" s="2">
        <v>18.913</v>
      </c>
      <c r="E3" s="2">
        <v>21.687999999999999</v>
      </c>
      <c r="F3" s="2">
        <v>17.510999999999999</v>
      </c>
      <c r="G3" s="2">
        <f t="shared" si="0"/>
        <v>100</v>
      </c>
    </row>
    <row r="4" spans="1:7" x14ac:dyDescent="0.25">
      <c r="A4" s="2" t="s">
        <v>14</v>
      </c>
      <c r="B4" s="2">
        <v>21.132999999999999</v>
      </c>
      <c r="C4" s="2">
        <v>20.417999999999999</v>
      </c>
      <c r="D4" s="2">
        <v>20.637</v>
      </c>
      <c r="E4" s="2">
        <v>18.244</v>
      </c>
      <c r="F4" s="2">
        <v>19.568000000000001</v>
      </c>
      <c r="G4" s="2">
        <f t="shared" si="0"/>
        <v>100</v>
      </c>
    </row>
    <row r="5" spans="1:7" x14ac:dyDescent="0.25">
      <c r="A5" s="2" t="s">
        <v>16</v>
      </c>
      <c r="B5" s="2">
        <v>21.902000000000001</v>
      </c>
      <c r="C5" s="2">
        <v>21.122</v>
      </c>
      <c r="D5" s="2">
        <v>18.731999999999999</v>
      </c>
      <c r="E5" s="2">
        <v>20.324000000000002</v>
      </c>
      <c r="F5" s="2">
        <v>17.920000000000002</v>
      </c>
      <c r="G5" s="2">
        <f t="shared" si="0"/>
        <v>100</v>
      </c>
    </row>
    <row r="6" spans="1:7" x14ac:dyDescent="0.25">
      <c r="A6" s="2" t="s">
        <v>18</v>
      </c>
      <c r="B6" s="2">
        <v>20.239999999999998</v>
      </c>
      <c r="C6" s="2">
        <v>20.312999999999999</v>
      </c>
      <c r="D6" s="2">
        <v>21.385000000000002</v>
      </c>
      <c r="E6" s="2">
        <v>18.86</v>
      </c>
      <c r="F6" s="2">
        <v>19.202000000000002</v>
      </c>
      <c r="G6" s="2">
        <f t="shared" si="0"/>
        <v>100</v>
      </c>
    </row>
    <row r="7" spans="1:7" x14ac:dyDescent="0.25">
      <c r="A7" s="2" t="s">
        <v>17</v>
      </c>
      <c r="B7" s="1">
        <v>20.713999999999999</v>
      </c>
      <c r="C7" s="1">
        <v>21.626000000000001</v>
      </c>
      <c r="D7" s="1">
        <v>19.331</v>
      </c>
      <c r="E7" s="1">
        <v>21.27</v>
      </c>
      <c r="F7" s="1">
        <v>17.059000000000001</v>
      </c>
      <c r="G7" s="2">
        <f t="shared" si="0"/>
        <v>100</v>
      </c>
    </row>
    <row r="8" spans="1:7" x14ac:dyDescent="0.25">
      <c r="A8" s="2" t="s">
        <v>25</v>
      </c>
      <c r="B8" s="2">
        <v>18.417999999999999</v>
      </c>
      <c r="C8" s="2">
        <v>19.731999999999999</v>
      </c>
      <c r="D8" s="2">
        <v>18.95</v>
      </c>
      <c r="E8" s="2">
        <v>20.478000000000002</v>
      </c>
      <c r="F8" s="2">
        <v>22.422000000000001</v>
      </c>
      <c r="G8" s="2">
        <f t="shared" si="0"/>
        <v>100</v>
      </c>
    </row>
    <row r="9" spans="1:7" x14ac:dyDescent="0.25">
      <c r="A9" s="2" t="s">
        <v>26</v>
      </c>
      <c r="B9" s="2">
        <v>19.491</v>
      </c>
      <c r="C9" s="2">
        <v>18.939</v>
      </c>
      <c r="D9" s="2">
        <v>21.876000000000001</v>
      </c>
      <c r="E9" s="2">
        <v>18.814</v>
      </c>
      <c r="F9" s="2">
        <v>20.88</v>
      </c>
      <c r="G9" s="2">
        <f t="shared" si="0"/>
        <v>100</v>
      </c>
    </row>
    <row r="10" spans="1:7" x14ac:dyDescent="0.25">
      <c r="A10" s="2" t="s">
        <v>27</v>
      </c>
      <c r="B10" s="2">
        <v>19.638000000000002</v>
      </c>
      <c r="C10" s="2">
        <v>20.95</v>
      </c>
      <c r="D10" s="2">
        <v>21.645</v>
      </c>
      <c r="E10" s="2">
        <v>18.175000000000001</v>
      </c>
      <c r="F10" s="2">
        <v>19.591999999999999</v>
      </c>
      <c r="G10" s="2">
        <f t="shared" si="0"/>
        <v>100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>
        <f>AVERAGE(B2:B3)</f>
        <v>20.185499999999998</v>
      </c>
      <c r="C12" s="2">
        <f t="shared" ref="C12:E12" si="1">AVERAGE(C2:C3)</f>
        <v>19.959</v>
      </c>
      <c r="D12" s="2">
        <f t="shared" si="1"/>
        <v>19.3415</v>
      </c>
      <c r="E12" s="2">
        <f t="shared" si="1"/>
        <v>20.665999999999997</v>
      </c>
      <c r="F12" s="2">
        <f>AVERAGE(F2:F3)</f>
        <v>19.847999999999999</v>
      </c>
      <c r="G12" s="2"/>
    </row>
    <row r="13" spans="1:7" x14ac:dyDescent="0.25">
      <c r="A13" s="2"/>
      <c r="B13" s="2">
        <f>AVERAGE(B4:B5)</f>
        <v>21.517499999999998</v>
      </c>
      <c r="C13" s="2">
        <f t="shared" ref="C13:F13" si="2">AVERAGE(C4:C5)</f>
        <v>20.77</v>
      </c>
      <c r="D13" s="2">
        <f t="shared" si="2"/>
        <v>19.6845</v>
      </c>
      <c r="E13" s="2">
        <f t="shared" si="2"/>
        <v>19.283999999999999</v>
      </c>
      <c r="F13" s="2">
        <f t="shared" si="2"/>
        <v>18.744</v>
      </c>
      <c r="G13" s="2"/>
    </row>
    <row r="14" spans="1:7" x14ac:dyDescent="0.25">
      <c r="A14" s="2"/>
      <c r="B14" s="2">
        <f>AVERAGE(B6:B7)</f>
        <v>20.476999999999997</v>
      </c>
      <c r="C14" s="2">
        <f t="shared" ref="C14:F14" si="3">AVERAGE(C6:C7)</f>
        <v>20.9695</v>
      </c>
      <c r="D14" s="2">
        <f t="shared" si="3"/>
        <v>20.358000000000001</v>
      </c>
      <c r="E14" s="2">
        <f t="shared" si="3"/>
        <v>20.064999999999998</v>
      </c>
      <c r="F14" s="2">
        <f t="shared" si="3"/>
        <v>18.130500000000001</v>
      </c>
      <c r="G14" s="2"/>
    </row>
    <row r="15" spans="1:7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3"/>
    </row>
    <row r="16" spans="1:7" x14ac:dyDescent="0.25">
      <c r="A16" s="2" t="s">
        <v>25</v>
      </c>
      <c r="B16" s="4">
        <f>B8/B12</f>
        <v>0.91243714547571286</v>
      </c>
      <c r="C16" s="4">
        <f>C8/C12</f>
        <v>0.98862668470364246</v>
      </c>
      <c r="D16" s="4">
        <f>D8/D12</f>
        <v>0.97975855026755931</v>
      </c>
      <c r="E16" s="4">
        <f>E8/E12</f>
        <v>0.99090293235265681</v>
      </c>
      <c r="F16" s="4">
        <f>F8/F12</f>
        <v>1.1296856106408708</v>
      </c>
      <c r="G16" s="5"/>
    </row>
    <row r="17" spans="1:7" x14ac:dyDescent="0.25">
      <c r="A17" s="2" t="s">
        <v>26</v>
      </c>
      <c r="B17" s="4">
        <f>B9/B13</f>
        <v>0.90582084349947722</v>
      </c>
      <c r="C17" s="4">
        <f t="shared" ref="C17:E17" si="4">C9/C13</f>
        <v>0.91184400577756386</v>
      </c>
      <c r="D17" s="4">
        <f t="shared" si="4"/>
        <v>1.1113312504762631</v>
      </c>
      <c r="E17" s="4">
        <f t="shared" si="4"/>
        <v>0.97562746318191251</v>
      </c>
      <c r="F17" s="4">
        <f>F9/F13</f>
        <v>1.1139564660691421</v>
      </c>
      <c r="G17" s="5"/>
    </row>
    <row r="18" spans="1:7" x14ac:dyDescent="0.25">
      <c r="A18" s="2" t="s">
        <v>27</v>
      </c>
      <c r="B18" s="4">
        <f>B10/B14</f>
        <v>0.95902720125018337</v>
      </c>
      <c r="C18" s="4">
        <f t="shared" ref="C18:F18" si="5">C10/C14</f>
        <v>0.9990700779703855</v>
      </c>
      <c r="D18" s="4">
        <f t="shared" si="5"/>
        <v>1.0632183908045976</v>
      </c>
      <c r="E18" s="4">
        <f t="shared" si="5"/>
        <v>0.90580613007724908</v>
      </c>
      <c r="F18" s="4">
        <f t="shared" si="5"/>
        <v>1.0806100217864922</v>
      </c>
      <c r="G18" s="5"/>
    </row>
    <row r="19" spans="1:7" x14ac:dyDescent="0.25">
      <c r="A19" s="2"/>
      <c r="B19" s="4"/>
      <c r="C19" s="4"/>
      <c r="D19" s="4"/>
      <c r="E19" s="4"/>
      <c r="F19" s="4"/>
      <c r="G19" s="3"/>
    </row>
    <row r="20" spans="1:7" x14ac:dyDescent="0.25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3"/>
    </row>
    <row r="21" spans="1:7" x14ac:dyDescent="0.25">
      <c r="A21" s="2" t="s">
        <v>25</v>
      </c>
      <c r="B21" s="4">
        <f>B16/B16</f>
        <v>1</v>
      </c>
      <c r="C21" s="4">
        <f>C16/B16</f>
        <v>1.0835011371530769</v>
      </c>
      <c r="D21" s="4">
        <f>D16/B16</f>
        <v>1.0737819641886099</v>
      </c>
      <c r="E21" s="4">
        <f>E16/B16</f>
        <v>1.085995826963001</v>
      </c>
      <c r="F21" s="4">
        <f>F16/B16</f>
        <v>1.2380969102829458</v>
      </c>
      <c r="G21" s="3"/>
    </row>
    <row r="22" spans="1:7" x14ac:dyDescent="0.25">
      <c r="A22" s="2" t="s">
        <v>26</v>
      </c>
      <c r="B22" s="4">
        <f>B17/B17</f>
        <v>1</v>
      </c>
      <c r="C22" s="4">
        <f>C17/B17</f>
        <v>1.0066493968661807</v>
      </c>
      <c r="D22" s="4">
        <f>D17/B17</f>
        <v>1.2268775425644138</v>
      </c>
      <c r="E22" s="4">
        <f>E17/B17</f>
        <v>1.077064488174891</v>
      </c>
      <c r="F22" s="4">
        <f>F17/B17</f>
        <v>1.2297757046145792</v>
      </c>
      <c r="G22" s="3"/>
    </row>
    <row r="23" spans="1:7" x14ac:dyDescent="0.25">
      <c r="A23" s="2" t="s">
        <v>27</v>
      </c>
      <c r="B23" s="4">
        <f>B18/B18</f>
        <v>1</v>
      </c>
      <c r="C23" s="4">
        <f>C18/B18</f>
        <v>1.0417536402179233</v>
      </c>
      <c r="D23" s="4">
        <f>D18/B18</f>
        <v>1.1086425801255595</v>
      </c>
      <c r="E23" s="4">
        <f>E18/B18</f>
        <v>0.94450514948527475</v>
      </c>
      <c r="F23" s="4">
        <f>F18/B18</f>
        <v>1.126777238828903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CyclinD1</vt:lpstr>
      <vt:lpstr>Cdk2</vt:lpstr>
      <vt:lpstr>CyclinE</vt:lpstr>
      <vt:lpstr>Cdk6</vt:lpstr>
      <vt:lpstr>Cdk4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craftsman</dc:creator>
  <cp:lastModifiedBy>Microsoft Office User</cp:lastModifiedBy>
  <dcterms:created xsi:type="dcterms:W3CDTF">2018-04-30T15:36:49Z</dcterms:created>
  <dcterms:modified xsi:type="dcterms:W3CDTF">2025-04-25T19:02:54Z</dcterms:modified>
</cp:coreProperties>
</file>