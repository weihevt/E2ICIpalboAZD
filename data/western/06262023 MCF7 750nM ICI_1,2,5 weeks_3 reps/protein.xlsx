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weihe/Documents/VT/paper3/data/06262023 MCF7 750nM ICI_1,2,5 weeks_3 reps/"/>
    </mc:Choice>
  </mc:AlternateContent>
  <xr:revisionPtr revIDLastSave="0" documentId="13_ncr:1_{71C67145-BFE4-4740-8FDC-300CBAF4C660}" xr6:coauthVersionLast="47" xr6:coauthVersionMax="47" xr10:uidLastSave="{00000000-0000-0000-0000-000000000000}"/>
  <bookViews>
    <workbookView xWindow="2460" yWindow="560" windowWidth="32420" windowHeight="16900" tabRatio="500" activeTab="1" xr2:uid="{00000000-000D-0000-FFFF-FFFF00000000}"/>
  </bookViews>
  <sheets>
    <sheet name="Blot1" sheetId="1" r:id="rId1"/>
    <sheet name="Blo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7" i="1" l="1"/>
  <c r="N6" i="1"/>
  <c r="N5" i="1"/>
  <c r="N2" i="1"/>
  <c r="B9" i="1"/>
  <c r="B12" i="1" s="1"/>
  <c r="C9" i="1"/>
  <c r="C13" i="1" s="1"/>
  <c r="D9" i="1"/>
  <c r="D13" i="1" s="1"/>
  <c r="E9" i="1"/>
  <c r="E13" i="1" s="1"/>
  <c r="F9" i="1"/>
  <c r="F12" i="1" s="1"/>
  <c r="G9" i="1"/>
  <c r="G12" i="1" s="1"/>
  <c r="H9" i="1"/>
  <c r="H12" i="1" s="1"/>
  <c r="I9" i="1"/>
  <c r="I12" i="1" s="1"/>
  <c r="J9" i="1"/>
  <c r="J12" i="1" s="1"/>
  <c r="K9" i="1"/>
  <c r="K12" i="1" s="1"/>
  <c r="L9" i="1"/>
  <c r="L13" i="1" s="1"/>
  <c r="M9" i="1"/>
  <c r="M12" i="1" s="1"/>
  <c r="M9" i="4"/>
  <c r="M15" i="4" s="1"/>
  <c r="G9" i="4"/>
  <c r="G13" i="4" s="1"/>
  <c r="H9" i="4"/>
  <c r="H12" i="4" s="1"/>
  <c r="I9" i="4"/>
  <c r="I12" i="4" s="1"/>
  <c r="J9" i="4"/>
  <c r="J12" i="4" s="1"/>
  <c r="K9" i="4"/>
  <c r="K15" i="4" s="1"/>
  <c r="L9" i="4"/>
  <c r="L15" i="4" s="1"/>
  <c r="N7" i="4"/>
  <c r="N6" i="4"/>
  <c r="N5" i="4"/>
  <c r="N4" i="4"/>
  <c r="N3" i="4"/>
  <c r="N2" i="4"/>
  <c r="B9" i="4"/>
  <c r="B14" i="4" s="1"/>
  <c r="N4" i="1"/>
  <c r="N3" i="1"/>
  <c r="F9" i="4"/>
  <c r="F12" i="4" s="1"/>
  <c r="E9" i="4"/>
  <c r="E13" i="4" s="1"/>
  <c r="D9" i="4"/>
  <c r="D15" i="4" s="1"/>
  <c r="C9" i="4"/>
  <c r="C15" i="4" s="1"/>
  <c r="L14" i="1" l="1"/>
  <c r="H15" i="4"/>
  <c r="G15" i="1"/>
  <c r="F15" i="1"/>
  <c r="E15" i="1"/>
  <c r="D15" i="1"/>
  <c r="D14" i="1"/>
  <c r="L15" i="1"/>
  <c r="M15" i="1"/>
  <c r="K14" i="1"/>
  <c r="C14" i="1"/>
  <c r="J14" i="1"/>
  <c r="B15" i="1"/>
  <c r="I14" i="1"/>
  <c r="H14" i="1"/>
  <c r="K15" i="1"/>
  <c r="C15" i="1"/>
  <c r="G14" i="1"/>
  <c r="J15" i="1"/>
  <c r="B14" i="1"/>
  <c r="F14" i="1"/>
  <c r="I15" i="1"/>
  <c r="M14" i="1"/>
  <c r="E14" i="1"/>
  <c r="H15" i="1"/>
  <c r="G13" i="1"/>
  <c r="H13" i="1"/>
  <c r="I13" i="1"/>
  <c r="B13" i="1"/>
  <c r="J13" i="1"/>
  <c r="E12" i="1"/>
  <c r="K13" i="1"/>
  <c r="M13" i="1"/>
  <c r="F13" i="1"/>
  <c r="M13" i="4"/>
  <c r="D14" i="4"/>
  <c r="N9" i="4"/>
  <c r="C14" i="4"/>
  <c r="B12" i="4"/>
  <c r="M14" i="4"/>
  <c r="M12" i="4"/>
  <c r="J15" i="4"/>
  <c r="E14" i="4"/>
  <c r="G12" i="4"/>
  <c r="I15" i="4"/>
  <c r="G15" i="4"/>
  <c r="L12" i="1"/>
  <c r="D12" i="1"/>
  <c r="C12" i="1"/>
  <c r="L12" i="4"/>
  <c r="K13" i="4"/>
  <c r="J14" i="4"/>
  <c r="K12" i="4"/>
  <c r="J13" i="4"/>
  <c r="I14" i="4"/>
  <c r="B15" i="4"/>
  <c r="F15" i="4"/>
  <c r="L14" i="4"/>
  <c r="K14" i="4"/>
  <c r="I13" i="4"/>
  <c r="H14" i="4"/>
  <c r="E15" i="4"/>
  <c r="L13" i="4"/>
  <c r="H13" i="4"/>
  <c r="G14" i="4"/>
  <c r="F14" i="4"/>
  <c r="N9" i="1"/>
  <c r="C12" i="4"/>
  <c r="B13" i="4"/>
  <c r="F13" i="4"/>
  <c r="D12" i="4"/>
  <c r="C13" i="4"/>
  <c r="E12" i="4"/>
  <c r="D13" i="4"/>
  <c r="B20" i="1" l="1"/>
  <c r="C26" i="1" s="1"/>
  <c r="B19" i="1"/>
  <c r="I25" i="1" s="1"/>
  <c r="B17" i="1"/>
  <c r="B23" i="1" s="1"/>
  <c r="B18" i="4"/>
  <c r="J24" i="4" s="1"/>
  <c r="B20" i="4"/>
  <c r="I26" i="4" s="1"/>
  <c r="B17" i="4"/>
  <c r="M23" i="4" s="1"/>
  <c r="B19" i="4"/>
  <c r="B25" i="4" s="1"/>
  <c r="B18" i="1"/>
  <c r="M24" i="1" s="1"/>
  <c r="B26" i="1" l="1"/>
  <c r="B26" i="4"/>
  <c r="C25" i="1"/>
  <c r="H25" i="1"/>
  <c r="B25" i="1"/>
  <c r="I26" i="1"/>
  <c r="J26" i="1"/>
  <c r="L25" i="1"/>
  <c r="D25" i="1"/>
  <c r="M25" i="1"/>
  <c r="J25" i="1"/>
  <c r="E25" i="1"/>
  <c r="K25" i="1"/>
  <c r="L26" i="1"/>
  <c r="G26" i="1"/>
  <c r="E26" i="1"/>
  <c r="D26" i="1"/>
  <c r="M26" i="1"/>
  <c r="F26" i="1"/>
  <c r="H26" i="1"/>
  <c r="G25" i="1"/>
  <c r="F25" i="1"/>
  <c r="K26" i="1"/>
  <c r="F24" i="4"/>
  <c r="B24" i="4"/>
  <c r="K25" i="4"/>
  <c r="K23" i="4"/>
  <c r="C25" i="4"/>
  <c r="M25" i="4"/>
  <c r="H24" i="4"/>
  <c r="E23" i="4"/>
  <c r="C26" i="4"/>
  <c r="M26" i="4"/>
  <c r="D26" i="4"/>
  <c r="K26" i="4"/>
  <c r="L26" i="4"/>
  <c r="H26" i="4"/>
  <c r="D25" i="4"/>
  <c r="J26" i="4"/>
  <c r="G24" i="4"/>
  <c r="E24" i="4"/>
  <c r="M24" i="4"/>
  <c r="G23" i="4"/>
  <c r="B23" i="4"/>
  <c r="C24" i="4"/>
  <c r="L23" i="4"/>
  <c r="G26" i="4"/>
  <c r="J25" i="4"/>
  <c r="I25" i="4"/>
  <c r="L25" i="4"/>
  <c r="E25" i="4"/>
  <c r="I24" i="4"/>
  <c r="J23" i="4"/>
  <c r="F23" i="4"/>
  <c r="I23" i="4"/>
  <c r="H23" i="4"/>
  <c r="L24" i="4"/>
  <c r="F26" i="4"/>
  <c r="F25" i="4"/>
  <c r="K24" i="4"/>
  <c r="H25" i="4"/>
  <c r="D23" i="4"/>
  <c r="G25" i="4"/>
  <c r="D24" i="4"/>
  <c r="C23" i="4"/>
  <c r="E26" i="4"/>
  <c r="L24" i="1"/>
  <c r="C24" i="1"/>
  <c r="K24" i="1"/>
  <c r="G24" i="1"/>
  <c r="B24" i="1"/>
  <c r="H24" i="1"/>
  <c r="I24" i="1"/>
  <c r="E24" i="1"/>
  <c r="D24" i="1"/>
  <c r="J24" i="1"/>
  <c r="F24" i="1"/>
  <c r="D23" i="1"/>
  <c r="F23" i="1" l="1"/>
  <c r="C23" i="1"/>
  <c r="E23" i="1"/>
  <c r="L23" i="1"/>
  <c r="I23" i="1"/>
  <c r="H23" i="1"/>
  <c r="J23" i="1"/>
  <c r="G23" i="1"/>
  <c r="K23" i="1"/>
  <c r="M23" i="1"/>
</calcChain>
</file>

<file path=xl/sharedStrings.xml><?xml version="1.0" encoding="utf-8"?>
<sst xmlns="http://schemas.openxmlformats.org/spreadsheetml/2006/main" count="102" uniqueCount="23">
  <si>
    <t xml:space="preserve">Normalized </t>
  </si>
  <si>
    <t>Tubulin_blot1</t>
  </si>
  <si>
    <t>actin_blot2</t>
  </si>
  <si>
    <t>Tubulin_blot2</t>
  </si>
  <si>
    <t>Actin_blot1</t>
  </si>
  <si>
    <t>MCF7 1</t>
  </si>
  <si>
    <t>MCF7 2</t>
  </si>
  <si>
    <t>MCF7 3</t>
  </si>
  <si>
    <t>ICImono 1w 1</t>
  </si>
  <si>
    <t>ICImono 1w 2</t>
  </si>
  <si>
    <t>ICImono 1w 3</t>
  </si>
  <si>
    <t>ICImono 2w 1</t>
  </si>
  <si>
    <t>ICImono 2w 2</t>
  </si>
  <si>
    <t>ICImono 2w 3</t>
  </si>
  <si>
    <t>ICImono 5w 1</t>
  </si>
  <si>
    <t>ICImono 5w 2</t>
  </si>
  <si>
    <t>ICImono 5w 3</t>
  </si>
  <si>
    <t>CyclinD1</t>
  </si>
  <si>
    <t>CyclinE1</t>
  </si>
  <si>
    <t>Cdk2</t>
  </si>
  <si>
    <t>RB1</t>
  </si>
  <si>
    <t>Cdk4</t>
  </si>
  <si>
    <t>Cdk6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</si>
</sst>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164" fontId="5" fillId="0" borderId="0" xfId="0" applyNumberFormat="1" applyFont="1"/>
    <xf numFmtId="164" fontId="1" fillId="0" borderId="0" xfId="0" applyNumberFormat="1" applyFont="1" applyAlignment="1">
      <alignment horizontal="center"/>
    </xf>
  </cellXfs>
  <cellStyles count="3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zoomScale="77" zoomScaleNormal="77" workbookViewId="0">
      <selection activeCell="B3" sqref="B3"/>
    </sheetView>
  </sheetViews>
  <sheetFormatPr baseColWidth="10" defaultColWidth="10.83203125" defaultRowHeight="21" x14ac:dyDescent="0.25"/>
  <cols>
    <col min="1" max="1" width="26.5" style="1" customWidth="1"/>
    <col min="2" max="2" width="25" style="1" customWidth="1"/>
    <col min="3" max="3" width="18.83203125" style="1" customWidth="1"/>
    <col min="4" max="5" width="19.83203125" style="1" customWidth="1"/>
    <col min="6" max="6" width="17.1640625" style="1" customWidth="1"/>
    <col min="7" max="7" width="19.33203125" style="1" customWidth="1"/>
    <col min="8" max="8" width="24.1640625" style="1" customWidth="1"/>
    <col min="9" max="9" width="25.1640625" style="1" customWidth="1"/>
    <col min="10" max="10" width="23.33203125" style="1" customWidth="1"/>
    <col min="11" max="11" width="29.33203125" style="1" customWidth="1"/>
    <col min="12" max="12" width="23.83203125" style="1" customWidth="1"/>
    <col min="13" max="13" width="26.83203125" style="1" customWidth="1"/>
    <col min="14" max="14" width="23.33203125" style="1" customWidth="1"/>
    <col min="15" max="16384" width="10.83203125" style="1"/>
  </cols>
  <sheetData>
    <row r="1" spans="1:14" x14ac:dyDescent="0.25">
      <c r="A1" s="2"/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4" x14ac:dyDescent="0.25">
      <c r="A2" s="2" t="s">
        <v>4</v>
      </c>
      <c r="B2" s="1">
        <v>8.27</v>
      </c>
      <c r="C2" s="1">
        <v>7.726</v>
      </c>
      <c r="D2" s="1">
        <v>7.95</v>
      </c>
      <c r="E2" s="1">
        <v>7.7290000000000001</v>
      </c>
      <c r="F2" s="1">
        <v>7.3940000000000001</v>
      </c>
      <c r="G2" s="1">
        <v>7.9029999999999996</v>
      </c>
      <c r="H2" s="1">
        <v>8.4550000000000001</v>
      </c>
      <c r="I2" s="1">
        <v>8.173</v>
      </c>
      <c r="J2" s="1">
        <v>8.5069999999999997</v>
      </c>
      <c r="K2" s="1">
        <v>9.0109999999999992</v>
      </c>
      <c r="L2" s="1">
        <v>9.3249999999999993</v>
      </c>
      <c r="M2" s="1">
        <v>9.5570000000000004</v>
      </c>
      <c r="N2" s="1">
        <f t="shared" ref="N2:N7" si="0">SUM(B2:M2)</f>
        <v>100</v>
      </c>
    </row>
    <row r="3" spans="1:14" x14ac:dyDescent="0.25">
      <c r="A3" s="2" t="s">
        <v>1</v>
      </c>
      <c r="B3" s="1">
        <v>10.050000000000001</v>
      </c>
      <c r="C3" s="1">
        <v>10.311999999999999</v>
      </c>
      <c r="D3" s="1">
        <v>9.6839999999999993</v>
      </c>
      <c r="E3" s="1">
        <v>9.5779999999999994</v>
      </c>
      <c r="F3" s="1">
        <v>8.5399999999999991</v>
      </c>
      <c r="G3" s="1">
        <v>7.8680000000000003</v>
      </c>
      <c r="H3" s="1">
        <v>6.7859999999999996</v>
      </c>
      <c r="I3" s="1">
        <v>6.4930000000000003</v>
      </c>
      <c r="J3" s="1">
        <v>6.8529999999999998</v>
      </c>
      <c r="K3" s="1">
        <v>7.9139999999999997</v>
      </c>
      <c r="L3" s="1">
        <v>8.2469999999999999</v>
      </c>
      <c r="M3" s="1">
        <v>7.6749999999999998</v>
      </c>
      <c r="N3" s="1">
        <f t="shared" si="0"/>
        <v>99.999999999999986</v>
      </c>
    </row>
    <row r="4" spans="1:14" x14ac:dyDescent="0.25">
      <c r="A4" s="2" t="s">
        <v>17</v>
      </c>
      <c r="B4" s="1">
        <v>10.129</v>
      </c>
      <c r="C4" s="1">
        <v>12.257999999999999</v>
      </c>
      <c r="D4" s="1">
        <v>11.55</v>
      </c>
      <c r="E4" s="1">
        <v>8.0609999999999999</v>
      </c>
      <c r="F4" s="1">
        <v>6.2880000000000003</v>
      </c>
      <c r="G4" s="1">
        <v>7.4080000000000004</v>
      </c>
      <c r="H4" s="1">
        <v>5.851</v>
      </c>
      <c r="I4" s="1">
        <v>3.6120000000000001</v>
      </c>
      <c r="J4" s="1">
        <v>7</v>
      </c>
      <c r="K4" s="1">
        <v>10.377000000000001</v>
      </c>
      <c r="L4" s="1">
        <v>9.7769999999999992</v>
      </c>
      <c r="M4" s="1">
        <v>7.6890000000000001</v>
      </c>
      <c r="N4" s="1">
        <f t="shared" si="0"/>
        <v>100</v>
      </c>
    </row>
    <row r="5" spans="1:14" x14ac:dyDescent="0.25">
      <c r="A5" s="2" t="s">
        <v>18</v>
      </c>
      <c r="B5" s="1">
        <v>4.4790000000000001</v>
      </c>
      <c r="C5" s="1">
        <v>6.3630000000000004</v>
      </c>
      <c r="D5" s="1">
        <v>6.242</v>
      </c>
      <c r="E5" s="1">
        <v>9.2769999999999992</v>
      </c>
      <c r="F5" s="1">
        <v>8.3710000000000004</v>
      </c>
      <c r="G5" s="1">
        <v>9.2789999999999999</v>
      </c>
      <c r="H5" s="1">
        <v>7.8840000000000003</v>
      </c>
      <c r="I5" s="1">
        <v>6.2850000000000001</v>
      </c>
      <c r="J5" s="1">
        <v>7.2430000000000003</v>
      </c>
      <c r="K5" s="1">
        <v>10.574999999999999</v>
      </c>
      <c r="L5" s="1">
        <v>11.101000000000001</v>
      </c>
      <c r="M5" s="1">
        <v>12.901</v>
      </c>
      <c r="N5" s="1">
        <f t="shared" si="0"/>
        <v>99.999999999999986</v>
      </c>
    </row>
    <row r="6" spans="1:14" x14ac:dyDescent="0.25">
      <c r="A6" s="2" t="s">
        <v>19</v>
      </c>
      <c r="B6" s="1">
        <v>9.6739999999999995</v>
      </c>
      <c r="C6" s="1">
        <v>11.021000000000001</v>
      </c>
      <c r="D6" s="1">
        <v>10.401</v>
      </c>
      <c r="E6" s="1">
        <v>6.35</v>
      </c>
      <c r="F6" s="1">
        <v>6.3159999999999998</v>
      </c>
      <c r="G6" s="1">
        <v>7.4820000000000002</v>
      </c>
      <c r="H6" s="1">
        <v>8.3439999999999994</v>
      </c>
      <c r="I6" s="1">
        <v>6.2359999999999998</v>
      </c>
      <c r="J6" s="1">
        <v>7.9279999999999999</v>
      </c>
      <c r="K6" s="1">
        <v>10.055</v>
      </c>
      <c r="L6" s="1">
        <v>8.7059999999999995</v>
      </c>
      <c r="M6" s="1">
        <v>7.4870000000000001</v>
      </c>
      <c r="N6" s="1">
        <f t="shared" si="0"/>
        <v>99.999999999999986</v>
      </c>
    </row>
    <row r="7" spans="1:14" x14ac:dyDescent="0.25">
      <c r="A7" s="2" t="s">
        <v>20</v>
      </c>
      <c r="B7" s="2">
        <v>21.710999999999999</v>
      </c>
      <c r="C7" s="2">
        <v>21.542999999999999</v>
      </c>
      <c r="D7" s="2">
        <v>13.647</v>
      </c>
      <c r="E7" s="2">
        <v>2.65</v>
      </c>
      <c r="F7" s="2">
        <v>2.8119999999999998</v>
      </c>
      <c r="G7" s="2">
        <v>2.2829999999999999</v>
      </c>
      <c r="H7" s="2">
        <v>2.4289999999999998</v>
      </c>
      <c r="I7" s="2">
        <v>1.72</v>
      </c>
      <c r="J7" s="2">
        <v>1.1890000000000001</v>
      </c>
      <c r="K7" s="2">
        <v>12.366</v>
      </c>
      <c r="L7" s="2">
        <v>9.2479999999999993</v>
      </c>
      <c r="M7" s="2">
        <v>8.4019999999999992</v>
      </c>
      <c r="N7" s="1">
        <f t="shared" si="0"/>
        <v>99.999999999999986</v>
      </c>
    </row>
    <row r="8" spans="1:14" x14ac:dyDescent="0.25">
      <c r="A8" s="2"/>
      <c r="B8" s="2"/>
      <c r="C8" s="2"/>
      <c r="D8" s="2"/>
      <c r="E8" s="2"/>
      <c r="F8" s="2"/>
      <c r="G8" s="2"/>
    </row>
    <row r="9" spans="1:14" x14ac:dyDescent="0.25">
      <c r="A9" s="2"/>
      <c r="B9" s="2">
        <f t="shared" ref="B9:M9" si="1">AVERAGE(B2:B3)</f>
        <v>9.16</v>
      </c>
      <c r="C9" s="2">
        <f t="shared" si="1"/>
        <v>9.0190000000000001</v>
      </c>
      <c r="D9" s="2">
        <f t="shared" si="1"/>
        <v>8.8170000000000002</v>
      </c>
      <c r="E9" s="2">
        <f t="shared" si="1"/>
        <v>8.6534999999999993</v>
      </c>
      <c r="F9" s="2">
        <f t="shared" si="1"/>
        <v>7.9669999999999996</v>
      </c>
      <c r="G9" s="2">
        <f t="shared" si="1"/>
        <v>7.8855000000000004</v>
      </c>
      <c r="H9" s="2">
        <f t="shared" si="1"/>
        <v>7.6204999999999998</v>
      </c>
      <c r="I9" s="2">
        <f t="shared" si="1"/>
        <v>7.3330000000000002</v>
      </c>
      <c r="J9" s="2">
        <f t="shared" si="1"/>
        <v>7.68</v>
      </c>
      <c r="K9" s="2">
        <f t="shared" si="1"/>
        <v>8.4624999999999986</v>
      </c>
      <c r="L9" s="2">
        <f t="shared" si="1"/>
        <v>8.7859999999999996</v>
      </c>
      <c r="M9" s="2">
        <f t="shared" si="1"/>
        <v>8.6159999999999997</v>
      </c>
      <c r="N9" s="2">
        <f t="shared" ref="N9" si="2">AVERAGE(N2:N3)</f>
        <v>100</v>
      </c>
    </row>
    <row r="10" spans="1:14" x14ac:dyDescent="0.25">
      <c r="A10" s="2"/>
      <c r="B10" s="2"/>
      <c r="C10" s="2"/>
      <c r="D10" s="2"/>
      <c r="E10" s="2"/>
      <c r="F10" s="2"/>
      <c r="G10" s="3"/>
    </row>
    <row r="11" spans="1:14" x14ac:dyDescent="0.25">
      <c r="A11" s="2" t="s">
        <v>0</v>
      </c>
      <c r="B11" s="2" t="s">
        <v>5</v>
      </c>
      <c r="C11" s="2" t="s">
        <v>6</v>
      </c>
      <c r="D11" s="2" t="s">
        <v>7</v>
      </c>
      <c r="E11" s="2" t="s">
        <v>8</v>
      </c>
      <c r="F11" s="2" t="s">
        <v>9</v>
      </c>
      <c r="G11" s="2" t="s">
        <v>10</v>
      </c>
      <c r="H11" s="2" t="s">
        <v>11</v>
      </c>
      <c r="I11" s="2" t="s">
        <v>12</v>
      </c>
      <c r="J11" s="2" t="s">
        <v>13</v>
      </c>
      <c r="K11" s="2" t="s">
        <v>14</v>
      </c>
      <c r="L11" s="2" t="s">
        <v>15</v>
      </c>
      <c r="M11" s="2" t="s">
        <v>16</v>
      </c>
    </row>
    <row r="12" spans="1:14" x14ac:dyDescent="0.25">
      <c r="A12" s="2" t="s">
        <v>17</v>
      </c>
      <c r="B12" s="4">
        <f t="shared" ref="B12:M12" si="3">B4/B9</f>
        <v>1.1057860262008734</v>
      </c>
      <c r="C12" s="4">
        <f t="shared" si="3"/>
        <v>1.3591307240270538</v>
      </c>
      <c r="D12" s="4">
        <f t="shared" si="3"/>
        <v>1.3099693773392311</v>
      </c>
      <c r="E12" s="4">
        <f t="shared" si="3"/>
        <v>0.93153059455711573</v>
      </c>
      <c r="F12" s="4">
        <f t="shared" si="3"/>
        <v>0.7892556796786746</v>
      </c>
      <c r="G12" s="4">
        <f t="shared" si="3"/>
        <v>0.93944581827404727</v>
      </c>
      <c r="H12" s="4">
        <f t="shared" si="3"/>
        <v>0.76779738862279379</v>
      </c>
      <c r="I12" s="4">
        <f t="shared" si="3"/>
        <v>0.49256784399290876</v>
      </c>
      <c r="J12" s="4">
        <f t="shared" si="3"/>
        <v>0.91145833333333337</v>
      </c>
      <c r="K12" s="4">
        <f t="shared" si="3"/>
        <v>1.2262333825701628</v>
      </c>
      <c r="L12" s="4">
        <f t="shared" si="3"/>
        <v>1.1127930798998407</v>
      </c>
      <c r="M12" s="4">
        <f t="shared" si="3"/>
        <v>0.89240947075208921</v>
      </c>
    </row>
    <row r="13" spans="1:14" x14ac:dyDescent="0.25">
      <c r="A13" s="2" t="s">
        <v>18</v>
      </c>
      <c r="B13" s="4">
        <f t="shared" ref="B13:M13" si="4">B5/B9</f>
        <v>0.48897379912663758</v>
      </c>
      <c r="C13" s="4">
        <f t="shared" si="4"/>
        <v>0.7055105887570684</v>
      </c>
      <c r="D13" s="4">
        <f t="shared" si="4"/>
        <v>0.70795055007372121</v>
      </c>
      <c r="E13" s="4">
        <f t="shared" si="4"/>
        <v>1.0720517709597273</v>
      </c>
      <c r="F13" s="4">
        <f t="shared" si="4"/>
        <v>1.050709175348312</v>
      </c>
      <c r="G13" s="4">
        <f t="shared" si="4"/>
        <v>1.1767167586075709</v>
      </c>
      <c r="H13" s="4">
        <f t="shared" si="4"/>
        <v>1.0345777836099994</v>
      </c>
      <c r="I13" s="4">
        <f t="shared" si="4"/>
        <v>0.85708441292786031</v>
      </c>
      <c r="J13" s="4">
        <f t="shared" si="4"/>
        <v>0.94309895833333346</v>
      </c>
      <c r="K13" s="4">
        <f t="shared" si="4"/>
        <v>1.2496307237813886</v>
      </c>
      <c r="L13" s="4">
        <f t="shared" si="4"/>
        <v>1.2634873662645119</v>
      </c>
      <c r="M13" s="4">
        <f t="shared" si="4"/>
        <v>1.497330547818013</v>
      </c>
    </row>
    <row r="14" spans="1:14" x14ac:dyDescent="0.25">
      <c r="A14" s="2" t="s">
        <v>19</v>
      </c>
      <c r="B14" s="4">
        <f>B6/B9</f>
        <v>1.0561135371179038</v>
      </c>
      <c r="C14" s="4">
        <f t="shared" ref="C14:M14" si="5">C6/C9</f>
        <v>1.2219758288058544</v>
      </c>
      <c r="D14" s="4">
        <f t="shared" si="5"/>
        <v>1.1796529431779517</v>
      </c>
      <c r="E14" s="4">
        <f t="shared" si="5"/>
        <v>0.73380713006298026</v>
      </c>
      <c r="F14" s="4">
        <f t="shared" si="5"/>
        <v>0.79277017698004271</v>
      </c>
      <c r="G14" s="4">
        <f t="shared" si="5"/>
        <v>0.94883013125356663</v>
      </c>
      <c r="H14" s="4">
        <f t="shared" si="5"/>
        <v>1.0949412768191062</v>
      </c>
      <c r="I14" s="4">
        <f t="shared" si="5"/>
        <v>0.85040229101322784</v>
      </c>
      <c r="J14" s="4">
        <f t="shared" si="5"/>
        <v>1.0322916666666666</v>
      </c>
      <c r="K14" s="4">
        <f t="shared" si="5"/>
        <v>1.1881831610044316</v>
      </c>
      <c r="L14" s="4">
        <f t="shared" si="5"/>
        <v>0.99089460505349414</v>
      </c>
      <c r="M14" s="4">
        <f t="shared" si="5"/>
        <v>0.86896471680594245</v>
      </c>
    </row>
    <row r="15" spans="1:14" x14ac:dyDescent="0.25">
      <c r="A15" s="2" t="s">
        <v>20</v>
      </c>
      <c r="B15" s="4">
        <f>B7/B9</f>
        <v>2.3701965065502182</v>
      </c>
      <c r="C15" s="4">
        <f t="shared" ref="C15:L15" si="6">C7/C9</f>
        <v>2.3886240159662933</v>
      </c>
      <c r="D15" s="4">
        <f t="shared" si="6"/>
        <v>1.547805375978224</v>
      </c>
      <c r="E15" s="4">
        <f t="shared" si="6"/>
        <v>0.3062344716010863</v>
      </c>
      <c r="F15" s="4">
        <f t="shared" si="6"/>
        <v>0.35295594326597213</v>
      </c>
      <c r="G15" s="4">
        <f t="shared" si="6"/>
        <v>0.28951873692219893</v>
      </c>
      <c r="H15" s="4">
        <f t="shared" si="6"/>
        <v>0.31874548914113243</v>
      </c>
      <c r="I15" s="4">
        <f t="shared" si="6"/>
        <v>0.2345561161870994</v>
      </c>
      <c r="J15" s="4">
        <f t="shared" si="6"/>
        <v>0.15481770833333336</v>
      </c>
      <c r="K15" s="4">
        <f t="shared" si="6"/>
        <v>1.4612703101920239</v>
      </c>
      <c r="L15" s="4">
        <f t="shared" si="6"/>
        <v>1.0525836558160711</v>
      </c>
      <c r="M15" s="4">
        <f>M7/M9</f>
        <v>0.97516248839368613</v>
      </c>
    </row>
    <row r="16" spans="1:14" x14ac:dyDescent="0.2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2" t="s">
        <v>17</v>
      </c>
      <c r="B17" s="4">
        <f>AVERAGE(B12:D12)</f>
        <v>1.2582953758557196</v>
      </c>
      <c r="C17" s="4"/>
      <c r="D17" s="4"/>
      <c r="E17" s="4"/>
      <c r="F17" s="4"/>
      <c r="G17" s="5"/>
    </row>
    <row r="18" spans="1:13" x14ac:dyDescent="0.25">
      <c r="A18" s="2" t="s">
        <v>18</v>
      </c>
      <c r="B18" s="4">
        <f>AVERAGE(B13:D13)</f>
        <v>0.63414497931914238</v>
      </c>
      <c r="C18" s="4"/>
      <c r="D18" s="4"/>
      <c r="E18" s="4"/>
      <c r="F18" s="4"/>
      <c r="G18" s="5"/>
    </row>
    <row r="19" spans="1:13" x14ac:dyDescent="0.25">
      <c r="A19" s="2" t="s">
        <v>19</v>
      </c>
      <c r="B19" s="4">
        <f>AVERAGE(B14:D14)</f>
        <v>1.1525807697005701</v>
      </c>
      <c r="C19" s="4"/>
      <c r="D19" s="4"/>
      <c r="E19" s="4"/>
      <c r="F19" s="4"/>
      <c r="G19" s="5"/>
    </row>
    <row r="20" spans="1:13" x14ac:dyDescent="0.25">
      <c r="A20" s="2" t="s">
        <v>20</v>
      </c>
      <c r="B20" s="4">
        <f>AVERAGE(B15:D15)</f>
        <v>2.1022086328315788</v>
      </c>
      <c r="C20" s="4"/>
      <c r="D20" s="4"/>
      <c r="E20" s="4"/>
      <c r="F20" s="4"/>
      <c r="G20" s="5"/>
    </row>
    <row r="21" spans="1:13" x14ac:dyDescent="0.25">
      <c r="B21" s="4"/>
      <c r="C21" s="4"/>
      <c r="D21" s="4"/>
      <c r="E21" s="4"/>
      <c r="F21" s="4"/>
      <c r="G21" s="3"/>
    </row>
    <row r="22" spans="1:13" x14ac:dyDescent="0.25">
      <c r="A22" s="2"/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</row>
    <row r="23" spans="1:13" x14ac:dyDescent="0.25">
      <c r="A23" s="2" t="s">
        <v>17</v>
      </c>
      <c r="B23" s="4">
        <f>B12/$B$17</f>
        <v>0.87879686075208674</v>
      </c>
      <c r="C23" s="4">
        <f t="shared" ref="C23:M23" si="7">C12/$B$17</f>
        <v>1.0801364688340842</v>
      </c>
      <c r="D23" s="4">
        <f t="shared" si="7"/>
        <v>1.0410666704138287</v>
      </c>
      <c r="E23" s="4">
        <f t="shared" si="7"/>
        <v>0.74031154562863799</v>
      </c>
      <c r="F23" s="4">
        <f t="shared" si="7"/>
        <v>0.6272419773790644</v>
      </c>
      <c r="G23" s="4">
        <f t="shared" si="7"/>
        <v>0.74660197939229123</v>
      </c>
      <c r="H23" s="4">
        <f t="shared" si="7"/>
        <v>0.61018851642893746</v>
      </c>
      <c r="I23" s="4">
        <f t="shared" si="7"/>
        <v>0.3914564524708134</v>
      </c>
      <c r="J23" s="4">
        <f t="shared" si="7"/>
        <v>0.72435959856681875</v>
      </c>
      <c r="K23" s="4">
        <f t="shared" si="7"/>
        <v>0.97451950162039447</v>
      </c>
      <c r="L23" s="4">
        <f t="shared" si="7"/>
        <v>0.88436554822676017</v>
      </c>
      <c r="M23" s="4">
        <f t="shared" si="7"/>
        <v>0.70922097297321385</v>
      </c>
    </row>
    <row r="24" spans="1:13" x14ac:dyDescent="0.25">
      <c r="A24" s="2" t="s">
        <v>18</v>
      </c>
      <c r="B24" s="4">
        <f t="shared" ref="B24:M24" si="8">B13/$B$18</f>
        <v>0.77107572412168324</v>
      </c>
      <c r="C24" s="4">
        <f t="shared" si="8"/>
        <v>1.1125383181532851</v>
      </c>
      <c r="D24" s="4">
        <f t="shared" si="8"/>
        <v>1.1163859577250317</v>
      </c>
      <c r="E24" s="4">
        <f t="shared" si="8"/>
        <v>1.6905468085716755</v>
      </c>
      <c r="F24" s="4">
        <f t="shared" si="8"/>
        <v>1.6568911047382555</v>
      </c>
      <c r="G24" s="4">
        <f t="shared" si="8"/>
        <v>1.8555957974641184</v>
      </c>
      <c r="H24" s="4">
        <f t="shared" si="8"/>
        <v>1.6314530862024432</v>
      </c>
      <c r="I24" s="4">
        <f t="shared" si="8"/>
        <v>1.3515590927615315</v>
      </c>
      <c r="J24" s="4">
        <f t="shared" si="8"/>
        <v>1.4871977057137682</v>
      </c>
      <c r="K24" s="4">
        <f t="shared" si="8"/>
        <v>1.9705757587532589</v>
      </c>
      <c r="L24" s="4">
        <f t="shared" si="8"/>
        <v>1.9924266649892439</v>
      </c>
      <c r="M24" s="4">
        <f t="shared" si="8"/>
        <v>2.3611801664433907</v>
      </c>
    </row>
    <row r="25" spans="1:13" x14ac:dyDescent="0.25">
      <c r="A25" s="2" t="s">
        <v>19</v>
      </c>
      <c r="B25" s="4">
        <f>B14/$B$19</f>
        <v>0.91630327772367082</v>
      </c>
      <c r="C25" s="4">
        <f t="shared" ref="C25:L25" si="9">C14/$B$19</f>
        <v>1.0602084130930907</v>
      </c>
      <c r="D25" s="4">
        <f t="shared" si="9"/>
        <v>1.0234883091832381</v>
      </c>
      <c r="E25" s="4">
        <f t="shared" si="9"/>
        <v>0.63666438774058032</v>
      </c>
      <c r="F25" s="4">
        <f t="shared" si="9"/>
        <v>0.6878217976740989</v>
      </c>
      <c r="G25" s="4">
        <f t="shared" si="9"/>
        <v>0.82322224714894732</v>
      </c>
      <c r="H25" s="4">
        <f t="shared" si="9"/>
        <v>0.94999092957586129</v>
      </c>
      <c r="I25" s="4">
        <f t="shared" si="9"/>
        <v>0.73782446607551377</v>
      </c>
      <c r="J25" s="4">
        <f t="shared" si="9"/>
        <v>0.89563499045264006</v>
      </c>
      <c r="K25" s="4">
        <f t="shared" si="9"/>
        <v>1.0308892810289647</v>
      </c>
      <c r="L25" s="4">
        <f t="shared" si="9"/>
        <v>0.85971814826558268</v>
      </c>
      <c r="M25" s="4">
        <f>M14/$B$19</f>
        <v>0.75392956367968167</v>
      </c>
    </row>
    <row r="26" spans="1:13" x14ac:dyDescent="0.25">
      <c r="A26" s="2" t="s">
        <v>20</v>
      </c>
      <c r="B26" s="4">
        <f>B15/$B$20</f>
        <v>1.1274791995110742</v>
      </c>
      <c r="C26" s="4">
        <f t="shared" ref="C26:M26" si="10">C15/$B$20</f>
        <v>1.1362449847563065</v>
      </c>
      <c r="D26" s="4">
        <f t="shared" si="10"/>
        <v>0.7362758157326188</v>
      </c>
      <c r="E26" s="4">
        <f t="shared" si="10"/>
        <v>0.14567273048850651</v>
      </c>
      <c r="F26" s="4">
        <f t="shared" si="10"/>
        <v>0.16789767568909497</v>
      </c>
      <c r="G26" s="4">
        <f t="shared" si="10"/>
        <v>0.13772121967372497</v>
      </c>
      <c r="H26" s="4">
        <f t="shared" si="10"/>
        <v>0.15162409865656237</v>
      </c>
      <c r="I26" s="4">
        <f t="shared" si="10"/>
        <v>0.11157604080008132</v>
      </c>
      <c r="J26" s="4">
        <f t="shared" si="10"/>
        <v>7.3645263327075675E-2</v>
      </c>
      <c r="K26" s="4">
        <f t="shared" si="10"/>
        <v>0.69511193483387024</v>
      </c>
      <c r="L26" s="4">
        <f t="shared" si="10"/>
        <v>0.50070370722352575</v>
      </c>
      <c r="M26" s="4">
        <f t="shared" si="10"/>
        <v>0.46387521826517614</v>
      </c>
    </row>
    <row r="30" spans="1:13" x14ac:dyDescent="0.25">
      <c r="B30" s="6"/>
    </row>
    <row r="31" spans="1:13" x14ac:dyDescent="0.25">
      <c r="B31" s="6"/>
    </row>
    <row r="32" spans="1:13" x14ac:dyDescent="0.25">
      <c r="B32" s="6"/>
    </row>
    <row r="33" spans="2:2" x14ac:dyDescent="0.25">
      <c r="B33" s="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80" zoomScaleNormal="80" workbookViewId="0">
      <selection activeCell="O12" sqref="O12"/>
    </sheetView>
  </sheetViews>
  <sheetFormatPr baseColWidth="10" defaultColWidth="10.83203125" defaultRowHeight="21" x14ac:dyDescent="0.25"/>
  <cols>
    <col min="1" max="1" width="17.33203125" style="1" bestFit="1" customWidth="1"/>
    <col min="2" max="2" width="12.33203125" style="1" customWidth="1"/>
    <col min="3" max="3" width="16.83203125" style="1" customWidth="1"/>
    <col min="4" max="4" width="16" style="1" customWidth="1"/>
    <col min="5" max="5" width="18.33203125" style="1" customWidth="1"/>
    <col min="6" max="6" width="20.1640625" style="1" customWidth="1"/>
    <col min="7" max="7" width="16.5" style="1" customWidth="1"/>
    <col min="8" max="8" width="30.5" style="1" customWidth="1"/>
    <col min="9" max="9" width="26.33203125" style="1" customWidth="1"/>
    <col min="10" max="10" width="28.83203125" style="1" customWidth="1"/>
    <col min="11" max="11" width="29.33203125" style="1" customWidth="1"/>
    <col min="12" max="12" width="29.5" style="1" customWidth="1"/>
    <col min="13" max="13" width="34.33203125" style="1" customWidth="1"/>
    <col min="14" max="14" width="13.83203125" style="1" customWidth="1"/>
    <col min="15" max="16384" width="10.83203125" style="1"/>
  </cols>
  <sheetData>
    <row r="1" spans="1:26" x14ac:dyDescent="0.25">
      <c r="A1" s="2"/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26" x14ac:dyDescent="0.25">
      <c r="A2" s="2" t="s">
        <v>2</v>
      </c>
      <c r="B2" s="1">
        <v>8.2840000000000007</v>
      </c>
      <c r="C2" s="1">
        <v>6.9390000000000001</v>
      </c>
      <c r="D2" s="1">
        <v>7.3449999999999998</v>
      </c>
      <c r="E2" s="1">
        <v>8.3510000000000009</v>
      </c>
      <c r="F2" s="1">
        <v>8.2040000000000006</v>
      </c>
      <c r="G2" s="1">
        <v>7.3849999999999998</v>
      </c>
      <c r="H2" s="1">
        <v>8.1010000000000009</v>
      </c>
      <c r="I2" s="1">
        <v>8.6379999999999999</v>
      </c>
      <c r="J2" s="1">
        <v>9.2949999999999999</v>
      </c>
      <c r="K2" s="1">
        <v>9.7089999999999996</v>
      </c>
      <c r="L2" s="1">
        <v>9.3260000000000005</v>
      </c>
      <c r="M2" s="1">
        <v>8.423</v>
      </c>
      <c r="N2" s="1">
        <f t="shared" ref="N2:N7" si="0">SUM(B2:M2)</f>
        <v>100</v>
      </c>
    </row>
    <row r="3" spans="1:26" x14ac:dyDescent="0.25">
      <c r="A3" s="2" t="s">
        <v>3</v>
      </c>
      <c r="N3" s="1">
        <f>SUM(O3:Z3)</f>
        <v>99.999999999999986</v>
      </c>
      <c r="O3" s="1">
        <v>9.5389999999999997</v>
      </c>
      <c r="P3" s="1">
        <v>9.0340000000000007</v>
      </c>
      <c r="Q3" s="1">
        <v>9.3539999999999992</v>
      </c>
      <c r="R3" s="1">
        <v>8.4730000000000008</v>
      </c>
      <c r="S3" s="1">
        <v>8.5830000000000002</v>
      </c>
      <c r="T3" s="1">
        <v>7.6429999999999998</v>
      </c>
      <c r="U3" s="1">
        <v>7.0949999999999998</v>
      </c>
      <c r="V3" s="1">
        <v>7.8109999999999999</v>
      </c>
      <c r="W3" s="1">
        <v>8.4719999999999995</v>
      </c>
      <c r="X3" s="1">
        <v>8.5500000000000007</v>
      </c>
      <c r="Y3" s="1">
        <v>7.5090000000000003</v>
      </c>
      <c r="Z3" s="1">
        <v>7.9370000000000003</v>
      </c>
    </row>
    <row r="4" spans="1:26" x14ac:dyDescent="0.25">
      <c r="A4" s="2" t="s">
        <v>21</v>
      </c>
      <c r="B4" s="1">
        <v>11.538</v>
      </c>
      <c r="C4" s="1">
        <v>11.332000000000001</v>
      </c>
      <c r="D4" s="1">
        <v>10.532999999999999</v>
      </c>
      <c r="E4" s="1">
        <v>8.7230000000000008</v>
      </c>
      <c r="F4" s="1">
        <v>8.157</v>
      </c>
      <c r="G4" s="1">
        <v>8.2189999999999994</v>
      </c>
      <c r="H4" s="1">
        <v>7.3940000000000001</v>
      </c>
      <c r="I4" s="1">
        <v>6.7030000000000003</v>
      </c>
      <c r="J4" s="1">
        <v>7.2</v>
      </c>
      <c r="K4" s="1">
        <v>9</v>
      </c>
      <c r="L4" s="1">
        <v>7.78</v>
      </c>
      <c r="M4" s="1">
        <v>3.4209999999999998</v>
      </c>
      <c r="N4" s="1">
        <f t="shared" si="0"/>
        <v>100.00000000000001</v>
      </c>
    </row>
    <row r="5" spans="1:26" x14ac:dyDescent="0.25">
      <c r="A5" s="2" t="s">
        <v>22</v>
      </c>
      <c r="B5" s="1">
        <v>5.9279999999999999</v>
      </c>
      <c r="C5" s="1">
        <v>4.827</v>
      </c>
      <c r="D5" s="1">
        <v>5.3639999999999999</v>
      </c>
      <c r="E5" s="1">
        <v>9.2040000000000006</v>
      </c>
      <c r="F5" s="1">
        <v>9.327</v>
      </c>
      <c r="G5" s="1">
        <v>10.307</v>
      </c>
      <c r="H5" s="1">
        <v>8.4269999999999996</v>
      </c>
      <c r="I5" s="1">
        <v>6.5250000000000004</v>
      </c>
      <c r="J5" s="1">
        <v>9.4440000000000008</v>
      </c>
      <c r="K5" s="1">
        <v>12.407</v>
      </c>
      <c r="L5" s="1">
        <v>10.242000000000001</v>
      </c>
      <c r="M5" s="1">
        <v>7.9980000000000002</v>
      </c>
      <c r="N5" s="1">
        <f t="shared" si="0"/>
        <v>100</v>
      </c>
    </row>
    <row r="6" spans="1:26" x14ac:dyDescent="0.25">
      <c r="A6" s="2"/>
      <c r="B6" s="1">
        <v>5.3570000000000002</v>
      </c>
      <c r="C6" s="1">
        <v>9.2780000000000005</v>
      </c>
      <c r="D6" s="1">
        <v>11.571999999999999</v>
      </c>
      <c r="E6" s="1">
        <v>10.439</v>
      </c>
      <c r="F6" s="1">
        <v>14.311999999999999</v>
      </c>
      <c r="G6" s="1">
        <v>18.021999999999998</v>
      </c>
      <c r="H6" s="1">
        <v>8.44</v>
      </c>
      <c r="I6" s="1">
        <v>6.5410000000000004</v>
      </c>
      <c r="J6" s="1">
        <v>12.394</v>
      </c>
      <c r="K6" s="1">
        <v>1.528</v>
      </c>
      <c r="L6" s="1">
        <v>0.42099999999999999</v>
      </c>
      <c r="M6" s="1">
        <v>1.696</v>
      </c>
      <c r="N6" s="1">
        <f t="shared" si="0"/>
        <v>100</v>
      </c>
    </row>
    <row r="7" spans="1:26" x14ac:dyDescent="0.25">
      <c r="A7" s="2"/>
      <c r="B7" s="1">
        <v>10.023999999999999</v>
      </c>
      <c r="C7" s="1">
        <v>9.4529999999999994</v>
      </c>
      <c r="D7" s="1">
        <v>10.926</v>
      </c>
      <c r="E7" s="1">
        <v>11.003</v>
      </c>
      <c r="F7" s="1">
        <v>11.461</v>
      </c>
      <c r="G7" s="1">
        <v>12.11</v>
      </c>
      <c r="H7" s="1">
        <v>7.0190000000000001</v>
      </c>
      <c r="I7" s="1">
        <v>6.1879999999999997</v>
      </c>
      <c r="J7" s="1">
        <v>7.7229999999999999</v>
      </c>
      <c r="K7" s="1">
        <v>4.9619999999999997</v>
      </c>
      <c r="L7" s="1">
        <v>3.9950000000000001</v>
      </c>
      <c r="M7" s="1">
        <v>5.1360000000000001</v>
      </c>
      <c r="N7" s="1">
        <f t="shared" si="0"/>
        <v>100.00000000000001</v>
      </c>
    </row>
    <row r="8" spans="1:26" x14ac:dyDescent="0.25">
      <c r="A8" s="2"/>
      <c r="B8" s="2"/>
      <c r="C8" s="2"/>
      <c r="D8" s="2"/>
      <c r="E8" s="2"/>
      <c r="F8" s="2"/>
      <c r="G8" s="2"/>
    </row>
    <row r="9" spans="1:26" x14ac:dyDescent="0.25">
      <c r="A9" s="2"/>
      <c r="B9" s="2">
        <f>AVERAGE(B2:B3)</f>
        <v>8.2840000000000007</v>
      </c>
      <c r="C9" s="2">
        <f>AVERAGE(C2:C3)</f>
        <v>6.9390000000000001</v>
      </c>
      <c r="D9" s="2">
        <f>AVERAGE(D2:D3)</f>
        <v>7.3449999999999998</v>
      </c>
      <c r="E9" s="2">
        <f>AVERAGE(E2:E3)</f>
        <v>8.3510000000000009</v>
      </c>
      <c r="F9" s="2">
        <f>AVERAGE(F2:F3)</f>
        <v>8.2040000000000006</v>
      </c>
      <c r="G9" s="2">
        <f t="shared" ref="G9:L9" si="1">AVERAGE(G2:G3)</f>
        <v>7.3849999999999998</v>
      </c>
      <c r="H9" s="2">
        <f t="shared" si="1"/>
        <v>8.1010000000000009</v>
      </c>
      <c r="I9" s="2">
        <f t="shared" si="1"/>
        <v>8.6379999999999999</v>
      </c>
      <c r="J9" s="2">
        <f t="shared" si="1"/>
        <v>9.2949999999999999</v>
      </c>
      <c r="K9" s="2">
        <f t="shared" si="1"/>
        <v>9.7089999999999996</v>
      </c>
      <c r="L9" s="2">
        <f t="shared" si="1"/>
        <v>9.3260000000000005</v>
      </c>
      <c r="M9" s="2">
        <f>AVERAGE(M2:M3)</f>
        <v>8.423</v>
      </c>
      <c r="N9" s="1">
        <f t="shared" ref="N9" si="2">SUM(B9:M9)</f>
        <v>100</v>
      </c>
    </row>
    <row r="10" spans="1:26" x14ac:dyDescent="0.25">
      <c r="A10" s="2"/>
      <c r="B10" s="2"/>
      <c r="C10" s="2"/>
      <c r="D10" s="2"/>
      <c r="E10" s="2"/>
      <c r="F10" s="2"/>
      <c r="G10" s="3"/>
    </row>
    <row r="11" spans="1:26" x14ac:dyDescent="0.25">
      <c r="A11" s="2" t="s">
        <v>0</v>
      </c>
      <c r="B11" s="2" t="s">
        <v>5</v>
      </c>
      <c r="C11" s="2" t="s">
        <v>6</v>
      </c>
      <c r="D11" s="2" t="s">
        <v>7</v>
      </c>
      <c r="E11" s="2" t="s">
        <v>8</v>
      </c>
      <c r="F11" s="2" t="s">
        <v>9</v>
      </c>
      <c r="G11" s="2" t="s">
        <v>10</v>
      </c>
      <c r="H11" s="2" t="s">
        <v>11</v>
      </c>
      <c r="I11" s="2" t="s">
        <v>12</v>
      </c>
      <c r="J11" s="2" t="s">
        <v>13</v>
      </c>
      <c r="K11" s="2" t="s">
        <v>14</v>
      </c>
      <c r="L11" s="2" t="s">
        <v>15</v>
      </c>
      <c r="M11" s="2" t="s">
        <v>16</v>
      </c>
    </row>
    <row r="12" spans="1:26" x14ac:dyDescent="0.25">
      <c r="A12" s="2" t="s">
        <v>21</v>
      </c>
      <c r="B12" s="4">
        <f>B4/B9</f>
        <v>1.3928054080154515</v>
      </c>
      <c r="C12" s="4">
        <f>C4/C9</f>
        <v>1.6330883412595476</v>
      </c>
      <c r="D12" s="4">
        <f>D4/D9</f>
        <v>1.4340367597004764</v>
      </c>
      <c r="E12" s="4">
        <f>E4/E9</f>
        <v>1.0445455634055802</v>
      </c>
      <c r="F12" s="4">
        <f>F4/F9</f>
        <v>0.9942710872745002</v>
      </c>
      <c r="G12" s="4">
        <f t="shared" ref="G12:M12" si="3">G4/G9</f>
        <v>1.1129316181448883</v>
      </c>
      <c r="H12" s="4">
        <f t="shared" si="3"/>
        <v>0.91272682384890746</v>
      </c>
      <c r="I12" s="4">
        <f t="shared" si="3"/>
        <v>0.77598981245658727</v>
      </c>
      <c r="J12" s="4">
        <f t="shared" si="3"/>
        <v>0.77461000537923619</v>
      </c>
      <c r="K12" s="4">
        <f t="shared" si="3"/>
        <v>0.92697497167576481</v>
      </c>
      <c r="L12" s="4">
        <f t="shared" si="3"/>
        <v>0.83422689255843874</v>
      </c>
      <c r="M12" s="4">
        <f t="shared" si="3"/>
        <v>0.40614982785230913</v>
      </c>
    </row>
    <row r="13" spans="1:26" x14ac:dyDescent="0.25">
      <c r="A13" s="2" t="s">
        <v>22</v>
      </c>
      <c r="B13" s="4">
        <f>B5/B9</f>
        <v>0.71559633027522929</v>
      </c>
      <c r="C13" s="4">
        <f>C5/C9</f>
        <v>0.69563337656722868</v>
      </c>
      <c r="D13" s="4">
        <f>D5/D9</f>
        <v>0.73029271613342406</v>
      </c>
      <c r="E13" s="4">
        <f>E5/E9</f>
        <v>1.1021434558735481</v>
      </c>
      <c r="F13" s="4">
        <f>F5/F9</f>
        <v>1.136884446611409</v>
      </c>
      <c r="G13" s="4">
        <f t="shared" ref="G13:M13" si="4">G5/G9</f>
        <v>1.3956668923493569</v>
      </c>
      <c r="H13" s="4">
        <f t="shared" si="4"/>
        <v>1.0402419454388345</v>
      </c>
      <c r="I13" s="4">
        <f t="shared" si="4"/>
        <v>0.75538319055336889</v>
      </c>
      <c r="J13" s="4">
        <f t="shared" si="4"/>
        <v>1.0160301237224316</v>
      </c>
      <c r="K13" s="4">
        <f t="shared" si="4"/>
        <v>1.2778864970645794</v>
      </c>
      <c r="L13" s="4">
        <f t="shared" si="4"/>
        <v>1.09822003002359</v>
      </c>
      <c r="M13" s="4">
        <f t="shared" si="4"/>
        <v>0.94954291820016623</v>
      </c>
    </row>
    <row r="14" spans="1:26" x14ac:dyDescent="0.25">
      <c r="A14" s="2"/>
      <c r="B14" s="4">
        <f>B6/B9</f>
        <v>0.64666827619507483</v>
      </c>
      <c r="C14" s="4">
        <f t="shared" ref="C14:L14" si="5">C6/C9</f>
        <v>1.337080270932411</v>
      </c>
      <c r="D14" s="4">
        <f t="shared" si="5"/>
        <v>1.5754935330156568</v>
      </c>
      <c r="E14" s="4">
        <f t="shared" si="5"/>
        <v>1.2500299365345466</v>
      </c>
      <c r="F14" s="4">
        <f t="shared" si="5"/>
        <v>1.744514870794734</v>
      </c>
      <c r="G14" s="4">
        <f t="shared" si="5"/>
        <v>2.4403520649966146</v>
      </c>
      <c r="H14" s="4">
        <f t="shared" si="5"/>
        <v>1.0418466855943709</v>
      </c>
      <c r="I14" s="4">
        <f t="shared" si="5"/>
        <v>0.7572354711738829</v>
      </c>
      <c r="J14" s="4">
        <f t="shared" si="5"/>
        <v>1.3334050564819795</v>
      </c>
      <c r="K14" s="4">
        <f t="shared" si="5"/>
        <v>0.15737975074672986</v>
      </c>
      <c r="L14" s="4">
        <f t="shared" si="5"/>
        <v>4.5142612052326822E-2</v>
      </c>
      <c r="M14" s="4">
        <f>M6/M9</f>
        <v>0.20135343701768965</v>
      </c>
    </row>
    <row r="15" spans="1:26" x14ac:dyDescent="0.25">
      <c r="A15" s="2"/>
      <c r="B15" s="4">
        <f>B7/B9</f>
        <v>1.2100434572670205</v>
      </c>
      <c r="C15" s="4">
        <f t="shared" ref="C15:M15" si="6">C7/C9</f>
        <v>1.3623000432338952</v>
      </c>
      <c r="D15" s="4">
        <f t="shared" si="6"/>
        <v>1.4875425459496256</v>
      </c>
      <c r="E15" s="4">
        <f t="shared" si="6"/>
        <v>1.3175667584720392</v>
      </c>
      <c r="F15" s="4">
        <f t="shared" si="6"/>
        <v>1.3970014627011214</v>
      </c>
      <c r="G15" s="4">
        <f t="shared" si="6"/>
        <v>1.6398104265402844</v>
      </c>
      <c r="H15" s="4">
        <f t="shared" si="6"/>
        <v>0.86643624243920492</v>
      </c>
      <c r="I15" s="4">
        <f t="shared" si="6"/>
        <v>0.71636952998379255</v>
      </c>
      <c r="J15" s="4">
        <f t="shared" si="6"/>
        <v>0.83087681549220005</v>
      </c>
      <c r="K15" s="4">
        <f t="shared" si="6"/>
        <v>0.51107220105057161</v>
      </c>
      <c r="L15" s="4">
        <f t="shared" si="6"/>
        <v>0.42837229251554793</v>
      </c>
      <c r="M15" s="4">
        <f t="shared" si="6"/>
        <v>0.60975899323281491</v>
      </c>
    </row>
    <row r="16" spans="1:26" x14ac:dyDescent="0.25">
      <c r="A16" s="2"/>
      <c r="B16" s="4"/>
      <c r="C16" s="4"/>
      <c r="D16" s="4"/>
      <c r="E16" s="4"/>
      <c r="F16" s="4"/>
      <c r="G16" s="5"/>
    </row>
    <row r="17" spans="1:13" x14ac:dyDescent="0.25">
      <c r="A17" s="2" t="s">
        <v>21</v>
      </c>
      <c r="B17" s="4">
        <f>AVERAGE(B12:D12)</f>
        <v>1.4866435029918252</v>
      </c>
      <c r="C17" s="4"/>
      <c r="D17" s="4"/>
      <c r="E17" s="4"/>
      <c r="F17" s="4"/>
      <c r="G17" s="5"/>
    </row>
    <row r="18" spans="1:13" x14ac:dyDescent="0.25">
      <c r="A18" s="2" t="s">
        <v>22</v>
      </c>
      <c r="B18" s="4">
        <f>AVERAGE(B13:D13)</f>
        <v>0.71384080765862734</v>
      </c>
      <c r="C18" s="4"/>
      <c r="D18" s="4"/>
      <c r="E18" s="4"/>
      <c r="F18" s="4"/>
      <c r="G18" s="5"/>
    </row>
    <row r="19" spans="1:13" x14ac:dyDescent="0.25">
      <c r="A19" s="2"/>
      <c r="B19" s="4">
        <f>AVERAGE(B14:D14)</f>
        <v>1.1864140267143808</v>
      </c>
      <c r="C19" s="4"/>
      <c r="D19" s="4"/>
      <c r="E19" s="4"/>
      <c r="F19" s="4"/>
      <c r="G19" s="5"/>
    </row>
    <row r="20" spans="1:13" x14ac:dyDescent="0.25">
      <c r="A20" s="2"/>
      <c r="B20" s="4">
        <f>AVERAGE(B15:D15)</f>
        <v>1.3532953488168469</v>
      </c>
      <c r="C20" s="4"/>
      <c r="D20" s="4"/>
      <c r="E20" s="4"/>
      <c r="F20" s="4"/>
      <c r="G20" s="5"/>
    </row>
    <row r="21" spans="1:13" x14ac:dyDescent="0.25">
      <c r="A21" s="2"/>
      <c r="B21" s="4"/>
      <c r="C21" s="4"/>
      <c r="D21" s="4"/>
      <c r="E21" s="4"/>
      <c r="F21" s="4"/>
      <c r="G21" s="3"/>
    </row>
    <row r="22" spans="1:13" x14ac:dyDescent="0.25">
      <c r="A22" s="2"/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</row>
    <row r="23" spans="1:13" x14ac:dyDescent="0.25">
      <c r="A23" s="2" t="s">
        <v>21</v>
      </c>
      <c r="B23" s="4">
        <f>B12/$B$17</f>
        <v>0.93687922169132853</v>
      </c>
      <c r="C23" s="4">
        <f t="shared" ref="C23:M23" si="7">C12/$B$17</f>
        <v>1.0985070314254941</v>
      </c>
      <c r="D23" s="4">
        <f t="shared" si="7"/>
        <v>0.96461374688317725</v>
      </c>
      <c r="E23" s="4">
        <f t="shared" si="7"/>
        <v>0.70262007085320977</v>
      </c>
      <c r="F23" s="4">
        <f t="shared" si="7"/>
        <v>0.6688026317496828</v>
      </c>
      <c r="G23" s="4">
        <f t="shared" si="7"/>
        <v>0.74862037597120423</v>
      </c>
      <c r="H23" s="4">
        <f t="shared" si="7"/>
        <v>0.61395137570780911</v>
      </c>
      <c r="I23" s="4">
        <f t="shared" si="7"/>
        <v>0.52197437441789585</v>
      </c>
      <c r="J23" s="4">
        <f t="shared" si="7"/>
        <v>0.52104623860418242</v>
      </c>
      <c r="K23" s="4">
        <f t="shared" si="7"/>
        <v>0.62353548097459521</v>
      </c>
      <c r="L23" s="4">
        <f t="shared" si="7"/>
        <v>0.56114790861399</v>
      </c>
      <c r="M23" s="4">
        <f t="shared" si="7"/>
        <v>0.27319920817260146</v>
      </c>
    </row>
    <row r="24" spans="1:13" x14ac:dyDescent="0.25">
      <c r="A24" s="2" t="s">
        <v>22</v>
      </c>
      <c r="B24" s="4">
        <f>B13/$B$18</f>
        <v>1.0024592634629002</v>
      </c>
      <c r="C24" s="4">
        <f t="shared" ref="C24:L24" si="8">C13/$B$18</f>
        <v>0.97449370938722546</v>
      </c>
      <c r="D24" s="4">
        <f t="shared" si="8"/>
        <v>1.0230470271498744</v>
      </c>
      <c r="E24" s="4">
        <f t="shared" si="8"/>
        <v>1.5439625250460811</v>
      </c>
      <c r="F24" s="4">
        <f t="shared" si="8"/>
        <v>1.5926302256946474</v>
      </c>
      <c r="G24" s="4">
        <f t="shared" si="8"/>
        <v>1.9551514530628966</v>
      </c>
      <c r="H24" s="4">
        <f t="shared" si="8"/>
        <v>1.4572463976258117</v>
      </c>
      <c r="I24" s="4">
        <f t="shared" si="8"/>
        <v>1.0581955842942057</v>
      </c>
      <c r="J24" s="4">
        <f t="shared" si="8"/>
        <v>1.4233287209440639</v>
      </c>
      <c r="K24" s="4">
        <f t="shared" si="8"/>
        <v>1.7901561291459394</v>
      </c>
      <c r="L24" s="4">
        <f t="shared" si="8"/>
        <v>1.538466305429796</v>
      </c>
      <c r="M24" s="4">
        <f>M13/$B$18</f>
        <v>1.3301886191049144</v>
      </c>
    </row>
    <row r="25" spans="1:13" x14ac:dyDescent="0.25">
      <c r="A25" s="2"/>
      <c r="B25" s="2">
        <f>B14/$B$19</f>
        <v>0.54506121946816366</v>
      </c>
      <c r="C25" s="2">
        <f t="shared" ref="C25:M25" si="9">C14/$B$19</f>
        <v>1.1269929727949026</v>
      </c>
      <c r="D25" s="2">
        <f t="shared" si="9"/>
        <v>1.3279458077369339</v>
      </c>
      <c r="E25" s="2">
        <f t="shared" si="9"/>
        <v>1.0536203284753316</v>
      </c>
      <c r="F25" s="2">
        <f t="shared" si="9"/>
        <v>1.4704098497772662</v>
      </c>
      <c r="G25" s="2">
        <f t="shared" si="9"/>
        <v>2.0569143739431772</v>
      </c>
      <c r="H25" s="2">
        <f t="shared" si="9"/>
        <v>0.87814764671961076</v>
      </c>
      <c r="I25" s="2">
        <f t="shared" si="9"/>
        <v>0.63825566296695591</v>
      </c>
      <c r="J25" s="2">
        <f t="shared" si="9"/>
        <v>1.1238952224584458</v>
      </c>
      <c r="K25" s="2">
        <f t="shared" si="9"/>
        <v>0.13265162683770065</v>
      </c>
      <c r="L25" s="2">
        <f t="shared" si="9"/>
        <v>3.804962773184957E-2</v>
      </c>
      <c r="M25" s="2">
        <f t="shared" si="9"/>
        <v>0.16971599499317433</v>
      </c>
    </row>
    <row r="26" spans="1:13" x14ac:dyDescent="0.25">
      <c r="A26" s="2"/>
      <c r="B26" s="1">
        <f>B15/$B$20</f>
        <v>0.89414587756097141</v>
      </c>
      <c r="C26" s="1">
        <f t="shared" ref="C26:M26" si="10">C15/$B$20</f>
        <v>1.0066539018440586</v>
      </c>
      <c r="D26" s="1">
        <f t="shared" si="10"/>
        <v>1.0992002205949705</v>
      </c>
      <c r="E26" s="1">
        <f t="shared" si="10"/>
        <v>0.97359882277283794</v>
      </c>
      <c r="F26" s="1">
        <f t="shared" si="10"/>
        <v>1.0322960645083763</v>
      </c>
      <c r="G26" s="1">
        <f t="shared" si="10"/>
        <v>1.2117165908934295</v>
      </c>
      <c r="H26" s="1">
        <f t="shared" si="10"/>
        <v>0.64024179437009743</v>
      </c>
      <c r="I26" s="1">
        <f t="shared" si="10"/>
        <v>0.52935194864158586</v>
      </c>
      <c r="J26" s="1">
        <f t="shared" si="10"/>
        <v>0.61396561823597151</v>
      </c>
      <c r="K26" s="1">
        <f t="shared" si="10"/>
        <v>0.37765015707575555</v>
      </c>
      <c r="L26" s="1">
        <f t="shared" si="10"/>
        <v>0.31654013507846857</v>
      </c>
      <c r="M26" s="1">
        <f t="shared" si="10"/>
        <v>0.45057347885360893</v>
      </c>
    </row>
    <row r="28" spans="1:13" x14ac:dyDescent="0.25">
      <c r="A28" s="6"/>
    </row>
    <row r="29" spans="1:13" x14ac:dyDescent="0.25">
      <c r="A29" s="6"/>
    </row>
    <row r="30" spans="1:13" x14ac:dyDescent="0.25">
      <c r="A30" s="6"/>
    </row>
    <row r="31" spans="1:13" x14ac:dyDescent="0.25">
      <c r="A31" s="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Blot1</vt:lpstr>
      <vt:lpstr>Blot2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craftsman</dc:creator>
  <cp:lastModifiedBy>Wei He</cp:lastModifiedBy>
  <dcterms:created xsi:type="dcterms:W3CDTF">2018-04-30T15:36:49Z</dcterms:created>
  <dcterms:modified xsi:type="dcterms:W3CDTF">2024-02-11T15:49:12Z</dcterms:modified>
</cp:coreProperties>
</file>