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weihe/Documents/VT/paper3/data/01092023 Bill Long-term cells 12+mo monthly(basal, mono palbo, alt palbo-arm, alt AZD+ICI arm 3reps)/"/>
    </mc:Choice>
  </mc:AlternateContent>
  <xr:revisionPtr revIDLastSave="0" documentId="13_ncr:1_{7EA1D435-722F-9847-A3F1-7B26555BE9F9}" xr6:coauthVersionLast="47" xr6:coauthVersionMax="47" xr10:uidLastSave="{00000000-0000-0000-0000-000000000000}"/>
  <bookViews>
    <workbookView xWindow="8960" yWindow="2420" windowWidth="51740" windowHeight="18080" tabRatio="500" xr2:uid="{00000000-000D-0000-FFFF-FFFF00000000}"/>
  </bookViews>
  <sheets>
    <sheet name="Blot1" sheetId="1" r:id="rId1"/>
    <sheet name="Blo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9" i="4" l="1"/>
  <c r="M15" i="4" s="1"/>
  <c r="G9" i="4"/>
  <c r="G13" i="4" s="1"/>
  <c r="H9" i="4"/>
  <c r="H12" i="4" s="1"/>
  <c r="I9" i="4"/>
  <c r="J9" i="4"/>
  <c r="J12" i="4" s="1"/>
  <c r="K9" i="4"/>
  <c r="K15" i="4" s="1"/>
  <c r="L9" i="4"/>
  <c r="L15" i="4" s="1"/>
  <c r="N7" i="4"/>
  <c r="N6" i="4"/>
  <c r="N5" i="4"/>
  <c r="N4" i="4"/>
  <c r="N3" i="4"/>
  <c r="N2" i="4"/>
  <c r="B9" i="4"/>
  <c r="J12" i="1"/>
  <c r="J20" i="1" s="1"/>
  <c r="N10" i="1"/>
  <c r="N8" i="1"/>
  <c r="N9" i="1"/>
  <c r="N7" i="1"/>
  <c r="N5" i="1"/>
  <c r="N6" i="1"/>
  <c r="N4" i="1"/>
  <c r="M12" i="1"/>
  <c r="M17" i="1" s="1"/>
  <c r="L12" i="1"/>
  <c r="L15" i="1" s="1"/>
  <c r="K12" i="1"/>
  <c r="K21" i="1" s="1"/>
  <c r="I12" i="1"/>
  <c r="I21" i="1" s="1"/>
  <c r="H12" i="1"/>
  <c r="H16" i="1" s="1"/>
  <c r="G12" i="1"/>
  <c r="G20" i="1" s="1"/>
  <c r="B12" i="1"/>
  <c r="B15" i="1" s="1"/>
  <c r="N3" i="1"/>
  <c r="N2" i="1"/>
  <c r="F9" i="4"/>
  <c r="F12" i="4" s="1"/>
  <c r="E9" i="4"/>
  <c r="E13" i="4" s="1"/>
  <c r="D9" i="4"/>
  <c r="C9" i="4"/>
  <c r="C15" i="4" s="1"/>
  <c r="E14" i="4" l="1"/>
  <c r="C14" i="4"/>
  <c r="J15" i="4"/>
  <c r="B14" i="4"/>
  <c r="B12" i="4"/>
  <c r="N9" i="4"/>
  <c r="I12" i="4"/>
  <c r="I15" i="4"/>
  <c r="D15" i="4"/>
  <c r="D14" i="4"/>
  <c r="M14" i="4"/>
  <c r="M12" i="4"/>
  <c r="H15" i="4"/>
  <c r="G12" i="4"/>
  <c r="G15" i="4"/>
  <c r="M13" i="4"/>
  <c r="L12" i="4"/>
  <c r="K13" i="4"/>
  <c r="J14" i="4"/>
  <c r="K12" i="4"/>
  <c r="J13" i="4"/>
  <c r="I14" i="4"/>
  <c r="B15" i="4"/>
  <c r="F15" i="4"/>
  <c r="L14" i="4"/>
  <c r="K14" i="4"/>
  <c r="I13" i="4"/>
  <c r="H14" i="4"/>
  <c r="E15" i="4"/>
  <c r="L13" i="4"/>
  <c r="H13" i="4"/>
  <c r="G14" i="4"/>
  <c r="F14" i="4"/>
  <c r="K16" i="1"/>
  <c r="B20" i="1"/>
  <c r="G15" i="1"/>
  <c r="G16" i="1"/>
  <c r="B18" i="1"/>
  <c r="G18" i="1"/>
  <c r="J19" i="1"/>
  <c r="G19" i="1"/>
  <c r="I19" i="1"/>
  <c r="K17" i="1"/>
  <c r="H19" i="1"/>
  <c r="I17" i="1"/>
  <c r="K15" i="1"/>
  <c r="K20" i="1"/>
  <c r="J18" i="1"/>
  <c r="J21" i="1"/>
  <c r="B16" i="1"/>
  <c r="K18" i="1"/>
  <c r="H21" i="1"/>
  <c r="M20" i="1"/>
  <c r="M16" i="1"/>
  <c r="L16" i="1"/>
  <c r="M18" i="1"/>
  <c r="B19" i="1"/>
  <c r="J15" i="1"/>
  <c r="J16" i="1"/>
  <c r="H17" i="1"/>
  <c r="M19" i="1"/>
  <c r="I20" i="1"/>
  <c r="M21" i="1"/>
  <c r="B21" i="1"/>
  <c r="I15" i="1"/>
  <c r="I16" i="1"/>
  <c r="G17" i="1"/>
  <c r="H18" i="1"/>
  <c r="L19" i="1"/>
  <c r="H20" i="1"/>
  <c r="L21" i="1"/>
  <c r="G21" i="1"/>
  <c r="L17" i="1"/>
  <c r="M15" i="1"/>
  <c r="L18" i="1"/>
  <c r="L20" i="1"/>
  <c r="J17" i="1"/>
  <c r="H15" i="1"/>
  <c r="I18" i="1"/>
  <c r="K19" i="1"/>
  <c r="N12" i="1"/>
  <c r="C12" i="4"/>
  <c r="B13" i="4"/>
  <c r="F13" i="4"/>
  <c r="D12" i="4"/>
  <c r="C13" i="4"/>
  <c r="E12" i="4"/>
  <c r="D13" i="4"/>
  <c r="F12" i="1"/>
  <c r="E12" i="1"/>
  <c r="E21" i="1" s="1"/>
  <c r="D12" i="1"/>
  <c r="C12" i="1"/>
  <c r="B18" i="4" l="1"/>
  <c r="M24" i="4" s="1"/>
  <c r="B20" i="4"/>
  <c r="H26" i="4" s="1"/>
  <c r="B17" i="4"/>
  <c r="C23" i="4" s="1"/>
  <c r="B19" i="4"/>
  <c r="M25" i="4" s="1"/>
  <c r="D16" i="1"/>
  <c r="D18" i="1"/>
  <c r="D19" i="1"/>
  <c r="D20" i="1"/>
  <c r="D21" i="1"/>
  <c r="E16" i="1"/>
  <c r="E18" i="1"/>
  <c r="E20" i="1"/>
  <c r="E19" i="1"/>
  <c r="F17" i="1"/>
  <c r="F21" i="1"/>
  <c r="F20" i="1"/>
  <c r="F19" i="1"/>
  <c r="F18" i="1"/>
  <c r="C16" i="1"/>
  <c r="C19" i="1"/>
  <c r="C21" i="1"/>
  <c r="C18" i="1"/>
  <c r="C20" i="1"/>
  <c r="F16" i="1"/>
  <c r="E17" i="1"/>
  <c r="D17" i="1"/>
  <c r="C17" i="1"/>
  <c r="B17" i="1"/>
  <c r="B24" i="4" l="1"/>
  <c r="L23" i="4"/>
  <c r="I24" i="4"/>
  <c r="K24" i="4"/>
  <c r="D24" i="4"/>
  <c r="K23" i="4"/>
  <c r="L24" i="4"/>
  <c r="J24" i="4"/>
  <c r="C24" i="4"/>
  <c r="H24" i="4"/>
  <c r="M23" i="4"/>
  <c r="E23" i="4"/>
  <c r="B23" i="4"/>
  <c r="F25" i="4"/>
  <c r="I25" i="4"/>
  <c r="G25" i="4"/>
  <c r="D23" i="4"/>
  <c r="I23" i="4"/>
  <c r="B26" i="1"/>
  <c r="G35" i="1" s="1"/>
  <c r="B28" i="1"/>
  <c r="H37" i="1" s="1"/>
  <c r="B27" i="1"/>
  <c r="J26" i="4"/>
  <c r="K26" i="4"/>
  <c r="L26" i="4"/>
  <c r="C26" i="4"/>
  <c r="M26" i="4"/>
  <c r="B26" i="4"/>
  <c r="B29" i="1"/>
  <c r="D38" i="1" s="1"/>
  <c r="B25" i="1"/>
  <c r="B34" i="1" s="1"/>
  <c r="I26" i="4"/>
  <c r="E25" i="4"/>
  <c r="C25" i="4"/>
  <c r="D26" i="4"/>
  <c r="E26" i="4"/>
  <c r="B25" i="4"/>
  <c r="J23" i="4"/>
  <c r="F23" i="4"/>
  <c r="H23" i="4"/>
  <c r="J25" i="4"/>
  <c r="F26" i="4"/>
  <c r="G26" i="4"/>
  <c r="K25" i="4"/>
  <c r="B24" i="1"/>
  <c r="G24" i="4"/>
  <c r="E24" i="4"/>
  <c r="L25" i="4"/>
  <c r="H25" i="4"/>
  <c r="D25" i="4"/>
  <c r="G23" i="4"/>
  <c r="F24" i="4"/>
  <c r="E15" i="1"/>
  <c r="F15" i="1"/>
  <c r="C15" i="1"/>
  <c r="D15" i="1"/>
  <c r="K35" i="1" l="1"/>
  <c r="D35" i="1"/>
  <c r="H35" i="1"/>
  <c r="J35" i="1"/>
  <c r="I35" i="1"/>
  <c r="B35" i="1"/>
  <c r="C35" i="1"/>
  <c r="F35" i="1"/>
  <c r="M35" i="1"/>
  <c r="E35" i="1"/>
  <c r="L35" i="1"/>
  <c r="L37" i="1"/>
  <c r="M37" i="1"/>
  <c r="E37" i="1"/>
  <c r="B37" i="1"/>
  <c r="I37" i="1"/>
  <c r="D34" i="1"/>
  <c r="K37" i="1"/>
  <c r="J37" i="1"/>
  <c r="D37" i="1"/>
  <c r="G37" i="1"/>
  <c r="C37" i="1"/>
  <c r="E34" i="1"/>
  <c r="C34" i="1"/>
  <c r="E38" i="1"/>
  <c r="F37" i="1"/>
  <c r="H33" i="1"/>
  <c r="B33" i="1"/>
  <c r="G33" i="1"/>
  <c r="L33" i="1"/>
  <c r="I33" i="1"/>
  <c r="M33" i="1"/>
  <c r="J33" i="1"/>
  <c r="K33" i="1"/>
  <c r="F33" i="1"/>
  <c r="M36" i="1"/>
  <c r="H36" i="1"/>
  <c r="G36" i="1"/>
  <c r="J36" i="1"/>
  <c r="I36" i="1"/>
  <c r="K36" i="1"/>
  <c r="L36" i="1"/>
  <c r="B36" i="1"/>
  <c r="E33" i="1"/>
  <c r="C33" i="1"/>
  <c r="E36" i="1"/>
  <c r="D36" i="1"/>
  <c r="C36" i="1"/>
  <c r="D33" i="1"/>
  <c r="M34" i="1"/>
  <c r="L34" i="1"/>
  <c r="K34" i="1"/>
  <c r="J34" i="1"/>
  <c r="G34" i="1"/>
  <c r="I34" i="1"/>
  <c r="H34" i="1"/>
  <c r="I38" i="1"/>
  <c r="K38" i="1"/>
  <c r="G38" i="1"/>
  <c r="M38" i="1"/>
  <c r="H38" i="1"/>
  <c r="B38" i="1"/>
  <c r="L38" i="1"/>
  <c r="J38" i="1"/>
  <c r="C38" i="1"/>
  <c r="F34" i="1"/>
  <c r="F38" i="1"/>
  <c r="F36" i="1"/>
  <c r="B23" i="1"/>
  <c r="L32" i="1" l="1"/>
  <c r="B32" i="1"/>
  <c r="G32" i="1"/>
  <c r="H32" i="1"/>
  <c r="M32" i="1"/>
  <c r="I32" i="1"/>
  <c r="J32" i="1"/>
  <c r="K32" i="1"/>
  <c r="C32" i="1"/>
  <c r="E32" i="1"/>
  <c r="F32" i="1"/>
  <c r="D32" i="1"/>
</calcChain>
</file>

<file path=xl/sharedStrings.xml><?xml version="1.0" encoding="utf-8"?>
<sst xmlns="http://schemas.openxmlformats.org/spreadsheetml/2006/main" count="122" uniqueCount="27">
  <si>
    <t xml:space="preserve">Normalized </t>
  </si>
  <si>
    <t>CyclinD1</t>
  </si>
  <si>
    <t>Cdk6</t>
  </si>
  <si>
    <t>Cdk2</t>
  </si>
  <si>
    <t>Cdk4</t>
  </si>
  <si>
    <t>Tubulin_blot1</t>
  </si>
  <si>
    <t>actin_blot2</t>
  </si>
  <si>
    <t>Tubulin_blot2</t>
  </si>
  <si>
    <t>Actin_blot1</t>
  </si>
  <si>
    <t>Cdc25c</t>
  </si>
  <si>
    <t>CyclinB1</t>
  </si>
  <si>
    <t>CyclinE</t>
  </si>
  <si>
    <t>RB</t>
  </si>
  <si>
    <t>MCF7 1</t>
  </si>
  <si>
    <t>MCF7 2</t>
  </si>
  <si>
    <t>MCF7 3</t>
  </si>
  <si>
    <t>palbomono 1</t>
  </si>
  <si>
    <t>palbomono 2</t>
  </si>
  <si>
    <t>palbomono 3</t>
  </si>
  <si>
    <t>palbo alter AZD+ICI (palbo) 1</t>
  </si>
  <si>
    <t>palbo alter AZD+ICI (palbo) 2</t>
  </si>
  <si>
    <t>palbo alter AZD+ICI (palbo) 3</t>
  </si>
  <si>
    <t>palbo alter AZD+ICI (AZD+ICI) 1</t>
  </si>
  <si>
    <t>palbo alter AZD+ICI (AZD+ICI) 2</t>
  </si>
  <si>
    <t>palbo alter AZD+ICI (AZD+ICI) 3</t>
  </si>
  <si>
    <t>Cdk1</t>
  </si>
  <si>
    <t>Wee1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</si>
</sst>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164" fontId="4" fillId="0" borderId="0" xfId="0" applyNumberFormat="1" applyFont="1" applyAlignment="1">
      <alignment horizontal="center"/>
    </xf>
    <xf numFmtId="164" fontId="5" fillId="0" borderId="0" xfId="0" applyNumberFormat="1" applyFont="1"/>
  </cellXfs>
  <cellStyles count="3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"/>
  <sheetViews>
    <sheetView tabSelected="1" topLeftCell="A2" zoomScale="80" zoomScaleNormal="80" workbookViewId="0">
      <selection activeCell="O3" sqref="O3:Z3"/>
    </sheetView>
  </sheetViews>
  <sheetFormatPr baseColWidth="10" defaultColWidth="10.83203125" defaultRowHeight="21" x14ac:dyDescent="0.25"/>
  <cols>
    <col min="1" max="1" width="26.5" style="1" customWidth="1"/>
    <col min="2" max="2" width="25" style="1" customWidth="1"/>
    <col min="3" max="3" width="18.83203125" style="1" customWidth="1"/>
    <col min="4" max="4" width="24" style="1" customWidth="1"/>
    <col min="5" max="5" width="19.83203125" style="1" customWidth="1"/>
    <col min="6" max="6" width="17.1640625" style="1" customWidth="1"/>
    <col min="7" max="7" width="19.33203125" style="1" customWidth="1"/>
    <col min="8" max="8" width="25" style="1" customWidth="1"/>
    <col min="9" max="9" width="33.5" style="1" customWidth="1"/>
    <col min="10" max="10" width="34.6640625" style="1" customWidth="1"/>
    <col min="11" max="11" width="37.5" style="1" customWidth="1"/>
    <col min="12" max="12" width="35.5" style="1" customWidth="1"/>
    <col min="13" max="13" width="35.33203125" style="1" customWidth="1"/>
    <col min="14" max="14" width="23.33203125" style="1" customWidth="1"/>
    <col min="15" max="16384" width="10.83203125" style="1"/>
  </cols>
  <sheetData>
    <row r="1" spans="1:14" x14ac:dyDescent="0.25">
      <c r="A1" s="2"/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</row>
    <row r="2" spans="1:14" x14ac:dyDescent="0.25">
      <c r="A2" s="2" t="s">
        <v>8</v>
      </c>
      <c r="B2" s="2">
        <v>9.1519999999999992</v>
      </c>
      <c r="C2" s="2">
        <v>7.173</v>
      </c>
      <c r="D2" s="2">
        <v>9.3689999999999998</v>
      </c>
      <c r="E2" s="2">
        <v>8.9410000000000007</v>
      </c>
      <c r="F2" s="2">
        <v>9.1760000000000002</v>
      </c>
      <c r="G2" s="2">
        <v>8.9049999999999994</v>
      </c>
      <c r="H2" s="1">
        <v>8.5730000000000004</v>
      </c>
      <c r="I2" s="1">
        <v>8.4580000000000002</v>
      </c>
      <c r="J2" s="1">
        <v>8.4990000000000006</v>
      </c>
      <c r="K2" s="1">
        <v>6.79</v>
      </c>
      <c r="L2" s="1">
        <v>7.2119999999999997</v>
      </c>
      <c r="M2" s="1">
        <v>7.7519999999999998</v>
      </c>
      <c r="N2" s="1">
        <f>SUM(B2:M2)</f>
        <v>100</v>
      </c>
    </row>
    <row r="3" spans="1:14" x14ac:dyDescent="0.25">
      <c r="A3" s="2" t="s">
        <v>5</v>
      </c>
      <c r="B3" s="1">
        <v>10.590999999999999</v>
      </c>
      <c r="C3" s="1">
        <v>10.611000000000001</v>
      </c>
      <c r="D3" s="1">
        <v>10.113</v>
      </c>
      <c r="E3" s="1">
        <v>9.5069999999999997</v>
      </c>
      <c r="F3" s="1">
        <v>9.266</v>
      </c>
      <c r="G3" s="1">
        <v>9.1989999999999998</v>
      </c>
      <c r="H3" s="1">
        <v>7.8949999999999996</v>
      </c>
      <c r="I3" s="1">
        <v>7.13</v>
      </c>
      <c r="J3" s="1">
        <v>7.9009999999999998</v>
      </c>
      <c r="K3" s="1">
        <v>5.6440000000000001</v>
      </c>
      <c r="L3" s="1">
        <v>5.8280000000000003</v>
      </c>
      <c r="M3" s="1">
        <v>6.3150000000000004</v>
      </c>
      <c r="N3" s="1">
        <f>SUM(B3:M3)</f>
        <v>99.999999999999986</v>
      </c>
    </row>
    <row r="4" spans="1:14" x14ac:dyDescent="0.25">
      <c r="A4" s="2" t="s">
        <v>9</v>
      </c>
      <c r="B4" s="1">
        <v>14.093999999999999</v>
      </c>
      <c r="C4" s="1">
        <v>13.846</v>
      </c>
      <c r="D4" s="1">
        <v>13.2</v>
      </c>
      <c r="E4" s="1">
        <v>12.388</v>
      </c>
      <c r="F4" s="1">
        <v>11.346</v>
      </c>
      <c r="G4" s="1">
        <v>12.285</v>
      </c>
      <c r="H4" s="1">
        <v>5.8529999999999998</v>
      </c>
      <c r="I4" s="1">
        <v>4.657</v>
      </c>
      <c r="J4" s="1">
        <v>7.0350000000000001</v>
      </c>
      <c r="K4" s="1">
        <v>2.4380000000000002</v>
      </c>
      <c r="L4" s="1">
        <v>1.901</v>
      </c>
      <c r="M4" s="1">
        <v>0.95699999999999996</v>
      </c>
      <c r="N4" s="1">
        <f>SUM(B4:M4)</f>
        <v>99.999999999999972</v>
      </c>
    </row>
    <row r="5" spans="1:14" x14ac:dyDescent="0.25">
      <c r="A5" s="2" t="s">
        <v>3</v>
      </c>
      <c r="B5" s="1">
        <v>11.082000000000001</v>
      </c>
      <c r="C5" s="1">
        <v>11.234</v>
      </c>
      <c r="D5" s="1">
        <v>11.48</v>
      </c>
      <c r="E5" s="1">
        <v>8.6920000000000002</v>
      </c>
      <c r="F5" s="1">
        <v>9.0749999999999993</v>
      </c>
      <c r="G5" s="1">
        <v>9.2810000000000006</v>
      </c>
      <c r="H5" s="1">
        <v>7.71</v>
      </c>
      <c r="I5" s="1">
        <v>6.9640000000000004</v>
      </c>
      <c r="J5" s="1">
        <v>9.49</v>
      </c>
      <c r="K5" s="1">
        <v>4.7880000000000003</v>
      </c>
      <c r="L5" s="1">
        <v>4.6470000000000002</v>
      </c>
      <c r="M5" s="1">
        <v>5.5570000000000004</v>
      </c>
      <c r="N5" s="1">
        <f t="shared" ref="N5:N6" si="0">SUM(B5:M5)</f>
        <v>100</v>
      </c>
    </row>
    <row r="6" spans="1:14" x14ac:dyDescent="0.25">
      <c r="A6" s="2" t="s">
        <v>4</v>
      </c>
      <c r="B6" s="1">
        <v>7.2779999999999996</v>
      </c>
      <c r="C6" s="1">
        <v>8.5</v>
      </c>
      <c r="D6" s="1">
        <v>9.14</v>
      </c>
      <c r="E6" s="1">
        <v>11.135</v>
      </c>
      <c r="F6" s="1">
        <v>10.981</v>
      </c>
      <c r="G6" s="1">
        <v>11.266</v>
      </c>
      <c r="H6" s="1">
        <v>10.539</v>
      </c>
      <c r="I6" s="1">
        <v>10.204000000000001</v>
      </c>
      <c r="J6" s="1">
        <v>12.843</v>
      </c>
      <c r="K6" s="1">
        <v>2.8969999999999998</v>
      </c>
      <c r="L6" s="1">
        <v>2.4260000000000002</v>
      </c>
      <c r="M6" s="1">
        <v>2.7909999999999999</v>
      </c>
      <c r="N6" s="1">
        <f t="shared" si="0"/>
        <v>100.00000000000001</v>
      </c>
    </row>
    <row r="7" spans="1:14" x14ac:dyDescent="0.25">
      <c r="A7" s="2" t="s">
        <v>10</v>
      </c>
      <c r="B7" s="1">
        <v>11.363</v>
      </c>
      <c r="C7" s="1">
        <v>13.454000000000001</v>
      </c>
      <c r="D7" s="1">
        <v>13.420999999999999</v>
      </c>
      <c r="E7" s="1">
        <v>11.194000000000001</v>
      </c>
      <c r="F7" s="1">
        <v>12.444000000000001</v>
      </c>
      <c r="G7" s="1">
        <v>11.775</v>
      </c>
      <c r="H7" s="1">
        <v>6.0469999999999997</v>
      </c>
      <c r="I7" s="1">
        <v>6.3449999999999998</v>
      </c>
      <c r="J7" s="1">
        <v>8.0370000000000008</v>
      </c>
      <c r="K7" s="1">
        <v>2.27</v>
      </c>
      <c r="L7" s="1">
        <v>1.65</v>
      </c>
      <c r="M7" s="1">
        <v>2</v>
      </c>
      <c r="N7" s="1">
        <f>SUM(B7:M7)</f>
        <v>100.00000000000001</v>
      </c>
    </row>
    <row r="8" spans="1:14" x14ac:dyDescent="0.25">
      <c r="A8" s="2" t="s">
        <v>1</v>
      </c>
      <c r="B8" s="1">
        <v>2.8620000000000001</v>
      </c>
      <c r="C8" s="1">
        <v>6.157</v>
      </c>
      <c r="D8" s="1">
        <v>7.1870000000000003</v>
      </c>
      <c r="E8" s="1">
        <v>12.833</v>
      </c>
      <c r="F8" s="1">
        <v>14.395</v>
      </c>
      <c r="G8" s="1">
        <v>15.189</v>
      </c>
      <c r="H8" s="1">
        <v>10.345000000000001</v>
      </c>
      <c r="I8" s="1">
        <v>12.881</v>
      </c>
      <c r="J8" s="1">
        <v>15.010999999999999</v>
      </c>
      <c r="K8" s="1">
        <v>1.369</v>
      </c>
      <c r="L8" s="1">
        <v>0.71099999999999997</v>
      </c>
      <c r="M8" s="1">
        <v>1.06</v>
      </c>
      <c r="N8" s="1">
        <f t="shared" ref="N8:N10" si="1">SUM(B8:M8)</f>
        <v>100</v>
      </c>
    </row>
    <row r="9" spans="1:14" x14ac:dyDescent="0.25">
      <c r="A9" s="2" t="s">
        <v>11</v>
      </c>
      <c r="B9" s="1">
        <v>4.5869999999999997</v>
      </c>
      <c r="C9" s="1">
        <v>5.4790000000000001</v>
      </c>
      <c r="D9" s="1">
        <v>6.9320000000000004</v>
      </c>
      <c r="E9" s="1">
        <v>10.327999999999999</v>
      </c>
      <c r="F9" s="1">
        <v>11.22</v>
      </c>
      <c r="G9" s="1">
        <v>11.757</v>
      </c>
      <c r="H9" s="1">
        <v>13.683999999999999</v>
      </c>
      <c r="I9" s="1">
        <v>13.101000000000001</v>
      </c>
      <c r="J9" s="1">
        <v>15.035</v>
      </c>
      <c r="K9" s="1">
        <v>2.3559999999999999</v>
      </c>
      <c r="L9" s="1">
        <v>2.448</v>
      </c>
      <c r="M9" s="1">
        <v>3.073</v>
      </c>
      <c r="N9" s="1">
        <f t="shared" si="1"/>
        <v>99.999999999999972</v>
      </c>
    </row>
    <row r="10" spans="1:14" x14ac:dyDescent="0.25">
      <c r="A10" s="2" t="s">
        <v>12</v>
      </c>
      <c r="B10" s="1">
        <v>11.949</v>
      </c>
      <c r="C10" s="1">
        <v>17.422000000000001</v>
      </c>
      <c r="D10" s="1">
        <v>16.478000000000002</v>
      </c>
      <c r="E10" s="1">
        <v>5.77</v>
      </c>
      <c r="F10" s="1">
        <v>12.198</v>
      </c>
      <c r="G10" s="1">
        <v>13.073</v>
      </c>
      <c r="H10" s="1">
        <v>1.849</v>
      </c>
      <c r="I10" s="1">
        <v>9.8049999999999997</v>
      </c>
      <c r="J10" s="1">
        <v>9.3260000000000005</v>
      </c>
      <c r="K10" s="1">
        <v>0.75</v>
      </c>
      <c r="L10" s="1">
        <v>0.80100000000000005</v>
      </c>
      <c r="M10" s="1">
        <v>0.57899999999999996</v>
      </c>
      <c r="N10" s="1">
        <f t="shared" si="1"/>
        <v>100</v>
      </c>
    </row>
    <row r="11" spans="1:14" x14ac:dyDescent="0.25">
      <c r="A11" s="2"/>
      <c r="B11" s="2"/>
      <c r="C11" s="2"/>
      <c r="D11" s="2"/>
      <c r="E11" s="2"/>
      <c r="F11" s="2"/>
      <c r="G11" s="2"/>
    </row>
    <row r="12" spans="1:14" x14ac:dyDescent="0.25">
      <c r="A12" s="2"/>
      <c r="B12" s="2">
        <f>AVERAGE(B2:B3)</f>
        <v>9.8714999999999993</v>
      </c>
      <c r="C12" s="2">
        <f>AVERAGE(C2:C3)</f>
        <v>8.8919999999999995</v>
      </c>
      <c r="D12" s="2">
        <f>AVERAGE(D2:D3)</f>
        <v>9.7409999999999997</v>
      </c>
      <c r="E12" s="2">
        <f>AVERAGE(E2:E3)</f>
        <v>9.2240000000000002</v>
      </c>
      <c r="F12" s="2">
        <f>AVERAGE(F2:F3)</f>
        <v>9.2210000000000001</v>
      </c>
      <c r="G12" s="2">
        <f>AVERAGE(G2:G3)</f>
        <v>9.0519999999999996</v>
      </c>
      <c r="H12" s="2">
        <f>AVERAGE(H2:H3)</f>
        <v>8.234</v>
      </c>
      <c r="I12" s="2">
        <f>AVERAGE(I2:I3)</f>
        <v>7.7940000000000005</v>
      </c>
      <c r="J12" s="2">
        <f>AVERAGE(J2:J3)</f>
        <v>8.1999999999999993</v>
      </c>
      <c r="K12" s="2">
        <f>AVERAGE(K2:K3)</f>
        <v>6.2170000000000005</v>
      </c>
      <c r="L12" s="2">
        <f>AVERAGE(L2:L3)</f>
        <v>6.52</v>
      </c>
      <c r="M12" s="2">
        <f>AVERAGE(M2:M3)</f>
        <v>7.0335000000000001</v>
      </c>
      <c r="N12" s="2">
        <f t="shared" ref="N12" si="2">AVERAGE(N2:N3)</f>
        <v>100</v>
      </c>
    </row>
    <row r="13" spans="1:14" x14ac:dyDescent="0.25">
      <c r="A13" s="2"/>
      <c r="B13" s="2"/>
      <c r="C13" s="2"/>
      <c r="D13" s="2"/>
      <c r="E13" s="2"/>
      <c r="F13" s="2"/>
      <c r="G13" s="3"/>
    </row>
    <row r="14" spans="1:14" x14ac:dyDescent="0.25">
      <c r="A14" s="2" t="s">
        <v>0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2" t="s">
        <v>20</v>
      </c>
      <c r="J14" s="2" t="s">
        <v>21</v>
      </c>
      <c r="K14" s="2" t="s">
        <v>22</v>
      </c>
      <c r="L14" s="2" t="s">
        <v>23</v>
      </c>
      <c r="M14" s="2" t="s">
        <v>24</v>
      </c>
    </row>
    <row r="15" spans="1:14" x14ac:dyDescent="0.25">
      <c r="A15" s="2" t="s">
        <v>9</v>
      </c>
      <c r="B15" s="4">
        <f>B4/B12</f>
        <v>1.4277465430785596</v>
      </c>
      <c r="C15" s="4">
        <f>C4/C12</f>
        <v>1.5571300044984258</v>
      </c>
      <c r="D15" s="4">
        <f>D4/D12</f>
        <v>1.3550970126270403</v>
      </c>
      <c r="E15" s="4">
        <f>E4/E12</f>
        <v>1.3430182133564614</v>
      </c>
      <c r="F15" s="4">
        <f>F4/F12</f>
        <v>1.2304522286086108</v>
      </c>
      <c r="G15" s="4">
        <f t="shared" ref="G15:M15" si="3">G4/G12</f>
        <v>1.3571586389748123</v>
      </c>
      <c r="H15" s="4">
        <f t="shared" si="3"/>
        <v>0.71083313092057321</v>
      </c>
      <c r="I15" s="4">
        <f t="shared" si="3"/>
        <v>0.59751090582499355</v>
      </c>
      <c r="J15" s="4">
        <f t="shared" si="3"/>
        <v>0.85792682926829278</v>
      </c>
      <c r="K15" s="4">
        <f t="shared" si="3"/>
        <v>0.39215055493003054</v>
      </c>
      <c r="L15" s="4">
        <f t="shared" si="3"/>
        <v>0.29156441717791415</v>
      </c>
      <c r="M15" s="4">
        <f t="shared" si="3"/>
        <v>0.13606312646619748</v>
      </c>
    </row>
    <row r="16" spans="1:14" x14ac:dyDescent="0.25">
      <c r="A16" s="2" t="s">
        <v>3</v>
      </c>
      <c r="B16" s="4">
        <f>B5/B12</f>
        <v>1.1226257407688802</v>
      </c>
      <c r="C16" s="4">
        <f>C5/C12</f>
        <v>1.2633828160143949</v>
      </c>
      <c r="D16" s="4">
        <f t="shared" ref="D16:E16" si="4">D5/D12</f>
        <v>1.1785237655271534</v>
      </c>
      <c r="E16" s="4">
        <f t="shared" si="4"/>
        <v>0.94232437120555068</v>
      </c>
      <c r="F16" s="4">
        <f>F5/F12</f>
        <v>0.98416657629324356</v>
      </c>
      <c r="G16" s="4">
        <f t="shared" ref="G16:M16" si="5">G5/G12</f>
        <v>1.0252982766239507</v>
      </c>
      <c r="H16" s="4">
        <f t="shared" si="5"/>
        <v>0.93636142822443524</v>
      </c>
      <c r="I16" s="4">
        <f t="shared" si="5"/>
        <v>0.89350782653323069</v>
      </c>
      <c r="J16" s="4">
        <f t="shared" si="5"/>
        <v>1.1573170731707318</v>
      </c>
      <c r="K16" s="4">
        <f t="shared" si="5"/>
        <v>0.77014637284864085</v>
      </c>
      <c r="L16" s="4">
        <f t="shared" si="5"/>
        <v>0.7127300613496933</v>
      </c>
      <c r="M16" s="4">
        <f t="shared" si="5"/>
        <v>0.79007606454823354</v>
      </c>
    </row>
    <row r="17" spans="1:13" x14ac:dyDescent="0.25">
      <c r="A17" s="2" t="s">
        <v>4</v>
      </c>
      <c r="B17" s="4">
        <f>B6/B12</f>
        <v>0.73727397052119736</v>
      </c>
      <c r="C17" s="4">
        <f>C6/C12</f>
        <v>0.95591542959964015</v>
      </c>
      <c r="D17" s="4">
        <f>D6/D12</f>
        <v>0.93830202237963256</v>
      </c>
      <c r="E17" s="4">
        <f>E6/E12</f>
        <v>1.2071769297484822</v>
      </c>
      <c r="F17" s="4">
        <f>F6/F12</f>
        <v>1.1908686693417199</v>
      </c>
      <c r="G17" s="4">
        <f t="shared" ref="G17:L17" si="6">G6/G12</f>
        <v>1.2445868316394169</v>
      </c>
      <c r="H17" s="4">
        <f t="shared" si="6"/>
        <v>1.2799368472188486</v>
      </c>
      <c r="I17" s="4">
        <f t="shared" si="6"/>
        <v>1.3092122145239928</v>
      </c>
      <c r="J17" s="4">
        <f t="shared" si="6"/>
        <v>1.5662195121951221</v>
      </c>
      <c r="K17" s="4">
        <f t="shared" si="6"/>
        <v>0.46598037638732498</v>
      </c>
      <c r="L17" s="4">
        <f t="shared" si="6"/>
        <v>0.37208588957055222</v>
      </c>
      <c r="M17" s="4">
        <f>M6/M12</f>
        <v>0.3968152413449918</v>
      </c>
    </row>
    <row r="18" spans="1:13" x14ac:dyDescent="0.25">
      <c r="A18" s="2" t="s">
        <v>10</v>
      </c>
      <c r="B18" s="4">
        <f>B7/B12</f>
        <v>1.1510915261105201</v>
      </c>
      <c r="C18" s="4">
        <f t="shared" ref="C18:G18" si="7">C7/C12</f>
        <v>1.5130454340980659</v>
      </c>
      <c r="D18" s="4">
        <f t="shared" si="7"/>
        <v>1.3777846217020839</v>
      </c>
      <c r="E18" s="4">
        <f t="shared" si="7"/>
        <v>1.21357328707719</v>
      </c>
      <c r="F18" s="4">
        <f t="shared" si="7"/>
        <v>1.3495282507320248</v>
      </c>
      <c r="G18" s="4">
        <f t="shared" si="7"/>
        <v>1.3008174988952719</v>
      </c>
      <c r="H18" s="4">
        <f t="shared" ref="H18:M18" si="8">H7/H12</f>
        <v>0.73439397619625935</v>
      </c>
      <c r="I18" s="4">
        <f t="shared" si="8"/>
        <v>0.8140877598152424</v>
      </c>
      <c r="J18" s="4">
        <f t="shared" si="8"/>
        <v>0.9801219512195124</v>
      </c>
      <c r="K18" s="4">
        <f t="shared" si="8"/>
        <v>0.36512787518095541</v>
      </c>
      <c r="L18" s="4">
        <f t="shared" si="8"/>
        <v>0.25306748466257667</v>
      </c>
      <c r="M18" s="4">
        <f t="shared" si="8"/>
        <v>0.28435345134001566</v>
      </c>
    </row>
    <row r="19" spans="1:13" x14ac:dyDescent="0.25">
      <c r="A19" s="2" t="s">
        <v>1</v>
      </c>
      <c r="B19" s="4">
        <f>B8/B12</f>
        <v>0.28992554323051212</v>
      </c>
      <c r="C19" s="4">
        <f t="shared" ref="C19:M19" si="9">C8/C12</f>
        <v>0.69242015294646875</v>
      </c>
      <c r="D19" s="4">
        <f t="shared" si="9"/>
        <v>0.73780925982958634</v>
      </c>
      <c r="E19" s="4">
        <f t="shared" si="9"/>
        <v>1.3912619254119687</v>
      </c>
      <c r="F19" s="4">
        <f t="shared" si="9"/>
        <v>1.5611105086216246</v>
      </c>
      <c r="G19" s="4">
        <f t="shared" si="9"/>
        <v>1.6779717189571366</v>
      </c>
      <c r="H19" s="4">
        <f t="shared" si="9"/>
        <v>1.2563760019431627</v>
      </c>
      <c r="I19" s="4">
        <f t="shared" si="9"/>
        <v>1.6526815499101872</v>
      </c>
      <c r="J19" s="4">
        <f t="shared" si="9"/>
        <v>1.8306097560975609</v>
      </c>
      <c r="K19" s="4">
        <f t="shared" si="9"/>
        <v>0.22020267009811803</v>
      </c>
      <c r="L19" s="4">
        <f t="shared" si="9"/>
        <v>0.10904907975460122</v>
      </c>
      <c r="M19" s="4">
        <f t="shared" si="9"/>
        <v>0.1507073292102083</v>
      </c>
    </row>
    <row r="20" spans="1:13" x14ac:dyDescent="0.25">
      <c r="A20" s="2" t="s">
        <v>11</v>
      </c>
      <c r="B20" s="4">
        <f>B9/B12</f>
        <v>0.46467102264093602</v>
      </c>
      <c r="C20" s="4">
        <f t="shared" ref="C20:M20" si="10">C9/C12</f>
        <v>0.6161718398560504</v>
      </c>
      <c r="D20" s="4">
        <f t="shared" si="10"/>
        <v>0.71163124935838218</v>
      </c>
      <c r="E20" s="4">
        <f t="shared" si="10"/>
        <v>1.1196877710320901</v>
      </c>
      <c r="F20" s="4">
        <f t="shared" si="10"/>
        <v>1.216787767053465</v>
      </c>
      <c r="G20" s="4">
        <f t="shared" si="10"/>
        <v>1.298828988068935</v>
      </c>
      <c r="H20" s="4">
        <f t="shared" si="10"/>
        <v>1.6618897255282972</v>
      </c>
      <c r="I20" s="4">
        <f t="shared" si="10"/>
        <v>1.680908391070054</v>
      </c>
      <c r="J20" s="4">
        <f t="shared" si="10"/>
        <v>1.8335365853658538</v>
      </c>
      <c r="K20" s="4">
        <f t="shared" si="10"/>
        <v>0.3789609136239343</v>
      </c>
      <c r="L20" s="4">
        <f t="shared" si="10"/>
        <v>0.3754601226993865</v>
      </c>
      <c r="M20" s="4">
        <f t="shared" si="10"/>
        <v>0.43690907798393402</v>
      </c>
    </row>
    <row r="21" spans="1:13" x14ac:dyDescent="0.25">
      <c r="A21" s="2" t="s">
        <v>12</v>
      </c>
      <c r="B21" s="4">
        <f>B10/B12</f>
        <v>1.2104543382464672</v>
      </c>
      <c r="C21" s="4">
        <f t="shared" ref="C21:M21" si="11">C10/C12</f>
        <v>1.9592892487629332</v>
      </c>
      <c r="D21" s="4">
        <f t="shared" si="11"/>
        <v>1.6916127707627555</v>
      </c>
      <c r="E21" s="4">
        <f>E10/E12</f>
        <v>0.62554206418039893</v>
      </c>
      <c r="F21" s="4">
        <f t="shared" si="11"/>
        <v>1.3228500162672161</v>
      </c>
      <c r="G21" s="4">
        <f>G10/G12</f>
        <v>1.4442112240388865</v>
      </c>
      <c r="H21" s="4">
        <f t="shared" si="11"/>
        <v>0.22455671605538013</v>
      </c>
      <c r="I21" s="4">
        <f>I10/I12</f>
        <v>1.2580189889658711</v>
      </c>
      <c r="J21" s="4">
        <f t="shared" si="11"/>
        <v>1.1373170731707318</v>
      </c>
      <c r="K21" s="4">
        <f t="shared" si="11"/>
        <v>0.12063696316551391</v>
      </c>
      <c r="L21" s="4">
        <f t="shared" si="11"/>
        <v>0.12285276073619633</v>
      </c>
      <c r="M21" s="4">
        <f t="shared" si="11"/>
        <v>8.2320324162934527E-2</v>
      </c>
    </row>
    <row r="22" spans="1:13" x14ac:dyDescent="0.25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5">
      <c r="A23" s="2" t="s">
        <v>9</v>
      </c>
      <c r="B23" s="4">
        <f t="shared" ref="B23:B29" si="12">AVERAGE(B15:D15)</f>
        <v>1.4466578534013419</v>
      </c>
      <c r="C23" s="4"/>
      <c r="D23" s="4"/>
      <c r="E23" s="4"/>
      <c r="F23" s="4"/>
      <c r="G23" s="5"/>
    </row>
    <row r="24" spans="1:13" x14ac:dyDescent="0.25">
      <c r="A24" s="2" t="s">
        <v>3</v>
      </c>
      <c r="B24" s="4">
        <f t="shared" si="12"/>
        <v>1.1881774407701429</v>
      </c>
      <c r="C24" s="4"/>
      <c r="D24" s="4"/>
      <c r="E24" s="4"/>
      <c r="F24" s="4"/>
      <c r="G24" s="5"/>
    </row>
    <row r="25" spans="1:13" x14ac:dyDescent="0.25">
      <c r="A25" s="2" t="s">
        <v>4</v>
      </c>
      <c r="B25" s="4">
        <f t="shared" si="12"/>
        <v>0.87716380750015677</v>
      </c>
      <c r="C25" s="4"/>
      <c r="D25" s="4"/>
      <c r="E25" s="4"/>
      <c r="F25" s="4"/>
      <c r="G25" s="5"/>
    </row>
    <row r="26" spans="1:13" x14ac:dyDescent="0.25">
      <c r="A26" s="2" t="s">
        <v>10</v>
      </c>
      <c r="B26" s="4">
        <f t="shared" si="12"/>
        <v>1.3473071939702235</v>
      </c>
      <c r="C26" s="4"/>
      <c r="D26" s="4"/>
      <c r="E26" s="4"/>
      <c r="F26" s="4"/>
      <c r="G26" s="5"/>
    </row>
    <row r="27" spans="1:13" x14ac:dyDescent="0.25">
      <c r="A27" s="2" t="s">
        <v>1</v>
      </c>
      <c r="B27" s="4">
        <f t="shared" si="12"/>
        <v>0.5733849853355224</v>
      </c>
      <c r="C27" s="4"/>
      <c r="D27" s="4"/>
      <c r="E27" s="4"/>
      <c r="F27" s="4"/>
      <c r="G27" s="5"/>
    </row>
    <row r="28" spans="1:13" x14ac:dyDescent="0.25">
      <c r="A28" s="2" t="s">
        <v>11</v>
      </c>
      <c r="B28" s="4">
        <f t="shared" si="12"/>
        <v>0.59749137061845614</v>
      </c>
      <c r="C28" s="4"/>
      <c r="D28" s="4"/>
      <c r="E28" s="4"/>
      <c r="F28" s="4"/>
      <c r="G28" s="5"/>
    </row>
    <row r="29" spans="1:13" x14ac:dyDescent="0.25">
      <c r="A29" s="2" t="s">
        <v>12</v>
      </c>
      <c r="B29" s="4">
        <f t="shared" si="12"/>
        <v>1.6204521192573853</v>
      </c>
      <c r="C29" s="4"/>
      <c r="D29" s="4"/>
      <c r="E29" s="4"/>
      <c r="F29" s="4"/>
      <c r="G29" s="5"/>
    </row>
    <row r="30" spans="1:13" x14ac:dyDescent="0.25">
      <c r="B30" s="4"/>
      <c r="C30" s="4"/>
      <c r="D30" s="4"/>
      <c r="E30" s="4"/>
      <c r="F30" s="4"/>
      <c r="G30" s="3"/>
    </row>
    <row r="31" spans="1:13" x14ac:dyDescent="0.25">
      <c r="A31" s="2"/>
      <c r="B31" s="2" t="s">
        <v>13</v>
      </c>
      <c r="C31" s="2" t="s">
        <v>14</v>
      </c>
      <c r="D31" s="2" t="s">
        <v>15</v>
      </c>
      <c r="E31" s="2" t="s">
        <v>16</v>
      </c>
      <c r="F31" s="2" t="s">
        <v>17</v>
      </c>
      <c r="G31" s="2" t="s">
        <v>18</v>
      </c>
      <c r="H31" s="2" t="s">
        <v>19</v>
      </c>
      <c r="I31" s="2" t="s">
        <v>20</v>
      </c>
      <c r="J31" s="2" t="s">
        <v>21</v>
      </c>
      <c r="K31" s="2" t="s">
        <v>22</v>
      </c>
      <c r="L31" s="2" t="s">
        <v>23</v>
      </c>
      <c r="M31" s="2" t="s">
        <v>24</v>
      </c>
    </row>
    <row r="32" spans="1:13" x14ac:dyDescent="0.25">
      <c r="A32" s="2" t="s">
        <v>9</v>
      </c>
      <c r="B32" s="4">
        <f>B15/$B$23</f>
        <v>0.98692758603679609</v>
      </c>
      <c r="C32" s="4">
        <f>C15/$B$23</f>
        <v>1.076363703302301</v>
      </c>
      <c r="D32" s="4">
        <f t="shared" ref="D32:M32" si="13">D15/$B$23</f>
        <v>0.93670871066090278</v>
      </c>
      <c r="E32" s="4">
        <f>E15/$B$23</f>
        <v>0.92835925937760211</v>
      </c>
      <c r="F32" s="4">
        <f t="shared" si="13"/>
        <v>0.85054819680797755</v>
      </c>
      <c r="G32" s="4">
        <f t="shared" si="13"/>
        <v>0.93813380667992674</v>
      </c>
      <c r="H32" s="4">
        <f t="shared" si="13"/>
        <v>0.49136230052550578</v>
      </c>
      <c r="I32" s="4">
        <f t="shared" si="13"/>
        <v>0.41302848798708169</v>
      </c>
      <c r="J32" s="4">
        <f t="shared" si="13"/>
        <v>0.59304059163067413</v>
      </c>
      <c r="K32" s="4">
        <f t="shared" si="13"/>
        <v>0.27107346357538309</v>
      </c>
      <c r="L32" s="4">
        <f t="shared" si="13"/>
        <v>0.20154345168236978</v>
      </c>
      <c r="M32" s="4">
        <f t="shared" si="13"/>
        <v>9.4053425380638295E-2</v>
      </c>
    </row>
    <row r="33" spans="1:13" x14ac:dyDescent="0.25">
      <c r="A33" s="2" t="s">
        <v>3</v>
      </c>
      <c r="B33" s="4">
        <f>B16/$B$24</f>
        <v>0.94483004158135342</v>
      </c>
      <c r="C33" s="4">
        <f t="shared" ref="C33:M33" si="14">C16/$B$24</f>
        <v>1.0632947341564625</v>
      </c>
      <c r="D33" s="4">
        <f t="shared" si="14"/>
        <v>0.99187522426218411</v>
      </c>
      <c r="E33" s="4">
        <f t="shared" si="14"/>
        <v>0.79308387692899029</v>
      </c>
      <c r="F33" s="4">
        <f t="shared" si="14"/>
        <v>0.82829932847011023</v>
      </c>
      <c r="G33" s="4">
        <f t="shared" si="14"/>
        <v>0.86291680134861126</v>
      </c>
      <c r="H33" s="4">
        <f t="shared" si="14"/>
        <v>0.78806531423245363</v>
      </c>
      <c r="I33" s="4">
        <f t="shared" si="14"/>
        <v>0.75199864588750676</v>
      </c>
      <c r="J33" s="4">
        <f t="shared" si="14"/>
        <v>0.97402713892681869</v>
      </c>
      <c r="K33" s="4">
        <f t="shared" si="14"/>
        <v>0.64817454567177601</v>
      </c>
      <c r="L33" s="4">
        <f t="shared" si="14"/>
        <v>0.59985153470656871</v>
      </c>
      <c r="M33" s="4">
        <f t="shared" si="14"/>
        <v>0.6649478751558594</v>
      </c>
    </row>
    <row r="34" spans="1:13" x14ac:dyDescent="0.25">
      <c r="A34" s="2" t="s">
        <v>4</v>
      </c>
      <c r="B34" s="4">
        <f>B17/$B$25</f>
        <v>0.84052028163629589</v>
      </c>
      <c r="C34" s="4">
        <f t="shared" ref="C34:M34" si="15">C17/$B$25</f>
        <v>1.0897798352213355</v>
      </c>
      <c r="D34" s="4">
        <f t="shared" si="15"/>
        <v>1.0696998831423683</v>
      </c>
      <c r="E34" s="4">
        <f t="shared" si="15"/>
        <v>1.3762274724818335</v>
      </c>
      <c r="F34" s="4">
        <f t="shared" si="15"/>
        <v>1.3576354372572617</v>
      </c>
      <c r="G34" s="4">
        <f>G17/$B$25</f>
        <v>1.4188761791100168</v>
      </c>
      <c r="H34" s="4">
        <f>H17/$B$25</f>
        <v>1.4591765372383081</v>
      </c>
      <c r="I34" s="4">
        <f t="shared" si="15"/>
        <v>1.4925515660012669</v>
      </c>
      <c r="J34" s="4">
        <f t="shared" si="15"/>
        <v>1.7855496303007716</v>
      </c>
      <c r="K34" s="4">
        <f t="shared" si="15"/>
        <v>0.53123529767527677</v>
      </c>
      <c r="L34" s="4">
        <f t="shared" si="15"/>
        <v>0.42419202250371657</v>
      </c>
      <c r="M34" s="4">
        <f t="shared" si="15"/>
        <v>0.45238442119024713</v>
      </c>
    </row>
    <row r="35" spans="1:13" x14ac:dyDescent="0.25">
      <c r="A35" s="2" t="s">
        <v>10</v>
      </c>
      <c r="B35" s="2">
        <f>B18/$B$26</f>
        <v>0.85436456604859501</v>
      </c>
      <c r="C35" s="2">
        <f t="shared" ref="C35:L35" si="16">C18/$B$26</f>
        <v>1.123014440114023</v>
      </c>
      <c r="D35" s="2">
        <f t="shared" si="16"/>
        <v>1.0226209938373818</v>
      </c>
      <c r="E35" s="2">
        <f t="shared" si="16"/>
        <v>0.90073985540079504</v>
      </c>
      <c r="F35" s="2">
        <f t="shared" si="16"/>
        <v>1.0016485154771988</v>
      </c>
      <c r="G35" s="2">
        <f t="shared" si="16"/>
        <v>0.96549436143218648</v>
      </c>
      <c r="H35" s="2">
        <f t="shared" si="16"/>
        <v>0.5450827988472019</v>
      </c>
      <c r="I35" s="2">
        <f t="shared" si="16"/>
        <v>0.60423321678874253</v>
      </c>
      <c r="J35" s="2">
        <f t="shared" si="16"/>
        <v>0.72746731822258337</v>
      </c>
      <c r="K35" s="2">
        <f t="shared" si="16"/>
        <v>0.27100565989334796</v>
      </c>
      <c r="L35" s="2">
        <f t="shared" si="16"/>
        <v>0.1878320592327882</v>
      </c>
      <c r="M35" s="2">
        <f>M18/$B$26</f>
        <v>0.21105316783924194</v>
      </c>
    </row>
    <row r="36" spans="1:13" x14ac:dyDescent="0.25">
      <c r="A36" s="2" t="s">
        <v>1</v>
      </c>
      <c r="B36" s="1">
        <f>B19/$B$27</f>
        <v>0.50563853369976031</v>
      </c>
      <c r="C36" s="1">
        <f t="shared" ref="C36:M36" si="17">C19/$B$27</f>
        <v>1.2076007754916911</v>
      </c>
      <c r="D36" s="1">
        <f t="shared" si="17"/>
        <v>1.2867606908085487</v>
      </c>
      <c r="E36" s="1">
        <f t="shared" si="17"/>
        <v>2.4264010411745551</v>
      </c>
      <c r="F36" s="1">
        <f t="shared" si="17"/>
        <v>2.7226218832851439</v>
      </c>
      <c r="G36" s="1">
        <f t="shared" si="17"/>
        <v>2.9264312144051932</v>
      </c>
      <c r="H36" s="1">
        <f t="shared" si="17"/>
        <v>2.1911560889721953</v>
      </c>
      <c r="I36" s="1">
        <f t="shared" si="17"/>
        <v>2.8823244280509068</v>
      </c>
      <c r="J36" s="1">
        <f t="shared" si="17"/>
        <v>3.1926363663435655</v>
      </c>
      <c r="K36" s="1">
        <f t="shared" si="17"/>
        <v>0.38403982617239979</v>
      </c>
      <c r="L36" s="1">
        <f t="shared" si="17"/>
        <v>0.19018474941542107</v>
      </c>
      <c r="M36" s="1">
        <f t="shared" si="17"/>
        <v>0.26283794146095452</v>
      </c>
    </row>
    <row r="37" spans="1:13" x14ac:dyDescent="0.25">
      <c r="A37" s="2" t="s">
        <v>11</v>
      </c>
      <c r="B37" s="1">
        <f>B20/$B$28</f>
        <v>0.77770332006629761</v>
      </c>
      <c r="C37" s="1">
        <f t="shared" ref="C37:M37" si="18">C20/$B$28</f>
        <v>1.0312648352029894</v>
      </c>
      <c r="D37" s="1">
        <f t="shared" si="18"/>
        <v>1.1910318447307133</v>
      </c>
      <c r="E37" s="1">
        <f t="shared" si="18"/>
        <v>1.8739814934450261</v>
      </c>
      <c r="F37" s="1">
        <f t="shared" si="18"/>
        <v>2.0364942941250894</v>
      </c>
      <c r="G37" s="1">
        <f t="shared" si="18"/>
        <v>2.1738037600853257</v>
      </c>
      <c r="H37" s="1">
        <f t="shared" si="18"/>
        <v>2.781445569344533</v>
      </c>
      <c r="I37" s="1">
        <f t="shared" si="18"/>
        <v>2.8132764316414578</v>
      </c>
      <c r="J37" s="1">
        <f t="shared" si="18"/>
        <v>3.0687247975949545</v>
      </c>
      <c r="K37" s="1">
        <f t="shared" si="18"/>
        <v>0.6342533670932794</v>
      </c>
      <c r="L37" s="1">
        <f t="shared" si="18"/>
        <v>0.62839421816377405</v>
      </c>
      <c r="M37" s="1">
        <f t="shared" si="18"/>
        <v>0.73123914330627848</v>
      </c>
    </row>
    <row r="38" spans="1:13" x14ac:dyDescent="0.25">
      <c r="A38" s="2" t="s">
        <v>12</v>
      </c>
      <c r="B38" s="1">
        <f>B21/$B$29</f>
        <v>0.74698556277070971</v>
      </c>
      <c r="C38" s="1">
        <f t="shared" ref="C38:M38" si="19">C21/$B$29</f>
        <v>1.2091003649406371</v>
      </c>
      <c r="D38" s="1">
        <f t="shared" si="19"/>
        <v>1.0439140722886533</v>
      </c>
      <c r="E38" s="1">
        <f t="shared" si="19"/>
        <v>0.38602934128474586</v>
      </c>
      <c r="F38" s="1">
        <f t="shared" si="19"/>
        <v>0.81634625333665944</v>
      </c>
      <c r="G38" s="1">
        <f t="shared" si="19"/>
        <v>0.89123967741838261</v>
      </c>
      <c r="H38" s="1">
        <f t="shared" si="19"/>
        <v>0.13857658204568804</v>
      </c>
      <c r="I38" s="1">
        <f t="shared" si="19"/>
        <v>0.77633826634901826</v>
      </c>
      <c r="J38" s="1">
        <f t="shared" si="19"/>
        <v>0.70185169907515521</v>
      </c>
      <c r="K38" s="1">
        <f t="shared" si="19"/>
        <v>7.444648424465572E-2</v>
      </c>
      <c r="L38" s="1">
        <f t="shared" si="19"/>
        <v>7.5813878902202203E-2</v>
      </c>
      <c r="M38" s="1">
        <f t="shared" si="19"/>
        <v>5.0800837114928131E-2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zoomScale="80" zoomScaleNormal="80" workbookViewId="0">
      <selection activeCell="B3" sqref="B3:M3"/>
    </sheetView>
  </sheetViews>
  <sheetFormatPr baseColWidth="10" defaultColWidth="10.83203125" defaultRowHeight="21" x14ac:dyDescent="0.25"/>
  <cols>
    <col min="1" max="1" width="17.33203125" style="1" bestFit="1" customWidth="1"/>
    <col min="2" max="2" width="12.33203125" style="1" customWidth="1"/>
    <col min="3" max="3" width="16.83203125" style="1" customWidth="1"/>
    <col min="4" max="4" width="16" style="1" customWidth="1"/>
    <col min="5" max="5" width="18.33203125" style="1" customWidth="1"/>
    <col min="6" max="6" width="20.1640625" style="1" customWidth="1"/>
    <col min="7" max="7" width="16.5" style="1" customWidth="1"/>
    <col min="8" max="8" width="34.33203125" style="1" customWidth="1"/>
    <col min="9" max="9" width="37.33203125" style="1" customWidth="1"/>
    <col min="10" max="10" width="37.83203125" style="1" customWidth="1"/>
    <col min="11" max="11" width="39.33203125" style="1" customWidth="1"/>
    <col min="12" max="12" width="42.1640625" style="1" customWidth="1"/>
    <col min="13" max="13" width="43.6640625" style="1" customWidth="1"/>
    <col min="14" max="14" width="13.83203125" style="1" customWidth="1"/>
    <col min="15" max="16384" width="10.83203125" style="1"/>
  </cols>
  <sheetData>
    <row r="1" spans="1:14" x14ac:dyDescent="0.25">
      <c r="A1" s="2"/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</row>
    <row r="2" spans="1:14" x14ac:dyDescent="0.25">
      <c r="A2" s="2" t="s">
        <v>6</v>
      </c>
      <c r="B2" s="1">
        <v>8.14</v>
      </c>
      <c r="C2" s="1">
        <v>8.1449999999999996</v>
      </c>
      <c r="D2" s="1">
        <v>9.1609999999999996</v>
      </c>
      <c r="E2" s="1">
        <v>9.5370000000000008</v>
      </c>
      <c r="F2" s="1">
        <v>9.0380000000000003</v>
      </c>
      <c r="G2" s="1">
        <v>9.3930000000000007</v>
      </c>
      <c r="H2" s="1">
        <v>8.3580000000000005</v>
      </c>
      <c r="I2" s="1">
        <v>8.3469999999999995</v>
      </c>
      <c r="J2" s="1">
        <v>8.6609999999999996</v>
      </c>
      <c r="K2" s="1">
        <v>6.9180000000000001</v>
      </c>
      <c r="L2" s="1">
        <v>6.5490000000000004</v>
      </c>
      <c r="M2" s="1">
        <v>7.7530000000000001</v>
      </c>
      <c r="N2" s="1">
        <f t="shared" ref="N2:N7" si="0">SUM(B2:M2)</f>
        <v>100.00000000000001</v>
      </c>
    </row>
    <row r="3" spans="1:14" x14ac:dyDescent="0.25">
      <c r="A3" s="2" t="s">
        <v>7</v>
      </c>
      <c r="B3" s="1">
        <v>10.923</v>
      </c>
      <c r="C3" s="1">
        <v>9.9719999999999995</v>
      </c>
      <c r="D3" s="1">
        <v>10.503</v>
      </c>
      <c r="E3" s="1">
        <v>9.9760000000000009</v>
      </c>
      <c r="F3" s="1">
        <v>9.1959999999999997</v>
      </c>
      <c r="G3" s="1">
        <v>9.3360000000000003</v>
      </c>
      <c r="H3" s="1">
        <v>7.6760000000000002</v>
      </c>
      <c r="I3" s="1">
        <v>6.9889999999999999</v>
      </c>
      <c r="J3" s="1">
        <v>7.4610000000000003</v>
      </c>
      <c r="K3" s="1">
        <v>5.5590000000000002</v>
      </c>
      <c r="L3" s="1">
        <v>5.6459999999999999</v>
      </c>
      <c r="M3" s="1">
        <v>6.7629999999999999</v>
      </c>
      <c r="N3" s="1">
        <f>SUM(B3:M3)</f>
        <v>100</v>
      </c>
    </row>
    <row r="4" spans="1:14" x14ac:dyDescent="0.25">
      <c r="A4" s="2" t="s">
        <v>25</v>
      </c>
      <c r="B4" s="1">
        <v>11.846</v>
      </c>
      <c r="C4" s="1">
        <v>11.885999999999999</v>
      </c>
      <c r="D4" s="1">
        <v>12.234999999999999</v>
      </c>
      <c r="E4" s="1">
        <v>10.210000000000001</v>
      </c>
      <c r="F4" s="1">
        <v>8.6229999999999993</v>
      </c>
      <c r="G4" s="1">
        <v>9.4480000000000004</v>
      </c>
      <c r="H4" s="1">
        <v>8.4109999999999996</v>
      </c>
      <c r="I4" s="1">
        <v>7.07</v>
      </c>
      <c r="J4" s="1">
        <v>8.0709999999999997</v>
      </c>
      <c r="K4" s="1">
        <v>4.6829999999999998</v>
      </c>
      <c r="L4" s="1">
        <v>3.766</v>
      </c>
      <c r="M4" s="1">
        <v>3.7509999999999999</v>
      </c>
      <c r="N4" s="1">
        <f t="shared" si="0"/>
        <v>99.999999999999986</v>
      </c>
    </row>
    <row r="5" spans="1:14" x14ac:dyDescent="0.25">
      <c r="A5" s="2" t="s">
        <v>2</v>
      </c>
      <c r="B5" s="1">
        <v>7.0179999999999998</v>
      </c>
      <c r="C5" s="1">
        <v>6.016</v>
      </c>
      <c r="D5" s="1">
        <v>6.5049999999999999</v>
      </c>
      <c r="E5" s="1">
        <v>9.1539999999999999</v>
      </c>
      <c r="F5" s="1">
        <v>6.6539999999999999</v>
      </c>
      <c r="G5" s="1">
        <v>7.9329999999999998</v>
      </c>
      <c r="H5" s="1">
        <v>9.0069999999999997</v>
      </c>
      <c r="I5" s="1">
        <v>6.8129999999999997</v>
      </c>
      <c r="J5" s="1">
        <v>7.8070000000000004</v>
      </c>
      <c r="K5" s="1">
        <v>9.5299999999999994</v>
      </c>
      <c r="L5" s="1">
        <v>10.484999999999999</v>
      </c>
      <c r="M5" s="1">
        <v>13.077999999999999</v>
      </c>
      <c r="N5" s="1">
        <f t="shared" si="0"/>
        <v>100</v>
      </c>
    </row>
    <row r="6" spans="1:14" x14ac:dyDescent="0.25">
      <c r="A6" s="2" t="s">
        <v>10</v>
      </c>
      <c r="B6" s="1">
        <v>12.531000000000001</v>
      </c>
      <c r="C6" s="1">
        <v>13.351000000000001</v>
      </c>
      <c r="D6" s="1">
        <v>12.832000000000001</v>
      </c>
      <c r="E6" s="1">
        <v>9.4380000000000006</v>
      </c>
      <c r="F6" s="1">
        <v>9.4890000000000008</v>
      </c>
      <c r="G6" s="1">
        <v>10.141999999999999</v>
      </c>
      <c r="H6" s="1">
        <v>6.8659999999999997</v>
      </c>
      <c r="I6" s="1">
        <v>6.8</v>
      </c>
      <c r="J6" s="1">
        <v>7.968</v>
      </c>
      <c r="K6" s="1">
        <v>3.7010000000000001</v>
      </c>
      <c r="L6" s="1">
        <v>3.5289999999999999</v>
      </c>
      <c r="M6" s="1">
        <v>3.3530000000000002</v>
      </c>
      <c r="N6" s="1">
        <f t="shared" si="0"/>
        <v>99.999999999999986</v>
      </c>
    </row>
    <row r="7" spans="1:14" x14ac:dyDescent="0.25">
      <c r="A7" s="2" t="s">
        <v>26</v>
      </c>
      <c r="B7" s="1">
        <v>16.291</v>
      </c>
      <c r="C7" s="1">
        <v>14.884</v>
      </c>
      <c r="D7" s="1">
        <v>15.618</v>
      </c>
      <c r="E7" s="1">
        <v>10.579000000000001</v>
      </c>
      <c r="F7" s="1">
        <v>7.5839999999999996</v>
      </c>
      <c r="G7" s="1">
        <v>9.4640000000000004</v>
      </c>
      <c r="H7" s="1">
        <v>4.617</v>
      </c>
      <c r="I7" s="1">
        <v>3.3210000000000002</v>
      </c>
      <c r="J7" s="1">
        <v>5.6379999999999999</v>
      </c>
      <c r="K7" s="1">
        <v>3.641</v>
      </c>
      <c r="L7" s="1">
        <v>3.37</v>
      </c>
      <c r="M7" s="1">
        <v>4.9930000000000003</v>
      </c>
      <c r="N7" s="1">
        <f t="shared" si="0"/>
        <v>100.00000000000001</v>
      </c>
    </row>
    <row r="8" spans="1:14" x14ac:dyDescent="0.25">
      <c r="A8" s="2"/>
      <c r="B8" s="2"/>
      <c r="C8" s="2"/>
      <c r="D8" s="2"/>
      <c r="E8" s="2"/>
      <c r="F8" s="2"/>
      <c r="G8" s="2"/>
    </row>
    <row r="9" spans="1:14" x14ac:dyDescent="0.25">
      <c r="A9" s="2"/>
      <c r="B9" s="2">
        <f>AVERAGE(B2:B3)</f>
        <v>9.5315000000000012</v>
      </c>
      <c r="C9" s="2">
        <f>AVERAGE(C2:C3)</f>
        <v>9.0584999999999987</v>
      </c>
      <c r="D9" s="2">
        <f>AVERAGE(D2:D3)</f>
        <v>9.8320000000000007</v>
      </c>
      <c r="E9" s="2">
        <f>AVERAGE(E2:E3)</f>
        <v>9.7565000000000008</v>
      </c>
      <c r="F9" s="2">
        <f>AVERAGE(F2:F3)</f>
        <v>9.1170000000000009</v>
      </c>
      <c r="G9" s="2">
        <f>AVERAGE(G2:G3)</f>
        <v>9.3644999999999996</v>
      </c>
      <c r="H9" s="2">
        <f>AVERAGE(H2:H3)</f>
        <v>8.0169999999999995</v>
      </c>
      <c r="I9" s="2">
        <f>AVERAGE(I2:I3)</f>
        <v>7.6679999999999993</v>
      </c>
      <c r="J9" s="2">
        <f>AVERAGE(J2:J3)</f>
        <v>8.0609999999999999</v>
      </c>
      <c r="K9" s="2">
        <f>AVERAGE(K2:K3)</f>
        <v>6.2385000000000002</v>
      </c>
      <c r="L9" s="2">
        <f>AVERAGE(L2:L3)</f>
        <v>6.0975000000000001</v>
      </c>
      <c r="M9" s="2">
        <f>AVERAGE(M2:M3)</f>
        <v>7.258</v>
      </c>
      <c r="N9" s="1">
        <f t="shared" ref="N9" si="1">SUM(B9:M9)</f>
        <v>100</v>
      </c>
    </row>
    <row r="10" spans="1:14" x14ac:dyDescent="0.25">
      <c r="A10" s="2"/>
      <c r="B10" s="2"/>
      <c r="C10" s="2"/>
      <c r="D10" s="2"/>
      <c r="E10" s="2"/>
      <c r="F10" s="2"/>
      <c r="G10" s="3"/>
    </row>
    <row r="11" spans="1:14" x14ac:dyDescent="0.25">
      <c r="A11" s="2" t="s">
        <v>0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21</v>
      </c>
      <c r="K11" s="2" t="s">
        <v>22</v>
      </c>
      <c r="L11" s="2" t="s">
        <v>23</v>
      </c>
      <c r="M11" s="2" t="s">
        <v>24</v>
      </c>
    </row>
    <row r="12" spans="1:14" x14ac:dyDescent="0.25">
      <c r="A12" s="2" t="s">
        <v>25</v>
      </c>
      <c r="B12" s="4">
        <f>B4/B9</f>
        <v>1.2428264176677331</v>
      </c>
      <c r="C12" s="4">
        <f>C4/C9</f>
        <v>1.3121377711541646</v>
      </c>
      <c r="D12" s="4">
        <f>D4/D9</f>
        <v>1.2444060211554107</v>
      </c>
      <c r="E12" s="4">
        <f>E4/E9</f>
        <v>1.0464818326244043</v>
      </c>
      <c r="F12" s="4">
        <f>F4/F9</f>
        <v>0.94581550948776993</v>
      </c>
      <c r="G12" s="4">
        <f t="shared" ref="G12:M12" si="2">G4/G9</f>
        <v>1.0089166533183833</v>
      </c>
      <c r="H12" s="4">
        <f t="shared" si="2"/>
        <v>1.0491455656729449</v>
      </c>
      <c r="I12" s="4">
        <f t="shared" si="2"/>
        <v>0.92201356285863345</v>
      </c>
      <c r="J12" s="4">
        <f t="shared" si="2"/>
        <v>1.0012405408758218</v>
      </c>
      <c r="K12" s="4">
        <f t="shared" si="2"/>
        <v>0.75066121663861496</v>
      </c>
      <c r="L12" s="4">
        <f t="shared" si="2"/>
        <v>0.61763017630176298</v>
      </c>
      <c r="M12" s="4">
        <f t="shared" si="2"/>
        <v>0.51680903830256264</v>
      </c>
    </row>
    <row r="13" spans="1:14" x14ac:dyDescent="0.25">
      <c r="A13" s="2" t="s">
        <v>2</v>
      </c>
      <c r="B13" s="4">
        <f>B5/B9</f>
        <v>0.73629544143104431</v>
      </c>
      <c r="C13" s="4">
        <f>C5/C9</f>
        <v>0.66412761494728723</v>
      </c>
      <c r="D13" s="4">
        <f>D5/D9</f>
        <v>0.66161513425549223</v>
      </c>
      <c r="E13" s="4">
        <f>E5/E9</f>
        <v>0.93824629734023468</v>
      </c>
      <c r="F13" s="4">
        <f>F5/F9</f>
        <v>0.72984534386311284</v>
      </c>
      <c r="G13" s="4">
        <f t="shared" ref="G13:M13" si="3">G5/G9</f>
        <v>0.84713545838005233</v>
      </c>
      <c r="H13" s="4">
        <f t="shared" si="3"/>
        <v>1.1234875888736435</v>
      </c>
      <c r="I13" s="4">
        <f t="shared" si="3"/>
        <v>0.88849765258215962</v>
      </c>
      <c r="J13" s="4">
        <f t="shared" si="3"/>
        <v>0.96849026175412489</v>
      </c>
      <c r="K13" s="4">
        <f t="shared" si="3"/>
        <v>1.5276108038791374</v>
      </c>
      <c r="L13" s="4">
        <f t="shared" si="3"/>
        <v>1.7195571955719555</v>
      </c>
      <c r="M13" s="4">
        <f t="shared" si="3"/>
        <v>1.8018737944337282</v>
      </c>
    </row>
    <row r="14" spans="1:14" x14ac:dyDescent="0.25">
      <c r="A14" s="2" t="s">
        <v>10</v>
      </c>
      <c r="B14" s="4">
        <f>B6/B9</f>
        <v>1.3146933850915385</v>
      </c>
      <c r="C14" s="4">
        <f t="shared" ref="C14:L14" si="4">C6/C9</f>
        <v>1.4738643263233431</v>
      </c>
      <c r="D14" s="4">
        <f t="shared" si="4"/>
        <v>1.3051261187957688</v>
      </c>
      <c r="E14" s="4">
        <f t="shared" si="4"/>
        <v>0.96735509660226515</v>
      </c>
      <c r="F14" s="4">
        <f t="shared" si="4"/>
        <v>1.0408028956893716</v>
      </c>
      <c r="G14" s="4">
        <f t="shared" si="4"/>
        <v>1.083026322814886</v>
      </c>
      <c r="H14" s="4">
        <f t="shared" si="4"/>
        <v>0.85643008606710747</v>
      </c>
      <c r="I14" s="4">
        <f t="shared" si="4"/>
        <v>0.88680229525299958</v>
      </c>
      <c r="J14" s="4">
        <f t="shared" si="4"/>
        <v>0.98846296985485671</v>
      </c>
      <c r="K14" s="4">
        <f t="shared" si="4"/>
        <v>0.59325158291255908</v>
      </c>
      <c r="L14" s="4">
        <f t="shared" si="4"/>
        <v>0.57876178761787611</v>
      </c>
      <c r="M14" s="4">
        <f>M6/M9</f>
        <v>0.46197299531551395</v>
      </c>
    </row>
    <row r="15" spans="1:14" x14ac:dyDescent="0.25">
      <c r="A15" s="2" t="s">
        <v>26</v>
      </c>
      <c r="B15" s="4">
        <f>B7/B9</f>
        <v>1.7091748413156373</v>
      </c>
      <c r="C15" s="4">
        <f t="shared" ref="C15:M15" si="5">C7/C9</f>
        <v>1.6430976430976434</v>
      </c>
      <c r="D15" s="4">
        <f t="shared" si="5"/>
        <v>1.5884865744507728</v>
      </c>
      <c r="E15" s="4">
        <f t="shared" si="5"/>
        <v>1.084302772510634</v>
      </c>
      <c r="F15" s="4">
        <f t="shared" si="5"/>
        <v>0.83185258308654153</v>
      </c>
      <c r="G15" s="4">
        <f t="shared" si="5"/>
        <v>1.0106252335949597</v>
      </c>
      <c r="H15" s="4">
        <f t="shared" si="5"/>
        <v>0.57590120992890115</v>
      </c>
      <c r="I15" s="4">
        <f t="shared" si="5"/>
        <v>0.43309859154929586</v>
      </c>
      <c r="J15" s="4">
        <f t="shared" si="5"/>
        <v>0.69941694578836366</v>
      </c>
      <c r="K15" s="4">
        <f t="shared" si="5"/>
        <v>0.58363388635088564</v>
      </c>
      <c r="L15" s="4">
        <f t="shared" si="5"/>
        <v>0.55268552685526851</v>
      </c>
      <c r="M15" s="4">
        <f t="shared" si="5"/>
        <v>0.68793055938275016</v>
      </c>
    </row>
    <row r="16" spans="1:14" x14ac:dyDescent="0.25">
      <c r="A16" s="2"/>
      <c r="B16" s="4"/>
      <c r="C16" s="4"/>
      <c r="D16" s="4"/>
      <c r="E16" s="4"/>
      <c r="F16" s="4"/>
      <c r="G16" s="5"/>
    </row>
    <row r="17" spans="1:13" x14ac:dyDescent="0.25">
      <c r="A17" s="2" t="s">
        <v>25</v>
      </c>
      <c r="B17" s="4">
        <f>AVERAGE(B12:D12)</f>
        <v>1.2664567366591026</v>
      </c>
      <c r="C17" s="4"/>
      <c r="D17" s="4"/>
      <c r="E17" s="4"/>
      <c r="F17" s="4"/>
      <c r="G17" s="5"/>
    </row>
    <row r="18" spans="1:13" x14ac:dyDescent="0.25">
      <c r="A18" s="2" t="s">
        <v>2</v>
      </c>
      <c r="B18" s="4">
        <f>AVERAGE(B13:D13)</f>
        <v>0.68734606354460792</v>
      </c>
      <c r="C18" s="4"/>
      <c r="D18" s="4"/>
      <c r="E18" s="4"/>
      <c r="F18" s="4"/>
      <c r="G18" s="5"/>
    </row>
    <row r="19" spans="1:13" x14ac:dyDescent="0.25">
      <c r="A19" s="2" t="s">
        <v>10</v>
      </c>
      <c r="B19" s="4">
        <f>AVERAGE(B14:D14)</f>
        <v>1.3645612767368835</v>
      </c>
      <c r="C19" s="4"/>
      <c r="D19" s="4"/>
      <c r="E19" s="4"/>
      <c r="F19" s="4"/>
      <c r="G19" s="5"/>
    </row>
    <row r="20" spans="1:13" x14ac:dyDescent="0.25">
      <c r="A20" s="2" t="s">
        <v>26</v>
      </c>
      <c r="B20" s="4">
        <f>AVERAGE(B15:D15)</f>
        <v>1.6469196862880178</v>
      </c>
      <c r="C20" s="4"/>
      <c r="D20" s="4"/>
      <c r="E20" s="4"/>
      <c r="F20" s="4"/>
      <c r="G20" s="5"/>
    </row>
    <row r="21" spans="1:13" x14ac:dyDescent="0.25">
      <c r="A21" s="2"/>
      <c r="B21" s="4"/>
      <c r="C21" s="4"/>
      <c r="D21" s="4"/>
      <c r="E21" s="4"/>
      <c r="F21" s="4"/>
      <c r="G21" s="3"/>
    </row>
    <row r="22" spans="1:13" x14ac:dyDescent="0.25">
      <c r="A22" s="2"/>
      <c r="B22" s="2" t="s">
        <v>13</v>
      </c>
      <c r="C22" s="2" t="s">
        <v>14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19</v>
      </c>
      <c r="I22" s="2" t="s">
        <v>20</v>
      </c>
      <c r="J22" s="2" t="s">
        <v>21</v>
      </c>
      <c r="K22" s="2" t="s">
        <v>22</v>
      </c>
      <c r="L22" s="2" t="s">
        <v>23</v>
      </c>
      <c r="M22" s="2" t="s">
        <v>24</v>
      </c>
    </row>
    <row r="23" spans="1:13" x14ac:dyDescent="0.25">
      <c r="A23" s="2" t="s">
        <v>25</v>
      </c>
      <c r="B23" s="4">
        <f>B12/$B$17</f>
        <v>0.98134139263714126</v>
      </c>
      <c r="C23" s="4">
        <f t="shared" ref="C23:M23" si="6">C12/$B$17</f>
        <v>1.0360699526267025</v>
      </c>
      <c r="D23" s="4">
        <f t="shared" si="6"/>
        <v>0.98258865473615664</v>
      </c>
      <c r="E23" s="4">
        <f t="shared" si="6"/>
        <v>0.82630681517397153</v>
      </c>
      <c r="F23" s="4">
        <f t="shared" si="6"/>
        <v>0.74682022852420504</v>
      </c>
      <c r="G23" s="4">
        <f t="shared" si="6"/>
        <v>0.7966451787211406</v>
      </c>
      <c r="H23" s="4">
        <f t="shared" si="6"/>
        <v>0.82841011090562644</v>
      </c>
      <c r="I23" s="4">
        <f t="shared" si="6"/>
        <v>0.72802610319788252</v>
      </c>
      <c r="J23" s="4">
        <f t="shared" si="6"/>
        <v>0.79058408542014791</v>
      </c>
      <c r="K23" s="4">
        <f t="shared" si="6"/>
        <v>0.59272551119183914</v>
      </c>
      <c r="L23" s="4">
        <f t="shared" si="6"/>
        <v>0.48768359662333499</v>
      </c>
      <c r="M23" s="4">
        <f t="shared" si="6"/>
        <v>0.40807476745387966</v>
      </c>
    </row>
    <row r="24" spans="1:13" x14ac:dyDescent="0.25">
      <c r="A24" s="2" t="s">
        <v>2</v>
      </c>
      <c r="B24" s="4">
        <f>B13/$B$18</f>
        <v>1.0712150406943586</v>
      </c>
      <c r="C24" s="4">
        <f t="shared" ref="C24:L24" si="7">C13/$B$18</f>
        <v>0.96622014756644659</v>
      </c>
      <c r="D24" s="4">
        <f t="shared" si="7"/>
        <v>0.96256481173919495</v>
      </c>
      <c r="E24" s="4">
        <f t="shared" si="7"/>
        <v>1.3650275270389232</v>
      </c>
      <c r="F24" s="4">
        <f t="shared" si="7"/>
        <v>1.0618309794331815</v>
      </c>
      <c r="G24" s="4">
        <f t="shared" si="7"/>
        <v>1.2324729904051808</v>
      </c>
      <c r="H24" s="4">
        <f t="shared" si="7"/>
        <v>1.6345297492210495</v>
      </c>
      <c r="I24" s="4">
        <f t="shared" si="7"/>
        <v>1.2926496559829315</v>
      </c>
      <c r="J24" s="4">
        <f t="shared" si="7"/>
        <v>1.4090286001780108</v>
      </c>
      <c r="K24" s="4">
        <f t="shared" si="7"/>
        <v>2.2224769805203044</v>
      </c>
      <c r="L24" s="4">
        <f t="shared" si="7"/>
        <v>2.5017342598927366</v>
      </c>
      <c r="M24" s="4">
        <f>M13/$B$18</f>
        <v>2.6214943097827006</v>
      </c>
    </row>
    <row r="25" spans="1:13" x14ac:dyDescent="0.25">
      <c r="A25" s="2" t="s">
        <v>10</v>
      </c>
      <c r="B25" s="2">
        <f>B14/$B$19</f>
        <v>0.96345500015609731</v>
      </c>
      <c r="C25" s="2">
        <f t="shared" ref="C25:M25" si="8">C14/$B$19</f>
        <v>1.0801012394605241</v>
      </c>
      <c r="D25" s="2">
        <f t="shared" si="8"/>
        <v>0.95644376038337842</v>
      </c>
      <c r="E25" s="2">
        <f t="shared" si="8"/>
        <v>0.70891290343188584</v>
      </c>
      <c r="F25" s="2">
        <f t="shared" si="8"/>
        <v>0.76273811475749542</v>
      </c>
      <c r="G25" s="2">
        <f t="shared" si="8"/>
        <v>0.79368097371541968</v>
      </c>
      <c r="H25" s="2">
        <f t="shared" si="8"/>
        <v>0.62762303215515136</v>
      </c>
      <c r="I25" s="2">
        <f t="shared" si="8"/>
        <v>0.64988088873050587</v>
      </c>
      <c r="J25" s="2">
        <f t="shared" si="8"/>
        <v>0.72438151859225985</v>
      </c>
      <c r="K25" s="2">
        <f t="shared" si="8"/>
        <v>0.43475627883213824</v>
      </c>
      <c r="L25" s="2">
        <f t="shared" si="8"/>
        <v>0.42413763125529003</v>
      </c>
      <c r="M25" s="2">
        <f t="shared" si="8"/>
        <v>0.33855056800398431</v>
      </c>
    </row>
    <row r="26" spans="1:13" x14ac:dyDescent="0.25">
      <c r="A26" s="2" t="s">
        <v>26</v>
      </c>
      <c r="B26" s="1">
        <f>B15/$B$20</f>
        <v>1.0378009659766325</v>
      </c>
      <c r="C26" s="1">
        <f t="shared" ref="C26:M26" si="9">C15/$B$20</f>
        <v>0.99767927773151532</v>
      </c>
      <c r="D26" s="1">
        <f t="shared" si="9"/>
        <v>0.96451975629185238</v>
      </c>
      <c r="E26" s="1">
        <f t="shared" si="9"/>
        <v>0.65838230093328798</v>
      </c>
      <c r="F26" s="1">
        <f t="shared" si="9"/>
        <v>0.50509602260050035</v>
      </c>
      <c r="G26" s="1">
        <f t="shared" si="9"/>
        <v>0.6136457302740741</v>
      </c>
      <c r="H26" s="1">
        <f t="shared" si="9"/>
        <v>0.34968384598457342</v>
      </c>
      <c r="I26" s="1">
        <f t="shared" si="9"/>
        <v>0.26297493141602679</v>
      </c>
      <c r="J26" s="1">
        <f t="shared" si="9"/>
        <v>0.42468187830383841</v>
      </c>
      <c r="K26" s="1">
        <f t="shared" si="9"/>
        <v>0.35437908187638129</v>
      </c>
      <c r="L26" s="1">
        <f t="shared" si="9"/>
        <v>0.33558741902039135</v>
      </c>
      <c r="M26" s="1">
        <f t="shared" si="9"/>
        <v>0.41770741166697245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Blot1</vt:lpstr>
      <vt:lpstr>Blot2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craftsman</dc:creator>
  <cp:lastModifiedBy>Wei He</cp:lastModifiedBy>
  <dcterms:created xsi:type="dcterms:W3CDTF">2018-04-30T15:36:49Z</dcterms:created>
  <dcterms:modified xsi:type="dcterms:W3CDTF">2024-02-11T16:09:14Z</dcterms:modified>
</cp:coreProperties>
</file>