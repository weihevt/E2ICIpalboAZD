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aftsman/Documents/Wei He/Blacksburg/Study/research/R01/Data/20201026 MCF7 500nM Abema 7day Timecourse_Annexin/"/>
    </mc:Choice>
  </mc:AlternateContent>
  <xr:revisionPtr revIDLastSave="0" documentId="13_ncr:1_{E2362638-C3FC-3E48-BB9B-F526DBE16033}" xr6:coauthVersionLast="45" xr6:coauthVersionMax="45" xr10:uidLastSave="{00000000-0000-0000-0000-000000000000}"/>
  <bookViews>
    <workbookView xWindow="1560" yWindow="460" windowWidth="38400" windowHeight="22180" activeTab="5" xr2:uid="{00000000-000D-0000-FFFF-FFFF00000000}"/>
  </bookViews>
  <sheets>
    <sheet name="Rep1" sheetId="1" r:id="rId1"/>
    <sheet name="Rep11" sheetId="2" r:id="rId2"/>
    <sheet name="Rep2" sheetId="3" r:id="rId3"/>
    <sheet name="Rep22" sheetId="4" r:id="rId4"/>
    <sheet name="Rep3" sheetId="5" r:id="rId5"/>
    <sheet name="Rep33" sheetId="6" r:id="rId6"/>
  </sheets>
  <calcPr calcId="191029"/>
</workbook>
</file>

<file path=xl/calcChain.xml><?xml version="1.0" encoding="utf-8"?>
<calcChain xmlns="http://schemas.openxmlformats.org/spreadsheetml/2006/main">
  <c r="E30" i="6" l="1"/>
  <c r="E29" i="6"/>
  <c r="E28" i="6"/>
  <c r="E24" i="6"/>
  <c r="E23" i="6"/>
  <c r="E22" i="6"/>
  <c r="E18" i="6"/>
  <c r="E17" i="6"/>
  <c r="E16" i="6"/>
  <c r="E12" i="6"/>
  <c r="E11" i="6"/>
  <c r="E10" i="6"/>
  <c r="B30" i="6"/>
  <c r="B29" i="6"/>
  <c r="B28" i="6"/>
  <c r="B24" i="6"/>
  <c r="B23" i="6"/>
  <c r="B22" i="6"/>
  <c r="B18" i="6"/>
  <c r="B17" i="6"/>
  <c r="B16" i="6"/>
  <c r="B12" i="6"/>
  <c r="B11" i="6"/>
  <c r="B10" i="6"/>
  <c r="B6" i="6"/>
  <c r="B5" i="6"/>
  <c r="B4" i="6"/>
  <c r="B7" i="6" s="1"/>
  <c r="K47" i="5"/>
  <c r="M47" i="5" s="1"/>
  <c r="C47" i="5"/>
  <c r="E47" i="5" s="1"/>
  <c r="K46" i="5"/>
  <c r="M46" i="5" s="1"/>
  <c r="C46" i="5"/>
  <c r="E46" i="5" s="1"/>
  <c r="K45" i="5"/>
  <c r="O45" i="5" s="1"/>
  <c r="C45" i="5"/>
  <c r="E45" i="5" s="1"/>
  <c r="K37" i="5"/>
  <c r="M37" i="5" s="1"/>
  <c r="C37" i="5"/>
  <c r="E37" i="5" s="1"/>
  <c r="K36" i="5"/>
  <c r="M36" i="5" s="1"/>
  <c r="C36" i="5"/>
  <c r="E36" i="5" s="1"/>
  <c r="K35" i="5"/>
  <c r="O35" i="5" s="1"/>
  <c r="C35" i="5"/>
  <c r="E35" i="5" s="1"/>
  <c r="K29" i="5"/>
  <c r="M29" i="5" s="1"/>
  <c r="C29" i="5"/>
  <c r="E29" i="5" s="1"/>
  <c r="K28" i="5"/>
  <c r="M28" i="5" s="1"/>
  <c r="C28" i="5"/>
  <c r="E28" i="5" s="1"/>
  <c r="K27" i="5"/>
  <c r="O27" i="5" s="1"/>
  <c r="C27" i="5"/>
  <c r="E27" i="5" s="1"/>
  <c r="K21" i="5"/>
  <c r="M21" i="5" s="1"/>
  <c r="C21" i="5"/>
  <c r="E21" i="5" s="1"/>
  <c r="K20" i="5"/>
  <c r="M20" i="5" s="1"/>
  <c r="C20" i="5"/>
  <c r="E20" i="5" s="1"/>
  <c r="K19" i="5"/>
  <c r="O19" i="5" s="1"/>
  <c r="C19" i="5"/>
  <c r="E19" i="5" s="1"/>
  <c r="C13" i="5"/>
  <c r="E13" i="5" s="1"/>
  <c r="C12" i="5"/>
  <c r="E12" i="5" s="1"/>
  <c r="C11" i="5"/>
  <c r="E11" i="5" s="1"/>
  <c r="E30" i="4"/>
  <c r="E29" i="4"/>
  <c r="E28" i="4"/>
  <c r="E24" i="4"/>
  <c r="E23" i="4"/>
  <c r="E22" i="4"/>
  <c r="E18" i="4"/>
  <c r="E17" i="4"/>
  <c r="E16" i="4"/>
  <c r="E12" i="4"/>
  <c r="E11" i="4"/>
  <c r="E10" i="4"/>
  <c r="B30" i="4"/>
  <c r="B29" i="4"/>
  <c r="B28" i="4"/>
  <c r="B24" i="4"/>
  <c r="B23" i="4"/>
  <c r="B22" i="4"/>
  <c r="B18" i="4"/>
  <c r="B17" i="4"/>
  <c r="B16" i="4"/>
  <c r="B12" i="4"/>
  <c r="B11" i="4"/>
  <c r="B10" i="4"/>
  <c r="B6" i="4"/>
  <c r="B5" i="4"/>
  <c r="B4" i="4"/>
  <c r="B7" i="4"/>
  <c r="K47" i="3"/>
  <c r="M47" i="3" s="1"/>
  <c r="C47" i="3"/>
  <c r="E47" i="3" s="1"/>
  <c r="M46" i="3"/>
  <c r="K46" i="3"/>
  <c r="E46" i="3"/>
  <c r="C46" i="3"/>
  <c r="O45" i="3"/>
  <c r="M45" i="3"/>
  <c r="N45" i="3" s="1"/>
  <c r="K45" i="3"/>
  <c r="E45" i="3"/>
  <c r="C45" i="3"/>
  <c r="K37" i="3"/>
  <c r="M37" i="3" s="1"/>
  <c r="E37" i="3"/>
  <c r="C37" i="3"/>
  <c r="K36" i="3"/>
  <c r="M36" i="3" s="1"/>
  <c r="E36" i="3"/>
  <c r="C36" i="3"/>
  <c r="M35" i="3"/>
  <c r="K35" i="3"/>
  <c r="G35" i="3"/>
  <c r="F35" i="3"/>
  <c r="E35" i="3"/>
  <c r="C35" i="3"/>
  <c r="M29" i="3"/>
  <c r="K29" i="3"/>
  <c r="E29" i="3"/>
  <c r="C29" i="3"/>
  <c r="M28" i="3"/>
  <c r="N27" i="3" s="1"/>
  <c r="K28" i="3"/>
  <c r="E28" i="3"/>
  <c r="C28" i="3"/>
  <c r="O27" i="3"/>
  <c r="M27" i="3"/>
  <c r="K27" i="3"/>
  <c r="G27" i="3"/>
  <c r="F27" i="3"/>
  <c r="E27" i="3"/>
  <c r="C27" i="3"/>
  <c r="M21" i="3"/>
  <c r="K21" i="3"/>
  <c r="E21" i="3"/>
  <c r="C21" i="3"/>
  <c r="M20" i="3"/>
  <c r="N19" i="3" s="1"/>
  <c r="K20" i="3"/>
  <c r="E20" i="3"/>
  <c r="C20" i="3"/>
  <c r="O19" i="3"/>
  <c r="M19" i="3"/>
  <c r="K19" i="3"/>
  <c r="G19" i="3"/>
  <c r="F19" i="3"/>
  <c r="E19" i="3"/>
  <c r="C19" i="3"/>
  <c r="E13" i="3"/>
  <c r="F11" i="3" s="1"/>
  <c r="C13" i="3"/>
  <c r="E12" i="3"/>
  <c r="C12" i="3"/>
  <c r="G11" i="3"/>
  <c r="E11" i="3"/>
  <c r="C11" i="3"/>
  <c r="H10" i="6" l="1"/>
  <c r="H12" i="6"/>
  <c r="H17" i="6"/>
  <c r="H22" i="6"/>
  <c r="P3" i="6" s="1"/>
  <c r="H24" i="6"/>
  <c r="H29" i="6"/>
  <c r="H11" i="6"/>
  <c r="H16" i="6"/>
  <c r="H18" i="6"/>
  <c r="H23" i="6"/>
  <c r="H28" i="6"/>
  <c r="H30" i="6"/>
  <c r="K10" i="6"/>
  <c r="K12" i="6"/>
  <c r="K17" i="6"/>
  <c r="K22" i="6"/>
  <c r="K24" i="6"/>
  <c r="K29" i="6"/>
  <c r="K11" i="6"/>
  <c r="K16" i="6"/>
  <c r="K18" i="6"/>
  <c r="K23" i="6"/>
  <c r="K28" i="6"/>
  <c r="K30" i="6"/>
  <c r="G35" i="5"/>
  <c r="F35" i="5"/>
  <c r="G11" i="5"/>
  <c r="F11" i="5"/>
  <c r="G27" i="5"/>
  <c r="F27" i="5"/>
  <c r="G45" i="5"/>
  <c r="F45" i="5"/>
  <c r="G19" i="5"/>
  <c r="F19" i="5"/>
  <c r="M19" i="5"/>
  <c r="N19" i="5" s="1"/>
  <c r="M27" i="5"/>
  <c r="N27" i="5" s="1"/>
  <c r="M35" i="5"/>
  <c r="N35" i="5" s="1"/>
  <c r="M45" i="5"/>
  <c r="N45" i="5" s="1"/>
  <c r="H17" i="4"/>
  <c r="H10" i="4"/>
  <c r="H12" i="4"/>
  <c r="H22" i="4"/>
  <c r="H29" i="4"/>
  <c r="H24" i="4"/>
  <c r="K29" i="4"/>
  <c r="H30" i="4"/>
  <c r="K10" i="4"/>
  <c r="K12" i="4"/>
  <c r="K17" i="4"/>
  <c r="K22" i="4"/>
  <c r="K24" i="4"/>
  <c r="H11" i="4"/>
  <c r="H16" i="4"/>
  <c r="H18" i="4"/>
  <c r="H23" i="4"/>
  <c r="H28" i="4"/>
  <c r="K11" i="4"/>
  <c r="K16" i="4"/>
  <c r="K18" i="4"/>
  <c r="K23" i="4"/>
  <c r="K28" i="4"/>
  <c r="K30" i="4"/>
  <c r="N35" i="3"/>
  <c r="F45" i="3"/>
  <c r="G45" i="3"/>
  <c r="O35" i="3"/>
  <c r="Q4" i="2"/>
  <c r="P4" i="2"/>
  <c r="O4" i="2"/>
  <c r="N4" i="2"/>
  <c r="Q3" i="2"/>
  <c r="P3" i="2"/>
  <c r="O3" i="2"/>
  <c r="N3" i="2"/>
  <c r="N3" i="6" l="1"/>
  <c r="O3" i="6"/>
  <c r="Q3" i="6"/>
  <c r="N4" i="6"/>
  <c r="O4" i="6"/>
  <c r="P4" i="6"/>
  <c r="Q4" i="6"/>
  <c r="P3" i="4"/>
  <c r="Q3" i="4"/>
  <c r="N3" i="4"/>
  <c r="N4" i="4"/>
  <c r="O4" i="4"/>
  <c r="P4" i="4"/>
  <c r="Q4" i="4"/>
  <c r="O3" i="4"/>
  <c r="K30" i="2"/>
  <c r="K29" i="2"/>
  <c r="K28" i="2"/>
  <c r="K24" i="2"/>
  <c r="K23" i="2"/>
  <c r="K22" i="2"/>
  <c r="K18" i="2"/>
  <c r="K17" i="2"/>
  <c r="K16" i="2"/>
  <c r="K12" i="2" l="1"/>
  <c r="K11" i="2"/>
  <c r="K10" i="2"/>
  <c r="H30" i="2"/>
  <c r="H29" i="2"/>
  <c r="H28" i="2"/>
  <c r="H24" i="2"/>
  <c r="H23" i="2"/>
  <c r="H22" i="2"/>
  <c r="H18" i="2"/>
  <c r="H17" i="2"/>
  <c r="H16" i="2"/>
  <c r="H12" i="2"/>
  <c r="H11" i="2"/>
  <c r="H10" i="2"/>
  <c r="E30" i="2"/>
  <c r="E29" i="2"/>
  <c r="E28" i="2"/>
  <c r="E24" i="2"/>
  <c r="E23" i="2"/>
  <c r="E22" i="2"/>
  <c r="E18" i="2"/>
  <c r="E17" i="2"/>
  <c r="E16" i="2"/>
  <c r="E12" i="2"/>
  <c r="E11" i="2"/>
  <c r="E10" i="2"/>
  <c r="B30" i="2"/>
  <c r="B29" i="2"/>
  <c r="B28" i="2"/>
  <c r="B24" i="2"/>
  <c r="B23" i="2"/>
  <c r="B22" i="2"/>
  <c r="B18" i="2"/>
  <c r="B17" i="2"/>
  <c r="B16" i="2"/>
  <c r="B12" i="2"/>
  <c r="B11" i="2"/>
  <c r="B10" i="2"/>
  <c r="B6" i="2"/>
  <c r="B5" i="2"/>
  <c r="B4" i="2"/>
  <c r="B7" i="2" s="1"/>
  <c r="K46" i="1" l="1"/>
  <c r="O44" i="1"/>
  <c r="C46" i="1"/>
  <c r="E46" i="1" s="1"/>
  <c r="G44" i="1" s="1"/>
  <c r="K45" i="1"/>
  <c r="M45" i="1"/>
  <c r="C45" i="1"/>
  <c r="E45" i="1"/>
  <c r="K44" i="1"/>
  <c r="M44" i="1"/>
  <c r="C44" i="1"/>
  <c r="E44" i="1"/>
  <c r="F44" i="1" s="1"/>
  <c r="K37" i="1"/>
  <c r="M37" i="1"/>
  <c r="C37" i="1"/>
  <c r="E37" i="1"/>
  <c r="K36" i="1"/>
  <c r="M36" i="1"/>
  <c r="C36" i="1"/>
  <c r="E36" i="1"/>
  <c r="K35" i="1"/>
  <c r="C35" i="1"/>
  <c r="E35" i="1" s="1"/>
  <c r="K29" i="1"/>
  <c r="M29" i="1" s="1"/>
  <c r="C29" i="1"/>
  <c r="E29" i="1"/>
  <c r="K28" i="1"/>
  <c r="M28" i="1" s="1"/>
  <c r="C28" i="1"/>
  <c r="E28" i="1"/>
  <c r="K27" i="1"/>
  <c r="M27" i="1"/>
  <c r="C27" i="1"/>
  <c r="E27" i="1"/>
  <c r="G27" i="1" s="1"/>
  <c r="K19" i="1"/>
  <c r="M19" i="1" s="1"/>
  <c r="N19" i="1" s="1"/>
  <c r="K21" i="1"/>
  <c r="M21" i="1"/>
  <c r="C21" i="1"/>
  <c r="E21" i="1"/>
  <c r="K20" i="1"/>
  <c r="M20" i="1"/>
  <c r="C20" i="1"/>
  <c r="E20" i="1"/>
  <c r="G19" i="1" s="1"/>
  <c r="C19" i="1"/>
  <c r="E19" i="1"/>
  <c r="C11" i="1"/>
  <c r="E11" i="1" s="1"/>
  <c r="C13" i="1"/>
  <c r="E13" i="1"/>
  <c r="C12" i="1"/>
  <c r="E12" i="1"/>
  <c r="O35" i="1"/>
  <c r="M46" i="1"/>
  <c r="N44" i="1"/>
  <c r="M35" i="1"/>
  <c r="N35" i="1"/>
  <c r="F27" i="1"/>
  <c r="O19" i="1"/>
  <c r="F11" i="1" l="1"/>
  <c r="G11" i="1"/>
  <c r="N27" i="1"/>
  <c r="F35" i="1"/>
  <c r="G35" i="1"/>
  <c r="F19" i="1"/>
  <c r="O27" i="1"/>
</calcChain>
</file>

<file path=xl/sharedStrings.xml><?xml version="1.0" encoding="utf-8"?>
<sst xmlns="http://schemas.openxmlformats.org/spreadsheetml/2006/main" count="619" uniqueCount="80">
  <si>
    <t xml:space="preserve">Coulter Counter Counts: MCF7 500nM Abema 7day Timecourse </t>
  </si>
  <si>
    <r>
      <rPr>
        <b/>
        <sz val="11"/>
        <color indexed="8"/>
        <rFont val="Calibri"/>
        <family val="2"/>
      </rPr>
      <t>Monday 10/26/20</t>
    </r>
    <r>
      <rPr>
        <sz val="11"/>
        <color theme="1"/>
        <rFont val="Calibri"/>
        <family val="2"/>
        <scheme val="minor"/>
      </rPr>
      <t>, plated (7) 60mm dishes with 275k and (2) 60mm dishes with 150k of MCF7 p82+12+15+43. Two plates with 150k cell are for Days 6 and 7 of Veh to avoid overcrowding.</t>
    </r>
  </si>
  <si>
    <r>
      <rPr>
        <b/>
        <sz val="11"/>
        <color indexed="8"/>
        <rFont val="Calibri"/>
        <family val="2"/>
      </rPr>
      <t>Tuesday 10/27/20</t>
    </r>
    <r>
      <rPr>
        <sz val="11"/>
        <color theme="1"/>
        <rFont val="Calibri"/>
        <family val="2"/>
        <scheme val="minor"/>
      </rPr>
      <t>, Count T=0 plate. Dose (4) plates with Veh (.04% DMSO) and (4) plates with 500nM Abema.</t>
    </r>
  </si>
  <si>
    <r>
      <t xml:space="preserve">Monday 11/2/20, </t>
    </r>
    <r>
      <rPr>
        <sz val="11"/>
        <color theme="1"/>
        <rFont val="Calibri"/>
        <family val="2"/>
        <scheme val="minor"/>
      </rPr>
      <t>Count Day 6 plates</t>
    </r>
  </si>
  <si>
    <t>Sample</t>
  </si>
  <si>
    <t>Counter Read</t>
  </si>
  <si>
    <t>Cells/mL</t>
  </si>
  <si>
    <t>mL of cells</t>
  </si>
  <si>
    <t>Total cell number</t>
  </si>
  <si>
    <t>Average total cell #</t>
  </si>
  <si>
    <t>Stdev</t>
  </si>
  <si>
    <t xml:space="preserve"> T=0 #1</t>
  </si>
  <si>
    <t xml:space="preserve"> T=0 #2</t>
  </si>
  <si>
    <t>T=0  #3</t>
  </si>
  <si>
    <t>T=0 (10/27)</t>
  </si>
  <si>
    <t>Day 1 Veh #1</t>
  </si>
  <si>
    <t>Day 1 Veh #2</t>
  </si>
  <si>
    <t>Day 1 Veh #3</t>
  </si>
  <si>
    <t>Veh</t>
  </si>
  <si>
    <t>Day 1 (10/28)</t>
  </si>
  <si>
    <t>Day 1 Abema #1</t>
  </si>
  <si>
    <t>500nM Abema</t>
  </si>
  <si>
    <t>Day 1 Abema #2</t>
  </si>
  <si>
    <t>Day 1 Abema #3</t>
  </si>
  <si>
    <r>
      <rPr>
        <b/>
        <sz val="11"/>
        <color indexed="8"/>
        <rFont val="Calibri"/>
        <family val="2"/>
      </rPr>
      <t>Wednesday 10/28/20,</t>
    </r>
    <r>
      <rPr>
        <sz val="11"/>
        <color indexed="8"/>
        <rFont val="Calibri"/>
        <family val="2"/>
      </rPr>
      <t xml:space="preserve"> Visually plates look very similar, very few/barely any floaters </t>
    </r>
  </si>
  <si>
    <r>
      <rPr>
        <b/>
        <sz val="11"/>
        <color indexed="8"/>
        <rFont val="Calibri"/>
        <family val="2"/>
      </rPr>
      <t xml:space="preserve">Wednesday 10/28/20, </t>
    </r>
    <r>
      <rPr>
        <sz val="11"/>
        <color indexed="8"/>
        <rFont val="Calibri"/>
        <family val="2"/>
      </rPr>
      <t xml:space="preserve">Count Day 1 plates. </t>
    </r>
  </si>
  <si>
    <t>Day 3 (10/30)</t>
  </si>
  <si>
    <t>Day 3 Abema #1</t>
  </si>
  <si>
    <t>Day 3 Abema #2</t>
  </si>
  <si>
    <t>Day 3 Abema #3</t>
  </si>
  <si>
    <t>Day 3 Veh #1</t>
  </si>
  <si>
    <t>Day 3 Veh #2</t>
  </si>
  <si>
    <t>Day 3 Veh #3</t>
  </si>
  <si>
    <r>
      <rPr>
        <b/>
        <sz val="11"/>
        <color indexed="8"/>
        <rFont val="Calibri"/>
        <family val="2"/>
      </rPr>
      <t xml:space="preserve">Friday 10/30/20, </t>
    </r>
    <r>
      <rPr>
        <sz val="11"/>
        <color theme="1"/>
        <rFont val="Calibri"/>
        <family val="2"/>
        <scheme val="minor"/>
      </rPr>
      <t xml:space="preserve">Veh looks ~70% confluent with some floaters. Abema cells have more floaters and are more rounded and more singular, sparce ~15-20% with small round floaters </t>
    </r>
  </si>
  <si>
    <r>
      <rPr>
        <b/>
        <sz val="11"/>
        <color indexed="8"/>
        <rFont val="Calibri"/>
        <family val="2"/>
      </rPr>
      <t xml:space="preserve">Friday 10/30/20, </t>
    </r>
    <r>
      <rPr>
        <sz val="11"/>
        <color theme="1"/>
        <rFont val="Calibri"/>
        <family val="2"/>
        <scheme val="minor"/>
      </rPr>
      <t xml:space="preserve">Count Day 3 plates. Re-dose remaining plates for Days 6 and 7. </t>
    </r>
  </si>
  <si>
    <r>
      <t xml:space="preserve">Tuesday 11/3/20, </t>
    </r>
    <r>
      <rPr>
        <sz val="11"/>
        <color theme="1"/>
        <rFont val="Calibri"/>
        <family val="2"/>
        <scheme val="minor"/>
      </rPr>
      <t>Count Day 7 plates</t>
    </r>
  </si>
  <si>
    <t>Day 6 (11/2)</t>
  </si>
  <si>
    <t>Day 6 Veh #1</t>
  </si>
  <si>
    <t>Day 6 Veh #2</t>
  </si>
  <si>
    <t>Day 6 Veh #3</t>
  </si>
  <si>
    <t>Day 6 Abema #1</t>
  </si>
  <si>
    <t>Day 6 Abema #2</t>
  </si>
  <si>
    <t>Day 6 Abema #3</t>
  </si>
  <si>
    <t>Day 7 Veh #1</t>
  </si>
  <si>
    <t>Day 7 Veh #2</t>
  </si>
  <si>
    <t>Day 7 Veh #3</t>
  </si>
  <si>
    <t>Day 7 (11/3)</t>
  </si>
  <si>
    <t>Day 7 Abema #1</t>
  </si>
  <si>
    <t>Day 7 Abema #2</t>
  </si>
  <si>
    <t>Day 7 Abema #3</t>
  </si>
  <si>
    <r>
      <rPr>
        <b/>
        <sz val="11"/>
        <rFont val="Calibri"/>
        <family val="2"/>
      </rPr>
      <t>Monday 11/2/20,</t>
    </r>
    <r>
      <rPr>
        <sz val="11"/>
        <rFont val="Calibri"/>
        <family val="2"/>
      </rPr>
      <t xml:space="preserve"> Veh plates pretty confluent ~85% but still look okay, not overgrowing. Abema plates look ~50%, more cells in center of plate. Abema cells are larger and rounded, starting to form grape-like clusters instead of normal flat/spread out colonies. Floaters in abema plates are larger looking rounded cells</t>
    </r>
  </si>
  <si>
    <r>
      <rPr>
        <b/>
        <sz val="11"/>
        <color indexed="8"/>
        <rFont val="Calibri"/>
        <family val="2"/>
      </rPr>
      <t xml:space="preserve">Tuesday 11/3/20, </t>
    </r>
    <r>
      <rPr>
        <sz val="11"/>
        <color theme="1"/>
        <rFont val="Calibri"/>
        <family val="2"/>
        <scheme val="minor"/>
      </rPr>
      <t>Abema plates look same as yesterday except a little more floaters today. Veh plates are now ~95% confluent and are dying due to overcrowding, lots of floaters because of this.</t>
    </r>
  </si>
  <si>
    <t>Day 0</t>
  </si>
  <si>
    <t xml:space="preserve"> #1</t>
  </si>
  <si>
    <t>#2</t>
  </si>
  <si>
    <t>#3</t>
  </si>
  <si>
    <t xml:space="preserve">Day 1 </t>
  </si>
  <si>
    <t>Day 3</t>
  </si>
  <si>
    <t>Day 6</t>
  </si>
  <si>
    <t>Day 7</t>
  </si>
  <si>
    <t>Day1</t>
  </si>
  <si>
    <t>#1</t>
  </si>
  <si>
    <t>Day 1</t>
  </si>
  <si>
    <r>
      <rPr>
        <b/>
        <sz val="11"/>
        <color indexed="8"/>
        <rFont val="Calibri"/>
        <family val="2"/>
      </rPr>
      <t>Monday 12/7/20</t>
    </r>
    <r>
      <rPr>
        <sz val="11"/>
        <color theme="1"/>
        <rFont val="Calibri"/>
        <family val="2"/>
        <scheme val="minor"/>
      </rPr>
      <t xml:space="preserve">, plated (7) 60mm dishes with 275k and (2) 60mm dishes with 100k of </t>
    </r>
    <r>
      <rPr>
        <sz val="11"/>
        <color indexed="10"/>
        <rFont val="Calibri"/>
        <family val="2"/>
      </rPr>
      <t xml:space="preserve">MCF7 p82+12+15+26. </t>
    </r>
    <r>
      <rPr>
        <sz val="11"/>
        <color theme="1"/>
        <rFont val="Calibri"/>
        <family val="2"/>
        <scheme val="minor"/>
      </rPr>
      <t>Two plates with 100k cell are for Days 6 and 7 of Veh to avoid overcrowding.</t>
    </r>
  </si>
  <si>
    <r>
      <rPr>
        <b/>
        <sz val="11"/>
        <color indexed="8"/>
        <rFont val="Calibri"/>
        <family val="2"/>
      </rPr>
      <t>Tuesday 12/8/20</t>
    </r>
    <r>
      <rPr>
        <sz val="11"/>
        <color theme="1"/>
        <rFont val="Calibri"/>
        <family val="2"/>
        <scheme val="minor"/>
      </rPr>
      <t>, Count T=0 plate. Dose (4) plates with Veh and (4) plates with 500nM Abema.</t>
    </r>
  </si>
  <si>
    <r>
      <rPr>
        <b/>
        <sz val="11"/>
        <color indexed="8"/>
        <rFont val="Calibri"/>
        <family val="2"/>
      </rPr>
      <t xml:space="preserve">Wednesday 12/9/20, </t>
    </r>
    <r>
      <rPr>
        <sz val="11"/>
        <color indexed="8"/>
        <rFont val="Calibri"/>
        <family val="2"/>
      </rPr>
      <t xml:space="preserve">Count Day 1 plates. </t>
    </r>
  </si>
  <si>
    <r>
      <rPr>
        <b/>
        <sz val="11"/>
        <color indexed="8"/>
        <rFont val="Calibri"/>
        <family val="2"/>
      </rPr>
      <t xml:space="preserve">Friday 12/11/20, </t>
    </r>
    <r>
      <rPr>
        <sz val="11"/>
        <color theme="1"/>
        <rFont val="Calibri"/>
        <family val="2"/>
        <scheme val="minor"/>
      </rPr>
      <t xml:space="preserve">Count Day 3 plates. Re-dose remaining plates for Days 6 and 7. </t>
    </r>
  </si>
  <si>
    <r>
      <t xml:space="preserve">Monday 12/14/20, </t>
    </r>
    <r>
      <rPr>
        <sz val="11"/>
        <color theme="1"/>
        <rFont val="Calibri"/>
        <family val="2"/>
        <scheme val="minor"/>
      </rPr>
      <t>Count Day 6 plates</t>
    </r>
  </si>
  <si>
    <r>
      <t xml:space="preserve">Tuesday 12/15/20, </t>
    </r>
    <r>
      <rPr>
        <sz val="11"/>
        <color theme="1"/>
        <rFont val="Calibri"/>
        <family val="2"/>
        <scheme val="minor"/>
      </rPr>
      <t>Count Day 7 plates</t>
    </r>
  </si>
  <si>
    <t>T=0 (12/8)</t>
  </si>
  <si>
    <t>Day 1 (12/9)</t>
  </si>
  <si>
    <t>Day 3 (12/11)</t>
  </si>
  <si>
    <r>
      <rPr>
        <b/>
        <sz val="11"/>
        <color indexed="8"/>
        <rFont val="Calibri"/>
        <family val="2"/>
      </rPr>
      <t xml:space="preserve">Friday 12/11/20, </t>
    </r>
    <r>
      <rPr>
        <sz val="11"/>
        <color theme="1"/>
        <rFont val="Calibri"/>
        <family val="2"/>
        <scheme val="minor"/>
      </rPr>
      <t xml:space="preserve">Veh looks ~65% confluent with some floaters. Abema cells lots of floaters, more rounded, sparce ~15% </t>
    </r>
  </si>
  <si>
    <t>Day 6 (12/14)</t>
  </si>
  <si>
    <r>
      <rPr>
        <b/>
        <sz val="11"/>
        <rFont val="Calibri"/>
        <family val="2"/>
      </rPr>
      <t>Monday 12/11/20,</t>
    </r>
    <r>
      <rPr>
        <sz val="11"/>
        <rFont val="Calibri"/>
        <family val="2"/>
      </rPr>
      <t xml:space="preserve"> Veh plate ~75% with some floaters/debris. Not as many cells/not as crowded as Rep1 because plated 100k this time for Day 6 and Day 7 (Plated 150k for Rep1). Abema plate still sparce ~25%. Abema cells are larger and growing in small grape-like clusters but spaced apart with lots of large floaters. Floaters in abema plate are larger looking rounded cells</t>
    </r>
  </si>
  <si>
    <t>Day 7 (12/15)</t>
  </si>
  <si>
    <r>
      <rPr>
        <b/>
        <sz val="11"/>
        <color indexed="8"/>
        <rFont val="Calibri"/>
        <family val="2"/>
      </rPr>
      <t>Tuesday 12/15/20,</t>
    </r>
    <r>
      <rPr>
        <sz val="11"/>
        <color theme="1"/>
        <rFont val="Calibri"/>
        <family val="2"/>
        <scheme val="minor"/>
      </rPr>
      <t xml:space="preserve"> Veh plate are ~80%. Abema plate ~25-30% with more large floaters than Veh but also small debris floaters in Abema plate today.</t>
    </r>
  </si>
  <si>
    <r>
      <rPr>
        <b/>
        <sz val="11"/>
        <color indexed="8"/>
        <rFont val="Calibri"/>
        <family val="2"/>
      </rPr>
      <t>Monday 12/7/20</t>
    </r>
    <r>
      <rPr>
        <sz val="11"/>
        <color theme="1"/>
        <rFont val="Calibri"/>
        <family val="2"/>
        <scheme val="minor"/>
      </rPr>
      <t xml:space="preserve">, plated (7) 60mm dishes with 275k and (2) 60mm dishes with 100k of </t>
    </r>
    <r>
      <rPr>
        <sz val="11"/>
        <color indexed="10"/>
        <rFont val="Calibri"/>
        <family val="2"/>
      </rPr>
      <t xml:space="preserve">MCF7 p82+12+15+27. </t>
    </r>
    <r>
      <rPr>
        <sz val="11"/>
        <color theme="1"/>
        <rFont val="Calibri"/>
        <family val="2"/>
        <scheme val="minor"/>
      </rPr>
      <t>Two plates with 100k cell are for Days 6 and 7 of Veh to avoid overcrowding.</t>
    </r>
  </si>
  <si>
    <r>
      <rPr>
        <b/>
        <sz val="11"/>
        <color indexed="8"/>
        <rFont val="Calibri"/>
        <family val="2"/>
      </rPr>
      <t xml:space="preserve">Friday 12/11/20, </t>
    </r>
    <r>
      <rPr>
        <sz val="11"/>
        <color theme="1"/>
        <rFont val="Calibri"/>
        <family val="2"/>
        <scheme val="minor"/>
      </rPr>
      <t xml:space="preserve">Veh looks ~60% confluent with some floaters. Abema cells lots of floaters, more rounded, sparce ~15% </t>
    </r>
  </si>
  <si>
    <r>
      <rPr>
        <b/>
        <sz val="11"/>
        <rFont val="Calibri"/>
        <family val="2"/>
      </rPr>
      <t>Monday 12/11/20,</t>
    </r>
    <r>
      <rPr>
        <sz val="11"/>
        <rFont val="Calibri"/>
        <family val="2"/>
      </rPr>
      <t xml:space="preserve"> Veh plate ~70-75% with some floaters/debris. Not as many cells/not as crowded as Rep1 because plated 100k this time for Day 6 and Day 7 (Plated 150k for Rep1). Abema plate still sparce ~25%. Abema cells are larger and growing in small grape-like clusters but spaced apart with lots of large floaters. Floaters in abema plate are larger looking rounded cells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</si>
</sst>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2"/>
      <color indexed="53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1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8" fillId="0" borderId="0" xfId="0" applyFont="1"/>
    <xf numFmtId="0" fontId="0" fillId="0" borderId="4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0" fillId="0" borderId="4" xfId="0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11" fillId="0" borderId="0" xfId="0" applyNumberFormat="1" applyFont="1" applyBorder="1" applyAlignment="1">
      <alignment horizontal="center"/>
    </xf>
    <xf numFmtId="164" fontId="10" fillId="0" borderId="5" xfId="0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164" fontId="15" fillId="0" borderId="0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0" fillId="0" borderId="0" xfId="0" applyFont="1" applyFill="1" applyBorder="1" applyAlignment="1">
      <alignment horizontal="left" wrapText="1"/>
    </xf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0" xfId="0" applyFont="1" applyBorder="1" applyAlignment="1">
      <alignment horizontal="center" wrapText="1"/>
    </xf>
    <xf numFmtId="0" fontId="16" fillId="0" borderId="4" xfId="0" applyFont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13" fillId="0" borderId="0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7" fillId="0" borderId="0" xfId="0" applyFont="1" applyAlignment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0" fillId="0" borderId="0" xfId="0" applyFont="1" applyFill="1" applyBorder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1" fillId="0" borderId="0" xfId="0" applyNumberFormat="1" applyFont="1" applyAlignment="1">
      <alignment horizontal="center"/>
    </xf>
    <xf numFmtId="0" fontId="13" fillId="0" borderId="0" xfId="0" applyFont="1" applyAlignment="1">
      <alignment horizontal="center" wrapText="1"/>
    </xf>
    <xf numFmtId="164" fontId="15" fillId="0" borderId="0" xfId="0" applyNumberFormat="1" applyFont="1" applyAlignment="1">
      <alignment horizontal="center"/>
    </xf>
    <xf numFmtId="0" fontId="3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3" fillId="0" borderId="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'Rep11'!$L$3</c:f>
              <c:strCache>
                <c:ptCount val="1"/>
                <c:pt idx="0">
                  <c:v>Veh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'Rep11'!$M$3:$Q$3</c:f>
              <c:numCache>
                <c:formatCode>General</c:formatCode>
                <c:ptCount val="5"/>
                <c:pt idx="0">
                  <c:v>1</c:v>
                </c:pt>
                <c:pt idx="1">
                  <c:v>1.7407407407407405</c:v>
                </c:pt>
                <c:pt idx="2">
                  <c:v>6.0802469135802468</c:v>
                </c:pt>
                <c:pt idx="3">
                  <c:v>16.055555555555557</c:v>
                </c:pt>
                <c:pt idx="4">
                  <c:v>20.018518518518519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99-F94F-8E73-86C7D3C59ADE}"/>
            </c:ext>
          </c:extLst>
        </c:ser>
        <c:ser>
          <c:idx val="1"/>
          <c:order val="1"/>
          <c:tx>
            <c:strRef>
              <c:f>'Rep11'!$L$4</c:f>
              <c:strCache>
                <c:ptCount val="1"/>
                <c:pt idx="0">
                  <c:v>500nM Abema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'Rep11'!$M$4:$Q$4</c:f>
              <c:numCache>
                <c:formatCode>General</c:formatCode>
                <c:ptCount val="5"/>
                <c:pt idx="0">
                  <c:v>1</c:v>
                </c:pt>
                <c:pt idx="1">
                  <c:v>1.4969135802469136</c:v>
                </c:pt>
                <c:pt idx="2">
                  <c:v>1.5802469135802468</c:v>
                </c:pt>
                <c:pt idx="3">
                  <c:v>3.4845679012345681</c:v>
                </c:pt>
                <c:pt idx="4">
                  <c:v>3.4290123456790123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99-F94F-8E73-86C7D3C59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774896"/>
        <c:axId val="661746336"/>
      </c:lineChart>
      <c:catAx>
        <c:axId val="661774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746336"/>
        <c:crosses val="autoZero"/>
        <c:auto val="1"/>
        <c:lblAlgn val="ctr"/>
        <c:lblOffset val="100"/>
        <c:noMultiLvlLbl val="0"/>
      </c:catAx>
      <c:valAx>
        <c:axId val="66174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77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'Rep11'!$L$3</c:f>
              <c:strCache>
                <c:ptCount val="1"/>
                <c:pt idx="0">
                  <c:v>Veh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'Rep11'!$M$3:$Q$3</c:f>
              <c:numCache>
                <c:formatCode>General</c:formatCode>
                <c:ptCount val="5"/>
                <c:pt idx="0">
                  <c:v>1</c:v>
                </c:pt>
                <c:pt idx="1">
                  <c:v>1.7407407407407405</c:v>
                </c:pt>
                <c:pt idx="2">
                  <c:v>6.0802469135802468</c:v>
                </c:pt>
                <c:pt idx="3">
                  <c:v>16.055555555555557</c:v>
                </c:pt>
                <c:pt idx="4">
                  <c:v>20.018518518518519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A-3345-B0C6-FA123FD8581F}"/>
            </c:ext>
          </c:extLst>
        </c:ser>
        <c:ser>
          <c:idx val="1"/>
          <c:order val="1"/>
          <c:tx>
            <c:strRef>
              <c:f>'Rep11'!$L$4</c:f>
              <c:strCache>
                <c:ptCount val="1"/>
                <c:pt idx="0">
                  <c:v>500nM Abema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'Rep11'!$M$4:$Q$4</c:f>
              <c:numCache>
                <c:formatCode>General</c:formatCode>
                <c:ptCount val="5"/>
                <c:pt idx="0">
                  <c:v>1</c:v>
                </c:pt>
                <c:pt idx="1">
                  <c:v>1.4969135802469136</c:v>
                </c:pt>
                <c:pt idx="2">
                  <c:v>1.5802469135802468</c:v>
                </c:pt>
                <c:pt idx="3">
                  <c:v>3.4845679012345681</c:v>
                </c:pt>
                <c:pt idx="4">
                  <c:v>3.4290123456790123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7A-3345-B0C6-FA123FD85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774896"/>
        <c:axId val="661746336"/>
      </c:lineChart>
      <c:catAx>
        <c:axId val="661774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746336"/>
        <c:crosses val="autoZero"/>
        <c:auto val="1"/>
        <c:lblAlgn val="ctr"/>
        <c:lblOffset val="100"/>
        <c:noMultiLvlLbl val="0"/>
      </c:catAx>
      <c:valAx>
        <c:axId val="66174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77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'Rep11'!$L$3</c:f>
              <c:strCache>
                <c:ptCount val="1"/>
                <c:pt idx="0">
                  <c:v>Veh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'Rep11'!$M$3:$Q$3</c:f>
              <c:numCache>
                <c:formatCode>General</c:formatCode>
                <c:ptCount val="5"/>
                <c:pt idx="0">
                  <c:v>1</c:v>
                </c:pt>
                <c:pt idx="1">
                  <c:v>1.7407407407407405</c:v>
                </c:pt>
                <c:pt idx="2">
                  <c:v>6.0802469135802468</c:v>
                </c:pt>
                <c:pt idx="3">
                  <c:v>16.055555555555557</c:v>
                </c:pt>
                <c:pt idx="4">
                  <c:v>20.018518518518519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9-8B4E-AB81-3C85F0C017BF}"/>
            </c:ext>
          </c:extLst>
        </c:ser>
        <c:ser>
          <c:idx val="1"/>
          <c:order val="1"/>
          <c:tx>
            <c:strRef>
              <c:f>'Rep11'!$L$4</c:f>
              <c:strCache>
                <c:ptCount val="1"/>
                <c:pt idx="0">
                  <c:v>500nM Abema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'Rep11'!$M$4:$Q$4</c:f>
              <c:numCache>
                <c:formatCode>General</c:formatCode>
                <c:ptCount val="5"/>
                <c:pt idx="0">
                  <c:v>1</c:v>
                </c:pt>
                <c:pt idx="1">
                  <c:v>1.4969135802469136</c:v>
                </c:pt>
                <c:pt idx="2">
                  <c:v>1.5802469135802468</c:v>
                </c:pt>
                <c:pt idx="3">
                  <c:v>3.4845679012345681</c:v>
                </c:pt>
                <c:pt idx="4">
                  <c:v>3.4290123456790123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B9-8B4E-AB81-3C85F0C01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774896"/>
        <c:axId val="661746336"/>
      </c:lineChart>
      <c:catAx>
        <c:axId val="661774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746336"/>
        <c:crosses val="autoZero"/>
        <c:auto val="1"/>
        <c:lblAlgn val="ctr"/>
        <c:lblOffset val="100"/>
        <c:noMultiLvlLbl val="0"/>
      </c:catAx>
      <c:valAx>
        <c:axId val="66174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77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88900</xdr:colOff>
      <xdr:row>15</xdr:row>
      <xdr:rowOff>273050</xdr:rowOff>
    </xdr:from>
    <xdr:to>
      <xdr:col>17</xdr:col>
      <xdr:colOff>533400</xdr:colOff>
      <xdr:row>26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D6B31-366E-B54E-A76E-DBBCE3295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88900</xdr:colOff>
      <xdr:row>15</xdr:row>
      <xdr:rowOff>273050</xdr:rowOff>
    </xdr:from>
    <xdr:to>
      <xdr:col>17</xdr:col>
      <xdr:colOff>533400</xdr:colOff>
      <xdr:row>26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70F3AB-CD9C-D94A-A0E8-D1DF004AF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88900</xdr:colOff>
      <xdr:row>15</xdr:row>
      <xdr:rowOff>273050</xdr:rowOff>
    </xdr:from>
    <xdr:to>
      <xdr:col>17</xdr:col>
      <xdr:colOff>533400</xdr:colOff>
      <xdr:row>26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773781-3431-7541-A0E1-532DA05C7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opLeftCell="A8" workbookViewId="0">
      <selection activeCell="A38" sqref="A38:P39"/>
    </sheetView>
  </sheetViews>
  <sheetFormatPr baseColWidth="10" defaultRowHeight="15" x14ac:dyDescent="0.2"/>
  <cols>
    <col min="1" max="1" width="12.5" customWidth="1"/>
    <col min="2" max="2" width="8.83203125" customWidth="1"/>
    <col min="3" max="3" width="9.5" bestFit="1" customWidth="1"/>
    <col min="4" max="4" width="8.83203125" customWidth="1"/>
    <col min="5" max="7" width="9.5" bestFit="1" customWidth="1"/>
    <col min="8" max="8" width="8.83203125" customWidth="1"/>
    <col min="9" max="9" width="15" customWidth="1"/>
    <col min="10" max="10" width="8.83203125" customWidth="1"/>
    <col min="11" max="11" width="9.5" bestFit="1" customWidth="1"/>
    <col min="12" max="12" width="8.83203125" customWidth="1"/>
    <col min="13" max="15" width="9.5" bestFit="1" customWidth="1"/>
    <col min="16" max="256" width="8.83203125" customWidth="1"/>
  </cols>
  <sheetData>
    <row r="1" spans="1:19" ht="19" x14ac:dyDescent="0.25">
      <c r="A1" s="1" t="s">
        <v>0</v>
      </c>
    </row>
    <row r="2" spans="1:19" x14ac:dyDescent="0.2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9" x14ac:dyDescent="0.2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9" ht="15" customHeight="1" x14ac:dyDescent="0.2">
      <c r="A4" s="35" t="s">
        <v>25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9" ht="15.75" customHeight="1" x14ac:dyDescent="0.2">
      <c r="A5" s="36" t="s">
        <v>34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</row>
    <row r="6" spans="1:19" x14ac:dyDescent="0.2">
      <c r="A6" s="46" t="s">
        <v>3</v>
      </c>
      <c r="B6" s="46"/>
      <c r="C6" s="46"/>
      <c r="D6" s="46"/>
    </row>
    <row r="7" spans="1:19" x14ac:dyDescent="0.2">
      <c r="A7" s="46" t="s">
        <v>35</v>
      </c>
      <c r="B7" s="46"/>
      <c r="C7" s="46"/>
      <c r="D7" s="46"/>
    </row>
    <row r="9" spans="1:19" ht="19" x14ac:dyDescent="0.25">
      <c r="A9" s="47" t="s">
        <v>14</v>
      </c>
      <c r="B9" s="48"/>
      <c r="C9" s="48"/>
      <c r="D9" s="48"/>
      <c r="E9" s="48"/>
      <c r="F9" s="48"/>
      <c r="G9" s="49"/>
    </row>
    <row r="10" spans="1:19" ht="32" x14ac:dyDescent="0.2">
      <c r="A10" s="2" t="s">
        <v>4</v>
      </c>
      <c r="B10" s="3" t="s">
        <v>5</v>
      </c>
      <c r="C10" s="3" t="s">
        <v>6</v>
      </c>
      <c r="D10" s="3" t="s">
        <v>7</v>
      </c>
      <c r="E10" s="3" t="s">
        <v>8</v>
      </c>
      <c r="F10" s="4" t="s">
        <v>9</v>
      </c>
      <c r="G10" s="5" t="s">
        <v>10</v>
      </c>
    </row>
    <row r="11" spans="1:19" x14ac:dyDescent="0.2">
      <c r="A11" s="6" t="s">
        <v>11</v>
      </c>
      <c r="B11" s="7">
        <v>124</v>
      </c>
      <c r="C11" s="8">
        <f>B11*400</f>
        <v>49600</v>
      </c>
      <c r="D11" s="7">
        <v>2.5</v>
      </c>
      <c r="E11" s="8">
        <f>C11*D11</f>
        <v>124000</v>
      </c>
      <c r="F11" s="9">
        <f>AVERAGE(E11:E13)</f>
        <v>108000</v>
      </c>
      <c r="G11" s="10">
        <f>_xlfn.STDEV.S(E11:E13)</f>
        <v>14422.205101855958</v>
      </c>
    </row>
    <row r="12" spans="1:19" x14ac:dyDescent="0.2">
      <c r="A12" s="6" t="s">
        <v>12</v>
      </c>
      <c r="B12" s="7">
        <v>96</v>
      </c>
      <c r="C12" s="8">
        <f>B12*400</f>
        <v>38400</v>
      </c>
      <c r="D12" s="7">
        <v>2.5</v>
      </c>
      <c r="E12" s="8">
        <f>C12*D12</f>
        <v>96000</v>
      </c>
      <c r="F12" s="8"/>
      <c r="G12" s="11"/>
    </row>
    <row r="13" spans="1:19" x14ac:dyDescent="0.2">
      <c r="A13" s="12" t="s">
        <v>13</v>
      </c>
      <c r="B13" s="13">
        <v>104</v>
      </c>
      <c r="C13" s="14">
        <f>B13*400</f>
        <v>41600</v>
      </c>
      <c r="D13" s="13">
        <v>2.5</v>
      </c>
      <c r="E13" s="14">
        <f>C13*D13</f>
        <v>104000</v>
      </c>
      <c r="F13" s="14"/>
      <c r="G13" s="15"/>
    </row>
    <row r="16" spans="1:19" ht="19" x14ac:dyDescent="0.25">
      <c r="A16" s="37" t="s">
        <v>19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9"/>
    </row>
    <row r="17" spans="1:19" ht="16" x14ac:dyDescent="0.2">
      <c r="A17" s="40" t="s">
        <v>18</v>
      </c>
      <c r="B17" s="41"/>
      <c r="C17" s="41"/>
      <c r="D17" s="41"/>
      <c r="E17" s="41"/>
      <c r="F17" s="41"/>
      <c r="G17" s="42"/>
      <c r="H17" s="7"/>
      <c r="I17" s="43" t="s">
        <v>21</v>
      </c>
      <c r="J17" s="44"/>
      <c r="K17" s="44"/>
      <c r="L17" s="44"/>
      <c r="M17" s="44"/>
      <c r="N17" s="44"/>
      <c r="O17" s="45"/>
    </row>
    <row r="18" spans="1:19" ht="32" x14ac:dyDescent="0.2">
      <c r="A18" s="16" t="s">
        <v>4</v>
      </c>
      <c r="B18" s="17" t="s">
        <v>5</v>
      </c>
      <c r="C18" s="17" t="s">
        <v>6</v>
      </c>
      <c r="D18" s="17" t="s">
        <v>7</v>
      </c>
      <c r="E18" s="17" t="s">
        <v>8</v>
      </c>
      <c r="F18" s="18" t="s">
        <v>9</v>
      </c>
      <c r="G18" s="19" t="s">
        <v>10</v>
      </c>
      <c r="H18" s="7"/>
      <c r="I18" s="16" t="s">
        <v>4</v>
      </c>
      <c r="J18" s="17" t="s">
        <v>5</v>
      </c>
      <c r="K18" s="17" t="s">
        <v>6</v>
      </c>
      <c r="L18" s="17" t="s">
        <v>7</v>
      </c>
      <c r="M18" s="17" t="s">
        <v>8</v>
      </c>
      <c r="N18" s="18" t="s">
        <v>9</v>
      </c>
      <c r="O18" s="19" t="s">
        <v>10</v>
      </c>
    </row>
    <row r="19" spans="1:19" x14ac:dyDescent="0.2">
      <c r="A19" s="20" t="s">
        <v>15</v>
      </c>
      <c r="B19" s="7">
        <v>203</v>
      </c>
      <c r="C19" s="8">
        <f>B19*400</f>
        <v>81200</v>
      </c>
      <c r="D19" s="7">
        <v>2.5</v>
      </c>
      <c r="E19" s="8">
        <f>C19*D19</f>
        <v>203000</v>
      </c>
      <c r="F19" s="9">
        <f>AVERAGE(E19:E21)</f>
        <v>188000</v>
      </c>
      <c r="G19" s="10">
        <f>_xlfn.STDEV.S(E19:E21)</f>
        <v>24269.322199023194</v>
      </c>
      <c r="H19" s="7"/>
      <c r="I19" s="21" t="s">
        <v>20</v>
      </c>
      <c r="J19" s="7">
        <v>155</v>
      </c>
      <c r="K19" s="8">
        <f>J19*400</f>
        <v>62000</v>
      </c>
      <c r="L19" s="7">
        <v>2.5</v>
      </c>
      <c r="M19" s="8">
        <f>K19*L19</f>
        <v>155000</v>
      </c>
      <c r="N19" s="22">
        <f>AVERAGE(M19:M21)</f>
        <v>161666.66666666666</v>
      </c>
      <c r="O19" s="10">
        <f>_xlfn.STDEV.S(K19:K21)</f>
        <v>3055.0504633038931</v>
      </c>
    </row>
    <row r="20" spans="1:19" x14ac:dyDescent="0.2">
      <c r="A20" s="20" t="s">
        <v>16</v>
      </c>
      <c r="B20" s="7">
        <v>201</v>
      </c>
      <c r="C20" s="8">
        <f>B20*400</f>
        <v>80400</v>
      </c>
      <c r="D20" s="7">
        <v>2.5</v>
      </c>
      <c r="E20" s="8">
        <f>C20*D20</f>
        <v>201000</v>
      </c>
      <c r="F20" s="8"/>
      <c r="G20" s="11"/>
      <c r="H20" s="7"/>
      <c r="I20" s="21" t="s">
        <v>22</v>
      </c>
      <c r="J20" s="7">
        <v>160</v>
      </c>
      <c r="K20" s="8">
        <f>J20*400</f>
        <v>64000</v>
      </c>
      <c r="L20" s="7">
        <v>2.5</v>
      </c>
      <c r="M20" s="8">
        <f>K20*L20</f>
        <v>160000</v>
      </c>
      <c r="N20" s="8"/>
      <c r="O20" s="11"/>
    </row>
    <row r="21" spans="1:19" x14ac:dyDescent="0.2">
      <c r="A21" s="23" t="s">
        <v>17</v>
      </c>
      <c r="B21" s="13">
        <v>160</v>
      </c>
      <c r="C21" s="14">
        <f>B21*400</f>
        <v>64000</v>
      </c>
      <c r="D21" s="13">
        <v>2.5</v>
      </c>
      <c r="E21" s="14">
        <f>C21*D21</f>
        <v>160000</v>
      </c>
      <c r="F21" s="14"/>
      <c r="G21" s="15"/>
      <c r="H21" s="13"/>
      <c r="I21" s="24" t="s">
        <v>23</v>
      </c>
      <c r="J21" s="13">
        <v>170</v>
      </c>
      <c r="K21" s="14">
        <f>J21*400</f>
        <v>68000</v>
      </c>
      <c r="L21" s="13">
        <v>2.5</v>
      </c>
      <c r="M21" s="14">
        <f>K21*L21</f>
        <v>170000</v>
      </c>
      <c r="N21" s="14"/>
      <c r="O21" s="15"/>
    </row>
    <row r="22" spans="1:19" x14ac:dyDescent="0.2">
      <c r="A22" s="35" t="s">
        <v>24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</row>
    <row r="24" spans="1:19" ht="19" x14ac:dyDescent="0.25">
      <c r="A24" s="37" t="s">
        <v>26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</row>
    <row r="25" spans="1:19" ht="16" x14ac:dyDescent="0.2">
      <c r="A25" s="40" t="s">
        <v>18</v>
      </c>
      <c r="B25" s="41"/>
      <c r="C25" s="41"/>
      <c r="D25" s="41"/>
      <c r="E25" s="41"/>
      <c r="F25" s="41"/>
      <c r="G25" s="42"/>
      <c r="H25" s="7"/>
      <c r="I25" s="43" t="s">
        <v>21</v>
      </c>
      <c r="J25" s="44"/>
      <c r="K25" s="44"/>
      <c r="L25" s="44"/>
      <c r="M25" s="44"/>
      <c r="N25" s="44"/>
      <c r="O25" s="45"/>
    </row>
    <row r="26" spans="1:19" ht="32" x14ac:dyDescent="0.2">
      <c r="A26" s="16" t="s">
        <v>4</v>
      </c>
      <c r="B26" s="17" t="s">
        <v>5</v>
      </c>
      <c r="C26" s="17" t="s">
        <v>6</v>
      </c>
      <c r="D26" s="17" t="s">
        <v>7</v>
      </c>
      <c r="E26" s="17" t="s">
        <v>8</v>
      </c>
      <c r="F26" s="18" t="s">
        <v>9</v>
      </c>
      <c r="G26" s="19" t="s">
        <v>10</v>
      </c>
      <c r="H26" s="7"/>
      <c r="I26" s="16" t="s">
        <v>4</v>
      </c>
      <c r="J26" s="17" t="s">
        <v>5</v>
      </c>
      <c r="K26" s="17" t="s">
        <v>6</v>
      </c>
      <c r="L26" s="17" t="s">
        <v>7</v>
      </c>
      <c r="M26" s="17" t="s">
        <v>8</v>
      </c>
      <c r="N26" s="18" t="s">
        <v>9</v>
      </c>
      <c r="O26" s="19" t="s">
        <v>10</v>
      </c>
    </row>
    <row r="27" spans="1:19" x14ac:dyDescent="0.2">
      <c r="A27" s="20" t="s">
        <v>30</v>
      </c>
      <c r="B27" s="7">
        <v>667</v>
      </c>
      <c r="C27" s="8">
        <f>B27*400</f>
        <v>266800</v>
      </c>
      <c r="D27" s="7">
        <v>2.5</v>
      </c>
      <c r="E27" s="8">
        <f>C27*D27</f>
        <v>667000</v>
      </c>
      <c r="F27" s="9">
        <f>AVERAGE(E27:E29)</f>
        <v>656666.66666666663</v>
      </c>
      <c r="G27" s="10">
        <f>_xlfn.STDEV.S(E27:E29)</f>
        <v>11060.440015358039</v>
      </c>
      <c r="H27" s="7"/>
      <c r="I27" s="21" t="s">
        <v>27</v>
      </c>
      <c r="J27" s="7">
        <v>178</v>
      </c>
      <c r="K27" s="8">
        <f>J27*400</f>
        <v>71200</v>
      </c>
      <c r="L27" s="7">
        <v>2.5</v>
      </c>
      <c r="M27" s="8">
        <f>K27*L27</f>
        <v>178000</v>
      </c>
      <c r="N27" s="22">
        <f>AVERAGE(M27:M29)</f>
        <v>170666.66666666666</v>
      </c>
      <c r="O27" s="10">
        <f>_xlfn.STDEV.S(K27:K29)</f>
        <v>2663.3312473917572</v>
      </c>
    </row>
    <row r="28" spans="1:19" x14ac:dyDescent="0.2">
      <c r="A28" s="20" t="s">
        <v>31</v>
      </c>
      <c r="B28" s="7">
        <v>658</v>
      </c>
      <c r="C28" s="8">
        <f>B28*400</f>
        <v>263200</v>
      </c>
      <c r="D28" s="7">
        <v>2.5</v>
      </c>
      <c r="E28" s="8">
        <f>C28*D28</f>
        <v>658000</v>
      </c>
      <c r="F28" s="8"/>
      <c r="G28" s="11"/>
      <c r="H28" s="7"/>
      <c r="I28" s="21" t="s">
        <v>28</v>
      </c>
      <c r="J28" s="7">
        <v>169</v>
      </c>
      <c r="K28" s="8">
        <f>J28*400</f>
        <v>67600</v>
      </c>
      <c r="L28" s="7">
        <v>2.5</v>
      </c>
      <c r="M28" s="8">
        <f>K28*L28</f>
        <v>169000</v>
      </c>
      <c r="N28" s="8"/>
      <c r="O28" s="11"/>
    </row>
    <row r="29" spans="1:19" x14ac:dyDescent="0.2">
      <c r="A29" s="23" t="s">
        <v>32</v>
      </c>
      <c r="B29" s="13">
        <v>645</v>
      </c>
      <c r="C29" s="14">
        <f>B29*400</f>
        <v>258000</v>
      </c>
      <c r="D29" s="13">
        <v>2.5</v>
      </c>
      <c r="E29" s="14">
        <f>C29*D29</f>
        <v>645000</v>
      </c>
      <c r="F29" s="14"/>
      <c r="G29" s="15"/>
      <c r="H29" s="13"/>
      <c r="I29" s="24" t="s">
        <v>29</v>
      </c>
      <c r="J29" s="13">
        <v>165</v>
      </c>
      <c r="K29" s="14">
        <f>J29*400</f>
        <v>66000</v>
      </c>
      <c r="L29" s="13">
        <v>2.5</v>
      </c>
      <c r="M29" s="14">
        <f>K29*L29</f>
        <v>165000</v>
      </c>
      <c r="N29" s="14"/>
      <c r="O29" s="15"/>
    </row>
    <row r="30" spans="1:19" x14ac:dyDescent="0.2">
      <c r="A30" s="36" t="s">
        <v>33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</row>
    <row r="32" spans="1:19" ht="19" x14ac:dyDescent="0.25">
      <c r="A32" s="37" t="s">
        <v>36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9"/>
    </row>
    <row r="33" spans="1:19" ht="16" x14ac:dyDescent="0.2">
      <c r="A33" s="40" t="s">
        <v>18</v>
      </c>
      <c r="B33" s="41"/>
      <c r="C33" s="41"/>
      <c r="D33" s="41"/>
      <c r="E33" s="41"/>
      <c r="F33" s="41"/>
      <c r="G33" s="42"/>
      <c r="H33" s="7"/>
      <c r="I33" s="43" t="s">
        <v>21</v>
      </c>
      <c r="J33" s="44"/>
      <c r="K33" s="44"/>
      <c r="L33" s="44"/>
      <c r="M33" s="44"/>
      <c r="N33" s="44"/>
      <c r="O33" s="45"/>
    </row>
    <row r="34" spans="1:19" ht="32" x14ac:dyDescent="0.2">
      <c r="A34" s="16" t="s">
        <v>4</v>
      </c>
      <c r="B34" s="17" t="s">
        <v>5</v>
      </c>
      <c r="C34" s="17" t="s">
        <v>6</v>
      </c>
      <c r="D34" s="17" t="s">
        <v>7</v>
      </c>
      <c r="E34" s="17" t="s">
        <v>8</v>
      </c>
      <c r="F34" s="18" t="s">
        <v>9</v>
      </c>
      <c r="G34" s="19" t="s">
        <v>10</v>
      </c>
      <c r="H34" s="7"/>
      <c r="I34" s="16" t="s">
        <v>4</v>
      </c>
      <c r="J34" s="17" t="s">
        <v>5</v>
      </c>
      <c r="K34" s="17" t="s">
        <v>6</v>
      </c>
      <c r="L34" s="17" t="s">
        <v>7</v>
      </c>
      <c r="M34" s="17" t="s">
        <v>8</v>
      </c>
      <c r="N34" s="18" t="s">
        <v>9</v>
      </c>
      <c r="O34" s="19" t="s">
        <v>10</v>
      </c>
    </row>
    <row r="35" spans="1:19" x14ac:dyDescent="0.2">
      <c r="A35" s="20" t="s">
        <v>37</v>
      </c>
      <c r="B35" s="7">
        <v>1746</v>
      </c>
      <c r="C35" s="8">
        <f>B35*400</f>
        <v>698400</v>
      </c>
      <c r="D35" s="7">
        <v>2.5</v>
      </c>
      <c r="E35" s="8">
        <f>C35*D35</f>
        <v>1746000</v>
      </c>
      <c r="F35" s="9">
        <f>AVERAGE(E35:E37)</f>
        <v>1734000</v>
      </c>
      <c r="G35" s="10">
        <f>_xlfn.STDEV.S(E35:E37)</f>
        <v>14422.205101855958</v>
      </c>
      <c r="H35" s="7"/>
      <c r="I35" s="21" t="s">
        <v>40</v>
      </c>
      <c r="J35" s="7">
        <v>375</v>
      </c>
      <c r="K35" s="8">
        <f>J35*400</f>
        <v>150000</v>
      </c>
      <c r="L35" s="7">
        <v>2.5</v>
      </c>
      <c r="M35" s="8">
        <f>K35*L35</f>
        <v>375000</v>
      </c>
      <c r="N35" s="22">
        <f>AVERAGE(M35:M37)</f>
        <v>376333.33333333331</v>
      </c>
      <c r="O35" s="10">
        <f>_xlfn.STDEV.S(K35:K37)</f>
        <v>8812.1128756577637</v>
      </c>
    </row>
    <row r="36" spans="1:19" x14ac:dyDescent="0.2">
      <c r="A36" s="20" t="s">
        <v>38</v>
      </c>
      <c r="B36" s="7">
        <v>1718</v>
      </c>
      <c r="C36" s="8">
        <f>B36*400</f>
        <v>687200</v>
      </c>
      <c r="D36" s="7">
        <v>2.5</v>
      </c>
      <c r="E36" s="8">
        <f>C36*D36</f>
        <v>1718000</v>
      </c>
      <c r="F36" s="8"/>
      <c r="G36" s="11"/>
      <c r="H36" s="7"/>
      <c r="I36" s="21" t="s">
        <v>41</v>
      </c>
      <c r="J36" s="7">
        <v>399</v>
      </c>
      <c r="K36" s="8">
        <f>J36*400</f>
        <v>159600</v>
      </c>
      <c r="L36" s="7">
        <v>2.5</v>
      </c>
      <c r="M36" s="8">
        <f>K36*L36</f>
        <v>399000</v>
      </c>
      <c r="N36" s="8"/>
      <c r="O36" s="11"/>
    </row>
    <row r="37" spans="1:19" x14ac:dyDescent="0.2">
      <c r="A37" s="23" t="s">
        <v>39</v>
      </c>
      <c r="B37" s="13">
        <v>1738</v>
      </c>
      <c r="C37" s="14">
        <f>B37*400</f>
        <v>695200</v>
      </c>
      <c r="D37" s="13">
        <v>2.5</v>
      </c>
      <c r="E37" s="14">
        <f>C37*D37</f>
        <v>1738000</v>
      </c>
      <c r="F37" s="14"/>
      <c r="G37" s="15"/>
      <c r="H37" s="13"/>
      <c r="I37" s="24" t="s">
        <v>42</v>
      </c>
      <c r="J37" s="13">
        <v>355</v>
      </c>
      <c r="K37" s="14">
        <f>J37*400</f>
        <v>142000</v>
      </c>
      <c r="L37" s="13">
        <v>2.5</v>
      </c>
      <c r="M37" s="14">
        <f>K37*L37</f>
        <v>355000</v>
      </c>
      <c r="N37" s="14"/>
      <c r="O37" s="15"/>
    </row>
    <row r="38" spans="1:19" x14ac:dyDescent="0.2">
      <c r="A38" s="62" t="s">
        <v>50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</row>
    <row r="39" spans="1:19" x14ac:dyDescent="0.2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</row>
    <row r="40" spans="1:19" x14ac:dyDescent="0.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9" ht="19" x14ac:dyDescent="0.25">
      <c r="A41" s="37" t="s">
        <v>46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9"/>
    </row>
    <row r="42" spans="1:19" ht="16" x14ac:dyDescent="0.2">
      <c r="A42" s="40" t="s">
        <v>18</v>
      </c>
      <c r="B42" s="41"/>
      <c r="C42" s="41"/>
      <c r="D42" s="41"/>
      <c r="E42" s="41"/>
      <c r="F42" s="41"/>
      <c r="G42" s="42"/>
      <c r="H42" s="7"/>
      <c r="I42" s="43" t="s">
        <v>21</v>
      </c>
      <c r="J42" s="44"/>
      <c r="K42" s="44"/>
      <c r="L42" s="44"/>
      <c r="M42" s="44"/>
      <c r="N42" s="44"/>
      <c r="O42" s="45"/>
    </row>
    <row r="43" spans="1:19" ht="32" x14ac:dyDescent="0.2">
      <c r="A43" s="16" t="s">
        <v>4</v>
      </c>
      <c r="B43" s="17" t="s">
        <v>5</v>
      </c>
      <c r="C43" s="17" t="s">
        <v>6</v>
      </c>
      <c r="D43" s="17" t="s">
        <v>7</v>
      </c>
      <c r="E43" s="17" t="s">
        <v>8</v>
      </c>
      <c r="F43" s="18" t="s">
        <v>9</v>
      </c>
      <c r="G43" s="19" t="s">
        <v>10</v>
      </c>
      <c r="H43" s="7"/>
      <c r="I43" s="16" t="s">
        <v>4</v>
      </c>
      <c r="J43" s="17" t="s">
        <v>5</v>
      </c>
      <c r="K43" s="17" t="s">
        <v>6</v>
      </c>
      <c r="L43" s="17" t="s">
        <v>7</v>
      </c>
      <c r="M43" s="17" t="s">
        <v>8</v>
      </c>
      <c r="N43" s="18" t="s">
        <v>9</v>
      </c>
      <c r="O43" s="19" t="s">
        <v>10</v>
      </c>
    </row>
    <row r="44" spans="1:19" x14ac:dyDescent="0.2">
      <c r="A44" s="20" t="s">
        <v>43</v>
      </c>
      <c r="B44" s="7">
        <v>2149</v>
      </c>
      <c r="C44" s="8">
        <f>B44*400</f>
        <v>859600</v>
      </c>
      <c r="D44" s="7">
        <v>2.5</v>
      </c>
      <c r="E44" s="8">
        <f>C44*D44</f>
        <v>2149000</v>
      </c>
      <c r="F44" s="9">
        <f>AVERAGE(E44:E46)</f>
        <v>2162000</v>
      </c>
      <c r="G44" s="10">
        <f>_xlfn.STDEV.S(E44:E46)</f>
        <v>25159.49125081825</v>
      </c>
      <c r="H44" s="7"/>
      <c r="I44" s="21" t="s">
        <v>47</v>
      </c>
      <c r="J44" s="7">
        <v>391</v>
      </c>
      <c r="K44" s="8">
        <f>J44*400</f>
        <v>156400</v>
      </c>
      <c r="L44" s="7">
        <v>2.5</v>
      </c>
      <c r="M44" s="8">
        <f>K44*L44</f>
        <v>391000</v>
      </c>
      <c r="N44" s="22">
        <f>AVERAGE(M44:M46)</f>
        <v>370333.33333333331</v>
      </c>
      <c r="O44" s="10">
        <f>_xlfn.STDEV.S(K44:K46)</f>
        <v>12625.899307904105</v>
      </c>
    </row>
    <row r="45" spans="1:19" x14ac:dyDescent="0.2">
      <c r="A45" s="20" t="s">
        <v>44</v>
      </c>
      <c r="B45" s="7">
        <v>2191</v>
      </c>
      <c r="C45" s="8">
        <f>B45*400</f>
        <v>876400</v>
      </c>
      <c r="D45" s="7">
        <v>2.5</v>
      </c>
      <c r="E45" s="8">
        <f>C45*D45</f>
        <v>2191000</v>
      </c>
      <c r="F45" s="8"/>
      <c r="G45" s="11"/>
      <c r="H45" s="7"/>
      <c r="I45" s="21" t="s">
        <v>48</v>
      </c>
      <c r="J45" s="7">
        <v>334</v>
      </c>
      <c r="K45" s="8">
        <f>J45*400</f>
        <v>133600</v>
      </c>
      <c r="L45" s="7">
        <v>2.5</v>
      </c>
      <c r="M45" s="8">
        <f>K45*L45</f>
        <v>334000</v>
      </c>
      <c r="N45" s="8"/>
      <c r="O45" s="11"/>
    </row>
    <row r="46" spans="1:19" x14ac:dyDescent="0.2">
      <c r="A46" s="23" t="s">
        <v>45</v>
      </c>
      <c r="B46" s="13">
        <v>2146</v>
      </c>
      <c r="C46" s="14">
        <f>B46*400</f>
        <v>858400</v>
      </c>
      <c r="D46" s="13">
        <v>2.5</v>
      </c>
      <c r="E46" s="14">
        <f>C46*D46</f>
        <v>2146000</v>
      </c>
      <c r="F46" s="14"/>
      <c r="G46" s="15"/>
      <c r="H46" s="13"/>
      <c r="I46" s="24" t="s">
        <v>49</v>
      </c>
      <c r="J46" s="13">
        <v>386</v>
      </c>
      <c r="K46" s="14">
        <f>J46*400</f>
        <v>154400</v>
      </c>
      <c r="L46" s="13">
        <v>2.5</v>
      </c>
      <c r="M46" s="14">
        <f>K46*L46</f>
        <v>386000</v>
      </c>
      <c r="N46" s="14"/>
      <c r="O46" s="15"/>
    </row>
    <row r="47" spans="1:19" x14ac:dyDescent="0.2">
      <c r="A47" s="36" t="s">
        <v>51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</row>
  </sheetData>
  <mergeCells count="23">
    <mergeCell ref="A47:S47"/>
    <mergeCell ref="A32:O32"/>
    <mergeCell ref="A33:G33"/>
    <mergeCell ref="I33:O33"/>
    <mergeCell ref="A41:O41"/>
    <mergeCell ref="A42:G42"/>
    <mergeCell ref="I42:O42"/>
    <mergeCell ref="A38:P39"/>
    <mergeCell ref="A25:G25"/>
    <mergeCell ref="I25:O25"/>
    <mergeCell ref="A30:S30"/>
    <mergeCell ref="A6:D6"/>
    <mergeCell ref="A7:D7"/>
    <mergeCell ref="A9:G9"/>
    <mergeCell ref="A16:O16"/>
    <mergeCell ref="A17:G17"/>
    <mergeCell ref="I17:O17"/>
    <mergeCell ref="A22:Q22"/>
    <mergeCell ref="A3:Q3"/>
    <mergeCell ref="A2:R2"/>
    <mergeCell ref="A4:Q4"/>
    <mergeCell ref="A5:S5"/>
    <mergeCell ref="A24:O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A6C1-4F02-E045-8619-557FE3073CC0}">
  <dimension ref="A1:Q30"/>
  <sheetViews>
    <sheetView workbookViewId="0">
      <selection activeCell="H11" sqref="H11"/>
    </sheetView>
  </sheetViews>
  <sheetFormatPr baseColWidth="10" defaultRowHeight="15" x14ac:dyDescent="0.2"/>
  <cols>
    <col min="1" max="1" width="24" customWidth="1"/>
    <col min="2" max="2" width="20" customWidth="1"/>
    <col min="4" max="4" width="26.1640625" customWidth="1"/>
    <col min="8" max="8" width="12.1640625" customWidth="1"/>
    <col min="10" max="10" width="17.83203125" customWidth="1"/>
    <col min="12" max="12" width="18.83203125" customWidth="1"/>
  </cols>
  <sheetData>
    <row r="1" spans="1:17" ht="21" x14ac:dyDescent="0.25">
      <c r="A1" s="26" t="s">
        <v>52</v>
      </c>
    </row>
    <row r="2" spans="1:17" ht="22" x14ac:dyDescent="0.25">
      <c r="M2" s="29" t="s">
        <v>52</v>
      </c>
      <c r="N2" s="29" t="s">
        <v>60</v>
      </c>
      <c r="O2" s="29" t="s">
        <v>57</v>
      </c>
      <c r="P2" s="29" t="s">
        <v>58</v>
      </c>
      <c r="Q2" s="32" t="s">
        <v>59</v>
      </c>
    </row>
    <row r="3" spans="1:17" ht="22" x14ac:dyDescent="0.25">
      <c r="A3" s="27" t="s">
        <v>4</v>
      </c>
      <c r="B3" s="28" t="s">
        <v>5</v>
      </c>
      <c r="K3" s="31"/>
      <c r="L3" s="29" t="s">
        <v>18</v>
      </c>
      <c r="M3" s="28">
        <v>1</v>
      </c>
      <c r="N3" s="28">
        <f>AVERAGE(H10:H12)</f>
        <v>1.7407407407407405</v>
      </c>
      <c r="O3" s="28">
        <f>AVERAGE(H16:H18)</f>
        <v>6.0802469135802468</v>
      </c>
      <c r="P3" s="28">
        <f>AVERAGE(H22:H24)</f>
        <v>16.055555555555557</v>
      </c>
      <c r="Q3" s="28">
        <f>AVERAGE(H28:H30)</f>
        <v>20.018518518518519</v>
      </c>
    </row>
    <row r="4" spans="1:17" ht="22" x14ac:dyDescent="0.25">
      <c r="A4" s="30" t="s">
        <v>53</v>
      </c>
      <c r="B4" s="28">
        <f>'Rep1'!B11</f>
        <v>124</v>
      </c>
      <c r="L4" s="29" t="s">
        <v>21</v>
      </c>
      <c r="M4" s="28">
        <v>1</v>
      </c>
      <c r="N4" s="28">
        <f>AVERAGE(K10:K12)</f>
        <v>1.4969135802469136</v>
      </c>
      <c r="O4" s="28">
        <f>AVERAGE(K16:K18)</f>
        <v>1.5802469135802468</v>
      </c>
      <c r="P4" s="28">
        <f>AVERAGE(K22:K24)</f>
        <v>3.4845679012345681</v>
      </c>
      <c r="Q4" s="28">
        <f>AVERAGE(K28:K30)</f>
        <v>3.4290123456790123</v>
      </c>
    </row>
    <row r="5" spans="1:17" ht="21" x14ac:dyDescent="0.25">
      <c r="A5" s="30" t="s">
        <v>54</v>
      </c>
      <c r="B5" s="28">
        <f>'Rep1'!B12</f>
        <v>96</v>
      </c>
    </row>
    <row r="6" spans="1:17" ht="21" x14ac:dyDescent="0.25">
      <c r="A6" s="26" t="s">
        <v>55</v>
      </c>
      <c r="B6" s="28">
        <f>'Rep1'!B13</f>
        <v>104</v>
      </c>
    </row>
    <row r="7" spans="1:17" ht="21" x14ac:dyDescent="0.25">
      <c r="B7" s="28">
        <f>AVERAGE(B4:B6)</f>
        <v>108</v>
      </c>
    </row>
    <row r="8" spans="1:17" ht="22" x14ac:dyDescent="0.25">
      <c r="A8" s="27" t="s">
        <v>56</v>
      </c>
      <c r="C8" s="31"/>
      <c r="D8" s="29" t="s">
        <v>62</v>
      </c>
      <c r="F8" s="31"/>
      <c r="G8" s="29" t="s">
        <v>56</v>
      </c>
      <c r="J8" s="29" t="s">
        <v>62</v>
      </c>
    </row>
    <row r="9" spans="1:17" ht="22" x14ac:dyDescent="0.25">
      <c r="A9" s="27" t="s">
        <v>18</v>
      </c>
      <c r="C9" s="31"/>
      <c r="D9" s="29" t="s">
        <v>21</v>
      </c>
      <c r="F9" s="31"/>
      <c r="G9" s="29" t="s">
        <v>18</v>
      </c>
      <c r="J9" s="29" t="s">
        <v>21</v>
      </c>
    </row>
    <row r="10" spans="1:17" ht="22" x14ac:dyDescent="0.25">
      <c r="A10" s="27" t="s">
        <v>61</v>
      </c>
      <c r="B10" s="28">
        <f>'Rep1'!B19</f>
        <v>203</v>
      </c>
      <c r="C10" s="31"/>
      <c r="D10" s="29" t="s">
        <v>61</v>
      </c>
      <c r="E10" s="29">
        <f>'Rep1'!J19</f>
        <v>155</v>
      </c>
      <c r="F10" s="31"/>
      <c r="G10" s="29" t="s">
        <v>61</v>
      </c>
      <c r="H10" s="29">
        <f>B10/B7</f>
        <v>1.8796296296296295</v>
      </c>
      <c r="J10" s="29" t="s">
        <v>61</v>
      </c>
      <c r="K10" s="29">
        <f>E10/B7</f>
        <v>1.4351851851851851</v>
      </c>
    </row>
    <row r="11" spans="1:17" ht="22" x14ac:dyDescent="0.25">
      <c r="A11" s="27" t="s">
        <v>54</v>
      </c>
      <c r="B11" s="28">
        <f>'Rep1'!B20</f>
        <v>201</v>
      </c>
      <c r="C11" s="31"/>
      <c r="D11" s="29" t="s">
        <v>54</v>
      </c>
      <c r="E11" s="29">
        <f>'Rep1'!J20</f>
        <v>160</v>
      </c>
      <c r="F11" s="31"/>
      <c r="G11" s="29" t="s">
        <v>54</v>
      </c>
      <c r="H11" s="29">
        <f>B11/B7</f>
        <v>1.8611111111111112</v>
      </c>
      <c r="J11" s="29" t="s">
        <v>54</v>
      </c>
      <c r="K11" s="29">
        <f>E11/B7</f>
        <v>1.4814814814814814</v>
      </c>
    </row>
    <row r="12" spans="1:17" ht="22" x14ac:dyDescent="0.25">
      <c r="A12" s="29" t="s">
        <v>55</v>
      </c>
      <c r="B12" s="28">
        <f>'Rep1'!B21</f>
        <v>160</v>
      </c>
      <c r="D12" s="29" t="s">
        <v>55</v>
      </c>
      <c r="E12" s="29">
        <f>'Rep1'!J21</f>
        <v>170</v>
      </c>
      <c r="G12" s="29" t="s">
        <v>55</v>
      </c>
      <c r="H12" s="29">
        <f>B12/B7</f>
        <v>1.4814814814814814</v>
      </c>
      <c r="J12" s="29" t="s">
        <v>55</v>
      </c>
      <c r="K12" s="29">
        <f>E12/B7</f>
        <v>1.5740740740740742</v>
      </c>
    </row>
    <row r="14" spans="1:17" ht="22" x14ac:dyDescent="0.25">
      <c r="A14" s="27" t="s">
        <v>57</v>
      </c>
      <c r="C14" s="31"/>
      <c r="D14" s="29" t="s">
        <v>57</v>
      </c>
      <c r="F14" s="31"/>
      <c r="G14" s="29" t="s">
        <v>57</v>
      </c>
      <c r="J14" s="29" t="s">
        <v>57</v>
      </c>
    </row>
    <row r="15" spans="1:17" ht="22" x14ac:dyDescent="0.25">
      <c r="A15" s="27" t="s">
        <v>18</v>
      </c>
      <c r="D15" s="29" t="s">
        <v>21</v>
      </c>
      <c r="F15" s="31"/>
      <c r="G15" s="29" t="s">
        <v>18</v>
      </c>
      <c r="J15" s="29" t="s">
        <v>21</v>
      </c>
    </row>
    <row r="16" spans="1:17" ht="22" x14ac:dyDescent="0.25">
      <c r="A16" s="27" t="s">
        <v>61</v>
      </c>
      <c r="B16" s="28">
        <f>'Rep1'!B27</f>
        <v>667</v>
      </c>
      <c r="D16" s="29" t="s">
        <v>61</v>
      </c>
      <c r="E16" s="29">
        <f>'Rep1'!J27</f>
        <v>178</v>
      </c>
      <c r="F16" s="31"/>
      <c r="G16" s="29" t="s">
        <v>61</v>
      </c>
      <c r="H16" s="29">
        <f>B16/B7</f>
        <v>6.1759259259259256</v>
      </c>
      <c r="J16" s="29" t="s">
        <v>61</v>
      </c>
      <c r="K16" s="29">
        <f>E16/B7</f>
        <v>1.6481481481481481</v>
      </c>
    </row>
    <row r="17" spans="1:11" ht="22" x14ac:dyDescent="0.25">
      <c r="A17" s="27" t="s">
        <v>54</v>
      </c>
      <c r="B17" s="28">
        <f>'Rep1'!B28</f>
        <v>658</v>
      </c>
      <c r="D17" s="29" t="s">
        <v>54</v>
      </c>
      <c r="E17" s="29">
        <f>'Rep1'!J28</f>
        <v>169</v>
      </c>
      <c r="F17" s="31"/>
      <c r="G17" s="29" t="s">
        <v>54</v>
      </c>
      <c r="H17" s="29">
        <f>B17/B7</f>
        <v>6.0925925925925926</v>
      </c>
      <c r="J17" s="29" t="s">
        <v>54</v>
      </c>
      <c r="K17" s="29">
        <f>E17/B7</f>
        <v>1.5648148148148149</v>
      </c>
    </row>
    <row r="18" spans="1:11" ht="22" x14ac:dyDescent="0.25">
      <c r="A18" s="29" t="s">
        <v>55</v>
      </c>
      <c r="B18" s="28">
        <f>'Rep1'!B29</f>
        <v>645</v>
      </c>
      <c r="D18" s="29" t="s">
        <v>55</v>
      </c>
      <c r="E18" s="29">
        <f>'Rep1'!J29</f>
        <v>165</v>
      </c>
      <c r="G18" s="29" t="s">
        <v>55</v>
      </c>
      <c r="H18" s="29">
        <f>B18/B7</f>
        <v>5.9722222222222223</v>
      </c>
      <c r="J18" s="29" t="s">
        <v>55</v>
      </c>
      <c r="K18" s="29">
        <f>E18/B7</f>
        <v>1.5277777777777777</v>
      </c>
    </row>
    <row r="20" spans="1:11" ht="22" x14ac:dyDescent="0.25">
      <c r="A20" s="27" t="s">
        <v>58</v>
      </c>
      <c r="C20" s="31"/>
      <c r="D20" s="29" t="s">
        <v>58</v>
      </c>
      <c r="F20" s="31"/>
      <c r="G20" s="29" t="s">
        <v>58</v>
      </c>
      <c r="J20" s="29" t="s">
        <v>58</v>
      </c>
    </row>
    <row r="21" spans="1:11" ht="22" x14ac:dyDescent="0.25">
      <c r="A21" s="27" t="s">
        <v>18</v>
      </c>
      <c r="D21" s="29" t="s">
        <v>21</v>
      </c>
      <c r="F21" s="31"/>
      <c r="G21" s="29" t="s">
        <v>18</v>
      </c>
      <c r="J21" s="29" t="s">
        <v>21</v>
      </c>
    </row>
    <row r="22" spans="1:11" ht="22" x14ac:dyDescent="0.25">
      <c r="A22" s="27" t="s">
        <v>61</v>
      </c>
      <c r="B22" s="28">
        <f>'Rep1'!B35</f>
        <v>1746</v>
      </c>
      <c r="D22" s="29" t="s">
        <v>61</v>
      </c>
      <c r="E22" s="29">
        <f>'Rep1'!J35</f>
        <v>375</v>
      </c>
      <c r="F22" s="31"/>
      <c r="G22" s="29" t="s">
        <v>61</v>
      </c>
      <c r="H22" s="29">
        <f>B22/B7</f>
        <v>16.166666666666668</v>
      </c>
      <c r="J22" s="29" t="s">
        <v>61</v>
      </c>
      <c r="K22" s="29">
        <f>E22/B7</f>
        <v>3.4722222222222223</v>
      </c>
    </row>
    <row r="23" spans="1:11" ht="22" x14ac:dyDescent="0.25">
      <c r="A23" s="27" t="s">
        <v>54</v>
      </c>
      <c r="B23" s="28">
        <f>'Rep1'!B36</f>
        <v>1718</v>
      </c>
      <c r="D23" s="29" t="s">
        <v>54</v>
      </c>
      <c r="E23" s="29">
        <f>'Rep1'!J36</f>
        <v>399</v>
      </c>
      <c r="F23" s="31"/>
      <c r="G23" s="29" t="s">
        <v>54</v>
      </c>
      <c r="H23" s="29">
        <f>B23/B7</f>
        <v>15.907407407407407</v>
      </c>
      <c r="J23" s="29" t="s">
        <v>54</v>
      </c>
      <c r="K23" s="29">
        <f>E23/B7</f>
        <v>3.6944444444444446</v>
      </c>
    </row>
    <row r="24" spans="1:11" ht="22" x14ac:dyDescent="0.25">
      <c r="A24" s="29" t="s">
        <v>55</v>
      </c>
      <c r="B24" s="28">
        <f>'Rep1'!B37</f>
        <v>1738</v>
      </c>
      <c r="D24" s="29" t="s">
        <v>55</v>
      </c>
      <c r="E24" s="29">
        <f>'Rep1'!J37</f>
        <v>355</v>
      </c>
      <c r="G24" s="29" t="s">
        <v>55</v>
      </c>
      <c r="H24" s="29">
        <f>B24/B7</f>
        <v>16.092592592592592</v>
      </c>
      <c r="J24" s="29" t="s">
        <v>55</v>
      </c>
      <c r="K24" s="29">
        <f>E24/B7</f>
        <v>3.2870370370370372</v>
      </c>
    </row>
    <row r="26" spans="1:11" ht="22" x14ac:dyDescent="0.25">
      <c r="A26" s="27" t="s">
        <v>59</v>
      </c>
      <c r="C26" s="31"/>
      <c r="D26" s="29" t="s">
        <v>59</v>
      </c>
      <c r="F26" s="31"/>
      <c r="G26" s="29" t="s">
        <v>59</v>
      </c>
      <c r="J26" s="29" t="s">
        <v>59</v>
      </c>
    </row>
    <row r="27" spans="1:11" ht="22" x14ac:dyDescent="0.25">
      <c r="A27" s="27" t="s">
        <v>18</v>
      </c>
      <c r="D27" s="29" t="s">
        <v>21</v>
      </c>
      <c r="F27" s="31"/>
      <c r="G27" s="29" t="s">
        <v>18</v>
      </c>
      <c r="J27" s="29" t="s">
        <v>21</v>
      </c>
    </row>
    <row r="28" spans="1:11" ht="22" x14ac:dyDescent="0.25">
      <c r="A28" s="27" t="s">
        <v>61</v>
      </c>
      <c r="B28" s="28">
        <f>'Rep1'!B44</f>
        <v>2149</v>
      </c>
      <c r="D28" s="29" t="s">
        <v>61</v>
      </c>
      <c r="E28" s="29">
        <f>'Rep1'!J44</f>
        <v>391</v>
      </c>
      <c r="F28" s="31"/>
      <c r="G28" s="29" t="s">
        <v>61</v>
      </c>
      <c r="H28" s="29">
        <f>B28/B7</f>
        <v>19.898148148148149</v>
      </c>
      <c r="J28" s="29" t="s">
        <v>61</v>
      </c>
      <c r="K28" s="29">
        <f>E28/B7</f>
        <v>3.6203703703703702</v>
      </c>
    </row>
    <row r="29" spans="1:11" ht="22" x14ac:dyDescent="0.25">
      <c r="A29" s="27" t="s">
        <v>54</v>
      </c>
      <c r="B29" s="28">
        <f>'Rep1'!B45</f>
        <v>2191</v>
      </c>
      <c r="D29" s="29" t="s">
        <v>54</v>
      </c>
      <c r="E29" s="29">
        <f>'Rep1'!J45</f>
        <v>334</v>
      </c>
      <c r="F29" s="31"/>
      <c r="G29" s="29" t="s">
        <v>54</v>
      </c>
      <c r="H29" s="29">
        <f>B29/B7</f>
        <v>20.287037037037038</v>
      </c>
      <c r="J29" s="29" t="s">
        <v>54</v>
      </c>
      <c r="K29" s="29">
        <f>E29/B7</f>
        <v>3.0925925925925926</v>
      </c>
    </row>
    <row r="30" spans="1:11" ht="22" x14ac:dyDescent="0.25">
      <c r="A30" s="29" t="s">
        <v>55</v>
      </c>
      <c r="B30" s="28">
        <f>'Rep1'!B46</f>
        <v>2146</v>
      </c>
      <c r="D30" s="29" t="s">
        <v>55</v>
      </c>
      <c r="E30" s="29">
        <f>'Rep1'!J46</f>
        <v>386</v>
      </c>
      <c r="G30" s="29" t="s">
        <v>55</v>
      </c>
      <c r="H30" s="29">
        <f>B30/B7</f>
        <v>19.87037037037037</v>
      </c>
      <c r="J30" s="29" t="s">
        <v>55</v>
      </c>
      <c r="K30" s="29">
        <f>E30/B7</f>
        <v>3.574074074074074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1A84-0DDD-304B-827B-287C65DDF887}">
  <dimension ref="A1:S48"/>
  <sheetViews>
    <sheetView topLeftCell="A3" workbookViewId="0">
      <selection activeCell="K10" sqref="K10"/>
    </sheetView>
  </sheetViews>
  <sheetFormatPr baseColWidth="10" defaultRowHeight="15" x14ac:dyDescent="0.2"/>
  <cols>
    <col min="1" max="1" width="12.5" customWidth="1"/>
    <col min="2" max="2" width="8.83203125" customWidth="1"/>
    <col min="3" max="3" width="9.5" bestFit="1" customWidth="1"/>
    <col min="4" max="4" width="8.83203125" customWidth="1"/>
    <col min="5" max="7" width="9.5" bestFit="1" customWidth="1"/>
    <col min="8" max="8" width="8.83203125" customWidth="1"/>
    <col min="9" max="9" width="15" customWidth="1"/>
    <col min="10" max="10" width="8.83203125" customWidth="1"/>
    <col min="11" max="11" width="9.5" bestFit="1" customWidth="1"/>
    <col min="12" max="12" width="8.83203125" customWidth="1"/>
    <col min="13" max="15" width="9.5" bestFit="1" customWidth="1"/>
    <col min="16" max="256" width="8.83203125" customWidth="1"/>
    <col min="257" max="257" width="12.5" customWidth="1"/>
    <col min="258" max="258" width="8.83203125" customWidth="1"/>
    <col min="259" max="259" width="9.5" bestFit="1" customWidth="1"/>
    <col min="260" max="260" width="8.83203125" customWidth="1"/>
    <col min="261" max="263" width="9.5" bestFit="1" customWidth="1"/>
    <col min="264" max="264" width="8.83203125" customWidth="1"/>
    <col min="265" max="265" width="15" customWidth="1"/>
    <col min="266" max="266" width="8.83203125" customWidth="1"/>
    <col min="267" max="267" width="9.5" bestFit="1" customWidth="1"/>
    <col min="268" max="268" width="8.83203125" customWidth="1"/>
    <col min="269" max="271" width="9.5" bestFit="1" customWidth="1"/>
    <col min="272" max="512" width="8.83203125" customWidth="1"/>
    <col min="513" max="513" width="12.5" customWidth="1"/>
    <col min="514" max="514" width="8.83203125" customWidth="1"/>
    <col min="515" max="515" width="9.5" bestFit="1" customWidth="1"/>
    <col min="516" max="516" width="8.83203125" customWidth="1"/>
    <col min="517" max="519" width="9.5" bestFit="1" customWidth="1"/>
    <col min="520" max="520" width="8.83203125" customWidth="1"/>
    <col min="521" max="521" width="15" customWidth="1"/>
    <col min="522" max="522" width="8.83203125" customWidth="1"/>
    <col min="523" max="523" width="9.5" bestFit="1" customWidth="1"/>
    <col min="524" max="524" width="8.83203125" customWidth="1"/>
    <col min="525" max="527" width="9.5" bestFit="1" customWidth="1"/>
    <col min="528" max="768" width="8.83203125" customWidth="1"/>
    <col min="769" max="769" width="12.5" customWidth="1"/>
    <col min="770" max="770" width="8.83203125" customWidth="1"/>
    <col min="771" max="771" width="9.5" bestFit="1" customWidth="1"/>
    <col min="772" max="772" width="8.83203125" customWidth="1"/>
    <col min="773" max="775" width="9.5" bestFit="1" customWidth="1"/>
    <col min="776" max="776" width="8.83203125" customWidth="1"/>
    <col min="777" max="777" width="15" customWidth="1"/>
    <col min="778" max="778" width="8.83203125" customWidth="1"/>
    <col min="779" max="779" width="9.5" bestFit="1" customWidth="1"/>
    <col min="780" max="780" width="8.83203125" customWidth="1"/>
    <col min="781" max="783" width="9.5" bestFit="1" customWidth="1"/>
    <col min="784" max="1024" width="8.83203125" customWidth="1"/>
    <col min="1025" max="1025" width="12.5" customWidth="1"/>
    <col min="1026" max="1026" width="8.83203125" customWidth="1"/>
    <col min="1027" max="1027" width="9.5" bestFit="1" customWidth="1"/>
    <col min="1028" max="1028" width="8.83203125" customWidth="1"/>
    <col min="1029" max="1031" width="9.5" bestFit="1" customWidth="1"/>
    <col min="1032" max="1032" width="8.83203125" customWidth="1"/>
    <col min="1033" max="1033" width="15" customWidth="1"/>
    <col min="1034" max="1034" width="8.83203125" customWidth="1"/>
    <col min="1035" max="1035" width="9.5" bestFit="1" customWidth="1"/>
    <col min="1036" max="1036" width="8.83203125" customWidth="1"/>
    <col min="1037" max="1039" width="9.5" bestFit="1" customWidth="1"/>
    <col min="1040" max="1280" width="8.83203125" customWidth="1"/>
    <col min="1281" max="1281" width="12.5" customWidth="1"/>
    <col min="1282" max="1282" width="8.83203125" customWidth="1"/>
    <col min="1283" max="1283" width="9.5" bestFit="1" customWidth="1"/>
    <col min="1284" max="1284" width="8.83203125" customWidth="1"/>
    <col min="1285" max="1287" width="9.5" bestFit="1" customWidth="1"/>
    <col min="1288" max="1288" width="8.83203125" customWidth="1"/>
    <col min="1289" max="1289" width="15" customWidth="1"/>
    <col min="1290" max="1290" width="8.83203125" customWidth="1"/>
    <col min="1291" max="1291" width="9.5" bestFit="1" customWidth="1"/>
    <col min="1292" max="1292" width="8.83203125" customWidth="1"/>
    <col min="1293" max="1295" width="9.5" bestFit="1" customWidth="1"/>
    <col min="1296" max="1536" width="8.83203125" customWidth="1"/>
    <col min="1537" max="1537" width="12.5" customWidth="1"/>
    <col min="1538" max="1538" width="8.83203125" customWidth="1"/>
    <col min="1539" max="1539" width="9.5" bestFit="1" customWidth="1"/>
    <col min="1540" max="1540" width="8.83203125" customWidth="1"/>
    <col min="1541" max="1543" width="9.5" bestFit="1" customWidth="1"/>
    <col min="1544" max="1544" width="8.83203125" customWidth="1"/>
    <col min="1545" max="1545" width="15" customWidth="1"/>
    <col min="1546" max="1546" width="8.83203125" customWidth="1"/>
    <col min="1547" max="1547" width="9.5" bestFit="1" customWidth="1"/>
    <col min="1548" max="1548" width="8.83203125" customWidth="1"/>
    <col min="1549" max="1551" width="9.5" bestFit="1" customWidth="1"/>
    <col min="1552" max="1792" width="8.83203125" customWidth="1"/>
    <col min="1793" max="1793" width="12.5" customWidth="1"/>
    <col min="1794" max="1794" width="8.83203125" customWidth="1"/>
    <col min="1795" max="1795" width="9.5" bestFit="1" customWidth="1"/>
    <col min="1796" max="1796" width="8.83203125" customWidth="1"/>
    <col min="1797" max="1799" width="9.5" bestFit="1" customWidth="1"/>
    <col min="1800" max="1800" width="8.83203125" customWidth="1"/>
    <col min="1801" max="1801" width="15" customWidth="1"/>
    <col min="1802" max="1802" width="8.83203125" customWidth="1"/>
    <col min="1803" max="1803" width="9.5" bestFit="1" customWidth="1"/>
    <col min="1804" max="1804" width="8.83203125" customWidth="1"/>
    <col min="1805" max="1807" width="9.5" bestFit="1" customWidth="1"/>
    <col min="1808" max="2048" width="8.83203125" customWidth="1"/>
    <col min="2049" max="2049" width="12.5" customWidth="1"/>
    <col min="2050" max="2050" width="8.83203125" customWidth="1"/>
    <col min="2051" max="2051" width="9.5" bestFit="1" customWidth="1"/>
    <col min="2052" max="2052" width="8.83203125" customWidth="1"/>
    <col min="2053" max="2055" width="9.5" bestFit="1" customWidth="1"/>
    <col min="2056" max="2056" width="8.83203125" customWidth="1"/>
    <col min="2057" max="2057" width="15" customWidth="1"/>
    <col min="2058" max="2058" width="8.83203125" customWidth="1"/>
    <col min="2059" max="2059" width="9.5" bestFit="1" customWidth="1"/>
    <col min="2060" max="2060" width="8.83203125" customWidth="1"/>
    <col min="2061" max="2063" width="9.5" bestFit="1" customWidth="1"/>
    <col min="2064" max="2304" width="8.83203125" customWidth="1"/>
    <col min="2305" max="2305" width="12.5" customWidth="1"/>
    <col min="2306" max="2306" width="8.83203125" customWidth="1"/>
    <col min="2307" max="2307" width="9.5" bestFit="1" customWidth="1"/>
    <col min="2308" max="2308" width="8.83203125" customWidth="1"/>
    <col min="2309" max="2311" width="9.5" bestFit="1" customWidth="1"/>
    <col min="2312" max="2312" width="8.83203125" customWidth="1"/>
    <col min="2313" max="2313" width="15" customWidth="1"/>
    <col min="2314" max="2314" width="8.83203125" customWidth="1"/>
    <col min="2315" max="2315" width="9.5" bestFit="1" customWidth="1"/>
    <col min="2316" max="2316" width="8.83203125" customWidth="1"/>
    <col min="2317" max="2319" width="9.5" bestFit="1" customWidth="1"/>
    <col min="2320" max="2560" width="8.83203125" customWidth="1"/>
    <col min="2561" max="2561" width="12.5" customWidth="1"/>
    <col min="2562" max="2562" width="8.83203125" customWidth="1"/>
    <col min="2563" max="2563" width="9.5" bestFit="1" customWidth="1"/>
    <col min="2564" max="2564" width="8.83203125" customWidth="1"/>
    <col min="2565" max="2567" width="9.5" bestFit="1" customWidth="1"/>
    <col min="2568" max="2568" width="8.83203125" customWidth="1"/>
    <col min="2569" max="2569" width="15" customWidth="1"/>
    <col min="2570" max="2570" width="8.83203125" customWidth="1"/>
    <col min="2571" max="2571" width="9.5" bestFit="1" customWidth="1"/>
    <col min="2572" max="2572" width="8.83203125" customWidth="1"/>
    <col min="2573" max="2575" width="9.5" bestFit="1" customWidth="1"/>
    <col min="2576" max="2816" width="8.83203125" customWidth="1"/>
    <col min="2817" max="2817" width="12.5" customWidth="1"/>
    <col min="2818" max="2818" width="8.83203125" customWidth="1"/>
    <col min="2819" max="2819" width="9.5" bestFit="1" customWidth="1"/>
    <col min="2820" max="2820" width="8.83203125" customWidth="1"/>
    <col min="2821" max="2823" width="9.5" bestFit="1" customWidth="1"/>
    <col min="2824" max="2824" width="8.83203125" customWidth="1"/>
    <col min="2825" max="2825" width="15" customWidth="1"/>
    <col min="2826" max="2826" width="8.83203125" customWidth="1"/>
    <col min="2827" max="2827" width="9.5" bestFit="1" customWidth="1"/>
    <col min="2828" max="2828" width="8.83203125" customWidth="1"/>
    <col min="2829" max="2831" width="9.5" bestFit="1" customWidth="1"/>
    <col min="2832" max="3072" width="8.83203125" customWidth="1"/>
    <col min="3073" max="3073" width="12.5" customWidth="1"/>
    <col min="3074" max="3074" width="8.83203125" customWidth="1"/>
    <col min="3075" max="3075" width="9.5" bestFit="1" customWidth="1"/>
    <col min="3076" max="3076" width="8.83203125" customWidth="1"/>
    <col min="3077" max="3079" width="9.5" bestFit="1" customWidth="1"/>
    <col min="3080" max="3080" width="8.83203125" customWidth="1"/>
    <col min="3081" max="3081" width="15" customWidth="1"/>
    <col min="3082" max="3082" width="8.83203125" customWidth="1"/>
    <col min="3083" max="3083" width="9.5" bestFit="1" customWidth="1"/>
    <col min="3084" max="3084" width="8.83203125" customWidth="1"/>
    <col min="3085" max="3087" width="9.5" bestFit="1" customWidth="1"/>
    <col min="3088" max="3328" width="8.83203125" customWidth="1"/>
    <col min="3329" max="3329" width="12.5" customWidth="1"/>
    <col min="3330" max="3330" width="8.83203125" customWidth="1"/>
    <col min="3331" max="3331" width="9.5" bestFit="1" customWidth="1"/>
    <col min="3332" max="3332" width="8.83203125" customWidth="1"/>
    <col min="3333" max="3335" width="9.5" bestFit="1" customWidth="1"/>
    <col min="3336" max="3336" width="8.83203125" customWidth="1"/>
    <col min="3337" max="3337" width="15" customWidth="1"/>
    <col min="3338" max="3338" width="8.83203125" customWidth="1"/>
    <col min="3339" max="3339" width="9.5" bestFit="1" customWidth="1"/>
    <col min="3340" max="3340" width="8.83203125" customWidth="1"/>
    <col min="3341" max="3343" width="9.5" bestFit="1" customWidth="1"/>
    <col min="3344" max="3584" width="8.83203125" customWidth="1"/>
    <col min="3585" max="3585" width="12.5" customWidth="1"/>
    <col min="3586" max="3586" width="8.83203125" customWidth="1"/>
    <col min="3587" max="3587" width="9.5" bestFit="1" customWidth="1"/>
    <col min="3588" max="3588" width="8.83203125" customWidth="1"/>
    <col min="3589" max="3591" width="9.5" bestFit="1" customWidth="1"/>
    <col min="3592" max="3592" width="8.83203125" customWidth="1"/>
    <col min="3593" max="3593" width="15" customWidth="1"/>
    <col min="3594" max="3594" width="8.83203125" customWidth="1"/>
    <col min="3595" max="3595" width="9.5" bestFit="1" customWidth="1"/>
    <col min="3596" max="3596" width="8.83203125" customWidth="1"/>
    <col min="3597" max="3599" width="9.5" bestFit="1" customWidth="1"/>
    <col min="3600" max="3840" width="8.83203125" customWidth="1"/>
    <col min="3841" max="3841" width="12.5" customWidth="1"/>
    <col min="3842" max="3842" width="8.83203125" customWidth="1"/>
    <col min="3843" max="3843" width="9.5" bestFit="1" customWidth="1"/>
    <col min="3844" max="3844" width="8.83203125" customWidth="1"/>
    <col min="3845" max="3847" width="9.5" bestFit="1" customWidth="1"/>
    <col min="3848" max="3848" width="8.83203125" customWidth="1"/>
    <col min="3849" max="3849" width="15" customWidth="1"/>
    <col min="3850" max="3850" width="8.83203125" customWidth="1"/>
    <col min="3851" max="3851" width="9.5" bestFit="1" customWidth="1"/>
    <col min="3852" max="3852" width="8.83203125" customWidth="1"/>
    <col min="3853" max="3855" width="9.5" bestFit="1" customWidth="1"/>
    <col min="3856" max="4096" width="8.83203125" customWidth="1"/>
    <col min="4097" max="4097" width="12.5" customWidth="1"/>
    <col min="4098" max="4098" width="8.83203125" customWidth="1"/>
    <col min="4099" max="4099" width="9.5" bestFit="1" customWidth="1"/>
    <col min="4100" max="4100" width="8.83203125" customWidth="1"/>
    <col min="4101" max="4103" width="9.5" bestFit="1" customWidth="1"/>
    <col min="4104" max="4104" width="8.83203125" customWidth="1"/>
    <col min="4105" max="4105" width="15" customWidth="1"/>
    <col min="4106" max="4106" width="8.83203125" customWidth="1"/>
    <col min="4107" max="4107" width="9.5" bestFit="1" customWidth="1"/>
    <col min="4108" max="4108" width="8.83203125" customWidth="1"/>
    <col min="4109" max="4111" width="9.5" bestFit="1" customWidth="1"/>
    <col min="4112" max="4352" width="8.83203125" customWidth="1"/>
    <col min="4353" max="4353" width="12.5" customWidth="1"/>
    <col min="4354" max="4354" width="8.83203125" customWidth="1"/>
    <col min="4355" max="4355" width="9.5" bestFit="1" customWidth="1"/>
    <col min="4356" max="4356" width="8.83203125" customWidth="1"/>
    <col min="4357" max="4359" width="9.5" bestFit="1" customWidth="1"/>
    <col min="4360" max="4360" width="8.83203125" customWidth="1"/>
    <col min="4361" max="4361" width="15" customWidth="1"/>
    <col min="4362" max="4362" width="8.83203125" customWidth="1"/>
    <col min="4363" max="4363" width="9.5" bestFit="1" customWidth="1"/>
    <col min="4364" max="4364" width="8.83203125" customWidth="1"/>
    <col min="4365" max="4367" width="9.5" bestFit="1" customWidth="1"/>
    <col min="4368" max="4608" width="8.83203125" customWidth="1"/>
    <col min="4609" max="4609" width="12.5" customWidth="1"/>
    <col min="4610" max="4610" width="8.83203125" customWidth="1"/>
    <col min="4611" max="4611" width="9.5" bestFit="1" customWidth="1"/>
    <col min="4612" max="4612" width="8.83203125" customWidth="1"/>
    <col min="4613" max="4615" width="9.5" bestFit="1" customWidth="1"/>
    <col min="4616" max="4616" width="8.83203125" customWidth="1"/>
    <col min="4617" max="4617" width="15" customWidth="1"/>
    <col min="4618" max="4618" width="8.83203125" customWidth="1"/>
    <col min="4619" max="4619" width="9.5" bestFit="1" customWidth="1"/>
    <col min="4620" max="4620" width="8.83203125" customWidth="1"/>
    <col min="4621" max="4623" width="9.5" bestFit="1" customWidth="1"/>
    <col min="4624" max="4864" width="8.83203125" customWidth="1"/>
    <col min="4865" max="4865" width="12.5" customWidth="1"/>
    <col min="4866" max="4866" width="8.83203125" customWidth="1"/>
    <col min="4867" max="4867" width="9.5" bestFit="1" customWidth="1"/>
    <col min="4868" max="4868" width="8.83203125" customWidth="1"/>
    <col min="4869" max="4871" width="9.5" bestFit="1" customWidth="1"/>
    <col min="4872" max="4872" width="8.83203125" customWidth="1"/>
    <col min="4873" max="4873" width="15" customWidth="1"/>
    <col min="4874" max="4874" width="8.83203125" customWidth="1"/>
    <col min="4875" max="4875" width="9.5" bestFit="1" customWidth="1"/>
    <col min="4876" max="4876" width="8.83203125" customWidth="1"/>
    <col min="4877" max="4879" width="9.5" bestFit="1" customWidth="1"/>
    <col min="4880" max="5120" width="8.83203125" customWidth="1"/>
    <col min="5121" max="5121" width="12.5" customWidth="1"/>
    <col min="5122" max="5122" width="8.83203125" customWidth="1"/>
    <col min="5123" max="5123" width="9.5" bestFit="1" customWidth="1"/>
    <col min="5124" max="5124" width="8.83203125" customWidth="1"/>
    <col min="5125" max="5127" width="9.5" bestFit="1" customWidth="1"/>
    <col min="5128" max="5128" width="8.83203125" customWidth="1"/>
    <col min="5129" max="5129" width="15" customWidth="1"/>
    <col min="5130" max="5130" width="8.83203125" customWidth="1"/>
    <col min="5131" max="5131" width="9.5" bestFit="1" customWidth="1"/>
    <col min="5132" max="5132" width="8.83203125" customWidth="1"/>
    <col min="5133" max="5135" width="9.5" bestFit="1" customWidth="1"/>
    <col min="5136" max="5376" width="8.83203125" customWidth="1"/>
    <col min="5377" max="5377" width="12.5" customWidth="1"/>
    <col min="5378" max="5378" width="8.83203125" customWidth="1"/>
    <col min="5379" max="5379" width="9.5" bestFit="1" customWidth="1"/>
    <col min="5380" max="5380" width="8.83203125" customWidth="1"/>
    <col min="5381" max="5383" width="9.5" bestFit="1" customWidth="1"/>
    <col min="5384" max="5384" width="8.83203125" customWidth="1"/>
    <col min="5385" max="5385" width="15" customWidth="1"/>
    <col min="5386" max="5386" width="8.83203125" customWidth="1"/>
    <col min="5387" max="5387" width="9.5" bestFit="1" customWidth="1"/>
    <col min="5388" max="5388" width="8.83203125" customWidth="1"/>
    <col min="5389" max="5391" width="9.5" bestFit="1" customWidth="1"/>
    <col min="5392" max="5632" width="8.83203125" customWidth="1"/>
    <col min="5633" max="5633" width="12.5" customWidth="1"/>
    <col min="5634" max="5634" width="8.83203125" customWidth="1"/>
    <col min="5635" max="5635" width="9.5" bestFit="1" customWidth="1"/>
    <col min="5636" max="5636" width="8.83203125" customWidth="1"/>
    <col min="5637" max="5639" width="9.5" bestFit="1" customWidth="1"/>
    <col min="5640" max="5640" width="8.83203125" customWidth="1"/>
    <col min="5641" max="5641" width="15" customWidth="1"/>
    <col min="5642" max="5642" width="8.83203125" customWidth="1"/>
    <col min="5643" max="5643" width="9.5" bestFit="1" customWidth="1"/>
    <col min="5644" max="5644" width="8.83203125" customWidth="1"/>
    <col min="5645" max="5647" width="9.5" bestFit="1" customWidth="1"/>
    <col min="5648" max="5888" width="8.83203125" customWidth="1"/>
    <col min="5889" max="5889" width="12.5" customWidth="1"/>
    <col min="5890" max="5890" width="8.83203125" customWidth="1"/>
    <col min="5891" max="5891" width="9.5" bestFit="1" customWidth="1"/>
    <col min="5892" max="5892" width="8.83203125" customWidth="1"/>
    <col min="5893" max="5895" width="9.5" bestFit="1" customWidth="1"/>
    <col min="5896" max="5896" width="8.83203125" customWidth="1"/>
    <col min="5897" max="5897" width="15" customWidth="1"/>
    <col min="5898" max="5898" width="8.83203125" customWidth="1"/>
    <col min="5899" max="5899" width="9.5" bestFit="1" customWidth="1"/>
    <col min="5900" max="5900" width="8.83203125" customWidth="1"/>
    <col min="5901" max="5903" width="9.5" bestFit="1" customWidth="1"/>
    <col min="5904" max="6144" width="8.83203125" customWidth="1"/>
    <col min="6145" max="6145" width="12.5" customWidth="1"/>
    <col min="6146" max="6146" width="8.83203125" customWidth="1"/>
    <col min="6147" max="6147" width="9.5" bestFit="1" customWidth="1"/>
    <col min="6148" max="6148" width="8.83203125" customWidth="1"/>
    <col min="6149" max="6151" width="9.5" bestFit="1" customWidth="1"/>
    <col min="6152" max="6152" width="8.83203125" customWidth="1"/>
    <col min="6153" max="6153" width="15" customWidth="1"/>
    <col min="6154" max="6154" width="8.83203125" customWidth="1"/>
    <col min="6155" max="6155" width="9.5" bestFit="1" customWidth="1"/>
    <col min="6156" max="6156" width="8.83203125" customWidth="1"/>
    <col min="6157" max="6159" width="9.5" bestFit="1" customWidth="1"/>
    <col min="6160" max="6400" width="8.83203125" customWidth="1"/>
    <col min="6401" max="6401" width="12.5" customWidth="1"/>
    <col min="6402" max="6402" width="8.83203125" customWidth="1"/>
    <col min="6403" max="6403" width="9.5" bestFit="1" customWidth="1"/>
    <col min="6404" max="6404" width="8.83203125" customWidth="1"/>
    <col min="6405" max="6407" width="9.5" bestFit="1" customWidth="1"/>
    <col min="6408" max="6408" width="8.83203125" customWidth="1"/>
    <col min="6409" max="6409" width="15" customWidth="1"/>
    <col min="6410" max="6410" width="8.83203125" customWidth="1"/>
    <col min="6411" max="6411" width="9.5" bestFit="1" customWidth="1"/>
    <col min="6412" max="6412" width="8.83203125" customWidth="1"/>
    <col min="6413" max="6415" width="9.5" bestFit="1" customWidth="1"/>
    <col min="6416" max="6656" width="8.83203125" customWidth="1"/>
    <col min="6657" max="6657" width="12.5" customWidth="1"/>
    <col min="6658" max="6658" width="8.83203125" customWidth="1"/>
    <col min="6659" max="6659" width="9.5" bestFit="1" customWidth="1"/>
    <col min="6660" max="6660" width="8.83203125" customWidth="1"/>
    <col min="6661" max="6663" width="9.5" bestFit="1" customWidth="1"/>
    <col min="6664" max="6664" width="8.83203125" customWidth="1"/>
    <col min="6665" max="6665" width="15" customWidth="1"/>
    <col min="6666" max="6666" width="8.83203125" customWidth="1"/>
    <col min="6667" max="6667" width="9.5" bestFit="1" customWidth="1"/>
    <col min="6668" max="6668" width="8.83203125" customWidth="1"/>
    <col min="6669" max="6671" width="9.5" bestFit="1" customWidth="1"/>
    <col min="6672" max="6912" width="8.83203125" customWidth="1"/>
    <col min="6913" max="6913" width="12.5" customWidth="1"/>
    <col min="6914" max="6914" width="8.83203125" customWidth="1"/>
    <col min="6915" max="6915" width="9.5" bestFit="1" customWidth="1"/>
    <col min="6916" max="6916" width="8.83203125" customWidth="1"/>
    <col min="6917" max="6919" width="9.5" bestFit="1" customWidth="1"/>
    <col min="6920" max="6920" width="8.83203125" customWidth="1"/>
    <col min="6921" max="6921" width="15" customWidth="1"/>
    <col min="6922" max="6922" width="8.83203125" customWidth="1"/>
    <col min="6923" max="6923" width="9.5" bestFit="1" customWidth="1"/>
    <col min="6924" max="6924" width="8.83203125" customWidth="1"/>
    <col min="6925" max="6927" width="9.5" bestFit="1" customWidth="1"/>
    <col min="6928" max="7168" width="8.83203125" customWidth="1"/>
    <col min="7169" max="7169" width="12.5" customWidth="1"/>
    <col min="7170" max="7170" width="8.83203125" customWidth="1"/>
    <col min="7171" max="7171" width="9.5" bestFit="1" customWidth="1"/>
    <col min="7172" max="7172" width="8.83203125" customWidth="1"/>
    <col min="7173" max="7175" width="9.5" bestFit="1" customWidth="1"/>
    <col min="7176" max="7176" width="8.83203125" customWidth="1"/>
    <col min="7177" max="7177" width="15" customWidth="1"/>
    <col min="7178" max="7178" width="8.83203125" customWidth="1"/>
    <col min="7179" max="7179" width="9.5" bestFit="1" customWidth="1"/>
    <col min="7180" max="7180" width="8.83203125" customWidth="1"/>
    <col min="7181" max="7183" width="9.5" bestFit="1" customWidth="1"/>
    <col min="7184" max="7424" width="8.83203125" customWidth="1"/>
    <col min="7425" max="7425" width="12.5" customWidth="1"/>
    <col min="7426" max="7426" width="8.83203125" customWidth="1"/>
    <col min="7427" max="7427" width="9.5" bestFit="1" customWidth="1"/>
    <col min="7428" max="7428" width="8.83203125" customWidth="1"/>
    <col min="7429" max="7431" width="9.5" bestFit="1" customWidth="1"/>
    <col min="7432" max="7432" width="8.83203125" customWidth="1"/>
    <col min="7433" max="7433" width="15" customWidth="1"/>
    <col min="7434" max="7434" width="8.83203125" customWidth="1"/>
    <col min="7435" max="7435" width="9.5" bestFit="1" customWidth="1"/>
    <col min="7436" max="7436" width="8.83203125" customWidth="1"/>
    <col min="7437" max="7439" width="9.5" bestFit="1" customWidth="1"/>
    <col min="7440" max="7680" width="8.83203125" customWidth="1"/>
    <col min="7681" max="7681" width="12.5" customWidth="1"/>
    <col min="7682" max="7682" width="8.83203125" customWidth="1"/>
    <col min="7683" max="7683" width="9.5" bestFit="1" customWidth="1"/>
    <col min="7684" max="7684" width="8.83203125" customWidth="1"/>
    <col min="7685" max="7687" width="9.5" bestFit="1" customWidth="1"/>
    <col min="7688" max="7688" width="8.83203125" customWidth="1"/>
    <col min="7689" max="7689" width="15" customWidth="1"/>
    <col min="7690" max="7690" width="8.83203125" customWidth="1"/>
    <col min="7691" max="7691" width="9.5" bestFit="1" customWidth="1"/>
    <col min="7692" max="7692" width="8.83203125" customWidth="1"/>
    <col min="7693" max="7695" width="9.5" bestFit="1" customWidth="1"/>
    <col min="7696" max="7936" width="8.83203125" customWidth="1"/>
    <col min="7937" max="7937" width="12.5" customWidth="1"/>
    <col min="7938" max="7938" width="8.83203125" customWidth="1"/>
    <col min="7939" max="7939" width="9.5" bestFit="1" customWidth="1"/>
    <col min="7940" max="7940" width="8.83203125" customWidth="1"/>
    <col min="7941" max="7943" width="9.5" bestFit="1" customWidth="1"/>
    <col min="7944" max="7944" width="8.83203125" customWidth="1"/>
    <col min="7945" max="7945" width="15" customWidth="1"/>
    <col min="7946" max="7946" width="8.83203125" customWidth="1"/>
    <col min="7947" max="7947" width="9.5" bestFit="1" customWidth="1"/>
    <col min="7948" max="7948" width="8.83203125" customWidth="1"/>
    <col min="7949" max="7951" width="9.5" bestFit="1" customWidth="1"/>
    <col min="7952" max="8192" width="8.83203125" customWidth="1"/>
    <col min="8193" max="8193" width="12.5" customWidth="1"/>
    <col min="8194" max="8194" width="8.83203125" customWidth="1"/>
    <col min="8195" max="8195" width="9.5" bestFit="1" customWidth="1"/>
    <col min="8196" max="8196" width="8.83203125" customWidth="1"/>
    <col min="8197" max="8199" width="9.5" bestFit="1" customWidth="1"/>
    <col min="8200" max="8200" width="8.83203125" customWidth="1"/>
    <col min="8201" max="8201" width="15" customWidth="1"/>
    <col min="8202" max="8202" width="8.83203125" customWidth="1"/>
    <col min="8203" max="8203" width="9.5" bestFit="1" customWidth="1"/>
    <col min="8204" max="8204" width="8.83203125" customWidth="1"/>
    <col min="8205" max="8207" width="9.5" bestFit="1" customWidth="1"/>
    <col min="8208" max="8448" width="8.83203125" customWidth="1"/>
    <col min="8449" max="8449" width="12.5" customWidth="1"/>
    <col min="8450" max="8450" width="8.83203125" customWidth="1"/>
    <col min="8451" max="8451" width="9.5" bestFit="1" customWidth="1"/>
    <col min="8452" max="8452" width="8.83203125" customWidth="1"/>
    <col min="8453" max="8455" width="9.5" bestFit="1" customWidth="1"/>
    <col min="8456" max="8456" width="8.83203125" customWidth="1"/>
    <col min="8457" max="8457" width="15" customWidth="1"/>
    <col min="8458" max="8458" width="8.83203125" customWidth="1"/>
    <col min="8459" max="8459" width="9.5" bestFit="1" customWidth="1"/>
    <col min="8460" max="8460" width="8.83203125" customWidth="1"/>
    <col min="8461" max="8463" width="9.5" bestFit="1" customWidth="1"/>
    <col min="8464" max="8704" width="8.83203125" customWidth="1"/>
    <col min="8705" max="8705" width="12.5" customWidth="1"/>
    <col min="8706" max="8706" width="8.83203125" customWidth="1"/>
    <col min="8707" max="8707" width="9.5" bestFit="1" customWidth="1"/>
    <col min="8708" max="8708" width="8.83203125" customWidth="1"/>
    <col min="8709" max="8711" width="9.5" bestFit="1" customWidth="1"/>
    <col min="8712" max="8712" width="8.83203125" customWidth="1"/>
    <col min="8713" max="8713" width="15" customWidth="1"/>
    <col min="8714" max="8714" width="8.83203125" customWidth="1"/>
    <col min="8715" max="8715" width="9.5" bestFit="1" customWidth="1"/>
    <col min="8716" max="8716" width="8.83203125" customWidth="1"/>
    <col min="8717" max="8719" width="9.5" bestFit="1" customWidth="1"/>
    <col min="8720" max="8960" width="8.83203125" customWidth="1"/>
    <col min="8961" max="8961" width="12.5" customWidth="1"/>
    <col min="8962" max="8962" width="8.83203125" customWidth="1"/>
    <col min="8963" max="8963" width="9.5" bestFit="1" customWidth="1"/>
    <col min="8964" max="8964" width="8.83203125" customWidth="1"/>
    <col min="8965" max="8967" width="9.5" bestFit="1" customWidth="1"/>
    <col min="8968" max="8968" width="8.83203125" customWidth="1"/>
    <col min="8969" max="8969" width="15" customWidth="1"/>
    <col min="8970" max="8970" width="8.83203125" customWidth="1"/>
    <col min="8971" max="8971" width="9.5" bestFit="1" customWidth="1"/>
    <col min="8972" max="8972" width="8.83203125" customWidth="1"/>
    <col min="8973" max="8975" width="9.5" bestFit="1" customWidth="1"/>
    <col min="8976" max="9216" width="8.83203125" customWidth="1"/>
    <col min="9217" max="9217" width="12.5" customWidth="1"/>
    <col min="9218" max="9218" width="8.83203125" customWidth="1"/>
    <col min="9219" max="9219" width="9.5" bestFit="1" customWidth="1"/>
    <col min="9220" max="9220" width="8.83203125" customWidth="1"/>
    <col min="9221" max="9223" width="9.5" bestFit="1" customWidth="1"/>
    <col min="9224" max="9224" width="8.83203125" customWidth="1"/>
    <col min="9225" max="9225" width="15" customWidth="1"/>
    <col min="9226" max="9226" width="8.83203125" customWidth="1"/>
    <col min="9227" max="9227" width="9.5" bestFit="1" customWidth="1"/>
    <col min="9228" max="9228" width="8.83203125" customWidth="1"/>
    <col min="9229" max="9231" width="9.5" bestFit="1" customWidth="1"/>
    <col min="9232" max="9472" width="8.83203125" customWidth="1"/>
    <col min="9473" max="9473" width="12.5" customWidth="1"/>
    <col min="9474" max="9474" width="8.83203125" customWidth="1"/>
    <col min="9475" max="9475" width="9.5" bestFit="1" customWidth="1"/>
    <col min="9476" max="9476" width="8.83203125" customWidth="1"/>
    <col min="9477" max="9479" width="9.5" bestFit="1" customWidth="1"/>
    <col min="9480" max="9480" width="8.83203125" customWidth="1"/>
    <col min="9481" max="9481" width="15" customWidth="1"/>
    <col min="9482" max="9482" width="8.83203125" customWidth="1"/>
    <col min="9483" max="9483" width="9.5" bestFit="1" customWidth="1"/>
    <col min="9484" max="9484" width="8.83203125" customWidth="1"/>
    <col min="9485" max="9487" width="9.5" bestFit="1" customWidth="1"/>
    <col min="9488" max="9728" width="8.83203125" customWidth="1"/>
    <col min="9729" max="9729" width="12.5" customWidth="1"/>
    <col min="9730" max="9730" width="8.83203125" customWidth="1"/>
    <col min="9731" max="9731" width="9.5" bestFit="1" customWidth="1"/>
    <col min="9732" max="9732" width="8.83203125" customWidth="1"/>
    <col min="9733" max="9735" width="9.5" bestFit="1" customWidth="1"/>
    <col min="9736" max="9736" width="8.83203125" customWidth="1"/>
    <col min="9737" max="9737" width="15" customWidth="1"/>
    <col min="9738" max="9738" width="8.83203125" customWidth="1"/>
    <col min="9739" max="9739" width="9.5" bestFit="1" customWidth="1"/>
    <col min="9740" max="9740" width="8.83203125" customWidth="1"/>
    <col min="9741" max="9743" width="9.5" bestFit="1" customWidth="1"/>
    <col min="9744" max="9984" width="8.83203125" customWidth="1"/>
    <col min="9985" max="9985" width="12.5" customWidth="1"/>
    <col min="9986" max="9986" width="8.83203125" customWidth="1"/>
    <col min="9987" max="9987" width="9.5" bestFit="1" customWidth="1"/>
    <col min="9988" max="9988" width="8.83203125" customWidth="1"/>
    <col min="9989" max="9991" width="9.5" bestFit="1" customWidth="1"/>
    <col min="9992" max="9992" width="8.83203125" customWidth="1"/>
    <col min="9993" max="9993" width="15" customWidth="1"/>
    <col min="9994" max="9994" width="8.83203125" customWidth="1"/>
    <col min="9995" max="9995" width="9.5" bestFit="1" customWidth="1"/>
    <col min="9996" max="9996" width="8.83203125" customWidth="1"/>
    <col min="9997" max="9999" width="9.5" bestFit="1" customWidth="1"/>
    <col min="10000" max="10240" width="8.83203125" customWidth="1"/>
    <col min="10241" max="10241" width="12.5" customWidth="1"/>
    <col min="10242" max="10242" width="8.83203125" customWidth="1"/>
    <col min="10243" max="10243" width="9.5" bestFit="1" customWidth="1"/>
    <col min="10244" max="10244" width="8.83203125" customWidth="1"/>
    <col min="10245" max="10247" width="9.5" bestFit="1" customWidth="1"/>
    <col min="10248" max="10248" width="8.83203125" customWidth="1"/>
    <col min="10249" max="10249" width="15" customWidth="1"/>
    <col min="10250" max="10250" width="8.83203125" customWidth="1"/>
    <col min="10251" max="10251" width="9.5" bestFit="1" customWidth="1"/>
    <col min="10252" max="10252" width="8.83203125" customWidth="1"/>
    <col min="10253" max="10255" width="9.5" bestFit="1" customWidth="1"/>
    <col min="10256" max="10496" width="8.83203125" customWidth="1"/>
    <col min="10497" max="10497" width="12.5" customWidth="1"/>
    <col min="10498" max="10498" width="8.83203125" customWidth="1"/>
    <col min="10499" max="10499" width="9.5" bestFit="1" customWidth="1"/>
    <col min="10500" max="10500" width="8.83203125" customWidth="1"/>
    <col min="10501" max="10503" width="9.5" bestFit="1" customWidth="1"/>
    <col min="10504" max="10504" width="8.83203125" customWidth="1"/>
    <col min="10505" max="10505" width="15" customWidth="1"/>
    <col min="10506" max="10506" width="8.83203125" customWidth="1"/>
    <col min="10507" max="10507" width="9.5" bestFit="1" customWidth="1"/>
    <col min="10508" max="10508" width="8.83203125" customWidth="1"/>
    <col min="10509" max="10511" width="9.5" bestFit="1" customWidth="1"/>
    <col min="10512" max="10752" width="8.83203125" customWidth="1"/>
    <col min="10753" max="10753" width="12.5" customWidth="1"/>
    <col min="10754" max="10754" width="8.83203125" customWidth="1"/>
    <col min="10755" max="10755" width="9.5" bestFit="1" customWidth="1"/>
    <col min="10756" max="10756" width="8.83203125" customWidth="1"/>
    <col min="10757" max="10759" width="9.5" bestFit="1" customWidth="1"/>
    <col min="10760" max="10760" width="8.83203125" customWidth="1"/>
    <col min="10761" max="10761" width="15" customWidth="1"/>
    <col min="10762" max="10762" width="8.83203125" customWidth="1"/>
    <col min="10763" max="10763" width="9.5" bestFit="1" customWidth="1"/>
    <col min="10764" max="10764" width="8.83203125" customWidth="1"/>
    <col min="10765" max="10767" width="9.5" bestFit="1" customWidth="1"/>
    <col min="10768" max="11008" width="8.83203125" customWidth="1"/>
    <col min="11009" max="11009" width="12.5" customWidth="1"/>
    <col min="11010" max="11010" width="8.83203125" customWidth="1"/>
    <col min="11011" max="11011" width="9.5" bestFit="1" customWidth="1"/>
    <col min="11012" max="11012" width="8.83203125" customWidth="1"/>
    <col min="11013" max="11015" width="9.5" bestFit="1" customWidth="1"/>
    <col min="11016" max="11016" width="8.83203125" customWidth="1"/>
    <col min="11017" max="11017" width="15" customWidth="1"/>
    <col min="11018" max="11018" width="8.83203125" customWidth="1"/>
    <col min="11019" max="11019" width="9.5" bestFit="1" customWidth="1"/>
    <col min="11020" max="11020" width="8.83203125" customWidth="1"/>
    <col min="11021" max="11023" width="9.5" bestFit="1" customWidth="1"/>
    <col min="11024" max="11264" width="8.83203125" customWidth="1"/>
    <col min="11265" max="11265" width="12.5" customWidth="1"/>
    <col min="11266" max="11266" width="8.83203125" customWidth="1"/>
    <col min="11267" max="11267" width="9.5" bestFit="1" customWidth="1"/>
    <col min="11268" max="11268" width="8.83203125" customWidth="1"/>
    <col min="11269" max="11271" width="9.5" bestFit="1" customWidth="1"/>
    <col min="11272" max="11272" width="8.83203125" customWidth="1"/>
    <col min="11273" max="11273" width="15" customWidth="1"/>
    <col min="11274" max="11274" width="8.83203125" customWidth="1"/>
    <col min="11275" max="11275" width="9.5" bestFit="1" customWidth="1"/>
    <col min="11276" max="11276" width="8.83203125" customWidth="1"/>
    <col min="11277" max="11279" width="9.5" bestFit="1" customWidth="1"/>
    <col min="11280" max="11520" width="8.83203125" customWidth="1"/>
    <col min="11521" max="11521" width="12.5" customWidth="1"/>
    <col min="11522" max="11522" width="8.83203125" customWidth="1"/>
    <col min="11523" max="11523" width="9.5" bestFit="1" customWidth="1"/>
    <col min="11524" max="11524" width="8.83203125" customWidth="1"/>
    <col min="11525" max="11527" width="9.5" bestFit="1" customWidth="1"/>
    <col min="11528" max="11528" width="8.83203125" customWidth="1"/>
    <col min="11529" max="11529" width="15" customWidth="1"/>
    <col min="11530" max="11530" width="8.83203125" customWidth="1"/>
    <col min="11531" max="11531" width="9.5" bestFit="1" customWidth="1"/>
    <col min="11532" max="11532" width="8.83203125" customWidth="1"/>
    <col min="11533" max="11535" width="9.5" bestFit="1" customWidth="1"/>
    <col min="11536" max="11776" width="8.83203125" customWidth="1"/>
    <col min="11777" max="11777" width="12.5" customWidth="1"/>
    <col min="11778" max="11778" width="8.83203125" customWidth="1"/>
    <col min="11779" max="11779" width="9.5" bestFit="1" customWidth="1"/>
    <col min="11780" max="11780" width="8.83203125" customWidth="1"/>
    <col min="11781" max="11783" width="9.5" bestFit="1" customWidth="1"/>
    <col min="11784" max="11784" width="8.83203125" customWidth="1"/>
    <col min="11785" max="11785" width="15" customWidth="1"/>
    <col min="11786" max="11786" width="8.83203125" customWidth="1"/>
    <col min="11787" max="11787" width="9.5" bestFit="1" customWidth="1"/>
    <col min="11788" max="11788" width="8.83203125" customWidth="1"/>
    <col min="11789" max="11791" width="9.5" bestFit="1" customWidth="1"/>
    <col min="11792" max="12032" width="8.83203125" customWidth="1"/>
    <col min="12033" max="12033" width="12.5" customWidth="1"/>
    <col min="12034" max="12034" width="8.83203125" customWidth="1"/>
    <col min="12035" max="12035" width="9.5" bestFit="1" customWidth="1"/>
    <col min="12036" max="12036" width="8.83203125" customWidth="1"/>
    <col min="12037" max="12039" width="9.5" bestFit="1" customWidth="1"/>
    <col min="12040" max="12040" width="8.83203125" customWidth="1"/>
    <col min="12041" max="12041" width="15" customWidth="1"/>
    <col min="12042" max="12042" width="8.83203125" customWidth="1"/>
    <col min="12043" max="12043" width="9.5" bestFit="1" customWidth="1"/>
    <col min="12044" max="12044" width="8.83203125" customWidth="1"/>
    <col min="12045" max="12047" width="9.5" bestFit="1" customWidth="1"/>
    <col min="12048" max="12288" width="8.83203125" customWidth="1"/>
    <col min="12289" max="12289" width="12.5" customWidth="1"/>
    <col min="12290" max="12290" width="8.83203125" customWidth="1"/>
    <col min="12291" max="12291" width="9.5" bestFit="1" customWidth="1"/>
    <col min="12292" max="12292" width="8.83203125" customWidth="1"/>
    <col min="12293" max="12295" width="9.5" bestFit="1" customWidth="1"/>
    <col min="12296" max="12296" width="8.83203125" customWidth="1"/>
    <col min="12297" max="12297" width="15" customWidth="1"/>
    <col min="12298" max="12298" width="8.83203125" customWidth="1"/>
    <col min="12299" max="12299" width="9.5" bestFit="1" customWidth="1"/>
    <col min="12300" max="12300" width="8.83203125" customWidth="1"/>
    <col min="12301" max="12303" width="9.5" bestFit="1" customWidth="1"/>
    <col min="12304" max="12544" width="8.83203125" customWidth="1"/>
    <col min="12545" max="12545" width="12.5" customWidth="1"/>
    <col min="12546" max="12546" width="8.83203125" customWidth="1"/>
    <col min="12547" max="12547" width="9.5" bestFit="1" customWidth="1"/>
    <col min="12548" max="12548" width="8.83203125" customWidth="1"/>
    <col min="12549" max="12551" width="9.5" bestFit="1" customWidth="1"/>
    <col min="12552" max="12552" width="8.83203125" customWidth="1"/>
    <col min="12553" max="12553" width="15" customWidth="1"/>
    <col min="12554" max="12554" width="8.83203125" customWidth="1"/>
    <col min="12555" max="12555" width="9.5" bestFit="1" customWidth="1"/>
    <col min="12556" max="12556" width="8.83203125" customWidth="1"/>
    <col min="12557" max="12559" width="9.5" bestFit="1" customWidth="1"/>
    <col min="12560" max="12800" width="8.83203125" customWidth="1"/>
    <col min="12801" max="12801" width="12.5" customWidth="1"/>
    <col min="12802" max="12802" width="8.83203125" customWidth="1"/>
    <col min="12803" max="12803" width="9.5" bestFit="1" customWidth="1"/>
    <col min="12804" max="12804" width="8.83203125" customWidth="1"/>
    <col min="12805" max="12807" width="9.5" bestFit="1" customWidth="1"/>
    <col min="12808" max="12808" width="8.83203125" customWidth="1"/>
    <col min="12809" max="12809" width="15" customWidth="1"/>
    <col min="12810" max="12810" width="8.83203125" customWidth="1"/>
    <col min="12811" max="12811" width="9.5" bestFit="1" customWidth="1"/>
    <col min="12812" max="12812" width="8.83203125" customWidth="1"/>
    <col min="12813" max="12815" width="9.5" bestFit="1" customWidth="1"/>
    <col min="12816" max="13056" width="8.83203125" customWidth="1"/>
    <col min="13057" max="13057" width="12.5" customWidth="1"/>
    <col min="13058" max="13058" width="8.83203125" customWidth="1"/>
    <col min="13059" max="13059" width="9.5" bestFit="1" customWidth="1"/>
    <col min="13060" max="13060" width="8.83203125" customWidth="1"/>
    <col min="13061" max="13063" width="9.5" bestFit="1" customWidth="1"/>
    <col min="13064" max="13064" width="8.83203125" customWidth="1"/>
    <col min="13065" max="13065" width="15" customWidth="1"/>
    <col min="13066" max="13066" width="8.83203125" customWidth="1"/>
    <col min="13067" max="13067" width="9.5" bestFit="1" customWidth="1"/>
    <col min="13068" max="13068" width="8.83203125" customWidth="1"/>
    <col min="13069" max="13071" width="9.5" bestFit="1" customWidth="1"/>
    <col min="13072" max="13312" width="8.83203125" customWidth="1"/>
    <col min="13313" max="13313" width="12.5" customWidth="1"/>
    <col min="13314" max="13314" width="8.83203125" customWidth="1"/>
    <col min="13315" max="13315" width="9.5" bestFit="1" customWidth="1"/>
    <col min="13316" max="13316" width="8.83203125" customWidth="1"/>
    <col min="13317" max="13319" width="9.5" bestFit="1" customWidth="1"/>
    <col min="13320" max="13320" width="8.83203125" customWidth="1"/>
    <col min="13321" max="13321" width="15" customWidth="1"/>
    <col min="13322" max="13322" width="8.83203125" customWidth="1"/>
    <col min="13323" max="13323" width="9.5" bestFit="1" customWidth="1"/>
    <col min="13324" max="13324" width="8.83203125" customWidth="1"/>
    <col min="13325" max="13327" width="9.5" bestFit="1" customWidth="1"/>
    <col min="13328" max="13568" width="8.83203125" customWidth="1"/>
    <col min="13569" max="13569" width="12.5" customWidth="1"/>
    <col min="13570" max="13570" width="8.83203125" customWidth="1"/>
    <col min="13571" max="13571" width="9.5" bestFit="1" customWidth="1"/>
    <col min="13572" max="13572" width="8.83203125" customWidth="1"/>
    <col min="13573" max="13575" width="9.5" bestFit="1" customWidth="1"/>
    <col min="13576" max="13576" width="8.83203125" customWidth="1"/>
    <col min="13577" max="13577" width="15" customWidth="1"/>
    <col min="13578" max="13578" width="8.83203125" customWidth="1"/>
    <col min="13579" max="13579" width="9.5" bestFit="1" customWidth="1"/>
    <col min="13580" max="13580" width="8.83203125" customWidth="1"/>
    <col min="13581" max="13583" width="9.5" bestFit="1" customWidth="1"/>
    <col min="13584" max="13824" width="8.83203125" customWidth="1"/>
    <col min="13825" max="13825" width="12.5" customWidth="1"/>
    <col min="13826" max="13826" width="8.83203125" customWidth="1"/>
    <col min="13827" max="13827" width="9.5" bestFit="1" customWidth="1"/>
    <col min="13828" max="13828" width="8.83203125" customWidth="1"/>
    <col min="13829" max="13831" width="9.5" bestFit="1" customWidth="1"/>
    <col min="13832" max="13832" width="8.83203125" customWidth="1"/>
    <col min="13833" max="13833" width="15" customWidth="1"/>
    <col min="13834" max="13834" width="8.83203125" customWidth="1"/>
    <col min="13835" max="13835" width="9.5" bestFit="1" customWidth="1"/>
    <col min="13836" max="13836" width="8.83203125" customWidth="1"/>
    <col min="13837" max="13839" width="9.5" bestFit="1" customWidth="1"/>
    <col min="13840" max="14080" width="8.83203125" customWidth="1"/>
    <col min="14081" max="14081" width="12.5" customWidth="1"/>
    <col min="14082" max="14082" width="8.83203125" customWidth="1"/>
    <col min="14083" max="14083" width="9.5" bestFit="1" customWidth="1"/>
    <col min="14084" max="14084" width="8.83203125" customWidth="1"/>
    <col min="14085" max="14087" width="9.5" bestFit="1" customWidth="1"/>
    <col min="14088" max="14088" width="8.83203125" customWidth="1"/>
    <col min="14089" max="14089" width="15" customWidth="1"/>
    <col min="14090" max="14090" width="8.83203125" customWidth="1"/>
    <col min="14091" max="14091" width="9.5" bestFit="1" customWidth="1"/>
    <col min="14092" max="14092" width="8.83203125" customWidth="1"/>
    <col min="14093" max="14095" width="9.5" bestFit="1" customWidth="1"/>
    <col min="14096" max="14336" width="8.83203125" customWidth="1"/>
    <col min="14337" max="14337" width="12.5" customWidth="1"/>
    <col min="14338" max="14338" width="8.83203125" customWidth="1"/>
    <col min="14339" max="14339" width="9.5" bestFit="1" customWidth="1"/>
    <col min="14340" max="14340" width="8.83203125" customWidth="1"/>
    <col min="14341" max="14343" width="9.5" bestFit="1" customWidth="1"/>
    <col min="14344" max="14344" width="8.83203125" customWidth="1"/>
    <col min="14345" max="14345" width="15" customWidth="1"/>
    <col min="14346" max="14346" width="8.83203125" customWidth="1"/>
    <col min="14347" max="14347" width="9.5" bestFit="1" customWidth="1"/>
    <col min="14348" max="14348" width="8.83203125" customWidth="1"/>
    <col min="14349" max="14351" width="9.5" bestFit="1" customWidth="1"/>
    <col min="14352" max="14592" width="8.83203125" customWidth="1"/>
    <col min="14593" max="14593" width="12.5" customWidth="1"/>
    <col min="14594" max="14594" width="8.83203125" customWidth="1"/>
    <col min="14595" max="14595" width="9.5" bestFit="1" customWidth="1"/>
    <col min="14596" max="14596" width="8.83203125" customWidth="1"/>
    <col min="14597" max="14599" width="9.5" bestFit="1" customWidth="1"/>
    <col min="14600" max="14600" width="8.83203125" customWidth="1"/>
    <col min="14601" max="14601" width="15" customWidth="1"/>
    <col min="14602" max="14602" width="8.83203125" customWidth="1"/>
    <col min="14603" max="14603" width="9.5" bestFit="1" customWidth="1"/>
    <col min="14604" max="14604" width="8.83203125" customWidth="1"/>
    <col min="14605" max="14607" width="9.5" bestFit="1" customWidth="1"/>
    <col min="14608" max="14848" width="8.83203125" customWidth="1"/>
    <col min="14849" max="14849" width="12.5" customWidth="1"/>
    <col min="14850" max="14850" width="8.83203125" customWidth="1"/>
    <col min="14851" max="14851" width="9.5" bestFit="1" customWidth="1"/>
    <col min="14852" max="14852" width="8.83203125" customWidth="1"/>
    <col min="14853" max="14855" width="9.5" bestFit="1" customWidth="1"/>
    <col min="14856" max="14856" width="8.83203125" customWidth="1"/>
    <col min="14857" max="14857" width="15" customWidth="1"/>
    <col min="14858" max="14858" width="8.83203125" customWidth="1"/>
    <col min="14859" max="14859" width="9.5" bestFit="1" customWidth="1"/>
    <col min="14860" max="14860" width="8.83203125" customWidth="1"/>
    <col min="14861" max="14863" width="9.5" bestFit="1" customWidth="1"/>
    <col min="14864" max="15104" width="8.83203125" customWidth="1"/>
    <col min="15105" max="15105" width="12.5" customWidth="1"/>
    <col min="15106" max="15106" width="8.83203125" customWidth="1"/>
    <col min="15107" max="15107" width="9.5" bestFit="1" customWidth="1"/>
    <col min="15108" max="15108" width="8.83203125" customWidth="1"/>
    <col min="15109" max="15111" width="9.5" bestFit="1" customWidth="1"/>
    <col min="15112" max="15112" width="8.83203125" customWidth="1"/>
    <col min="15113" max="15113" width="15" customWidth="1"/>
    <col min="15114" max="15114" width="8.83203125" customWidth="1"/>
    <col min="15115" max="15115" width="9.5" bestFit="1" customWidth="1"/>
    <col min="15116" max="15116" width="8.83203125" customWidth="1"/>
    <col min="15117" max="15119" width="9.5" bestFit="1" customWidth="1"/>
    <col min="15120" max="15360" width="8.83203125" customWidth="1"/>
    <col min="15361" max="15361" width="12.5" customWidth="1"/>
    <col min="15362" max="15362" width="8.83203125" customWidth="1"/>
    <col min="15363" max="15363" width="9.5" bestFit="1" customWidth="1"/>
    <col min="15364" max="15364" width="8.83203125" customWidth="1"/>
    <col min="15365" max="15367" width="9.5" bestFit="1" customWidth="1"/>
    <col min="15368" max="15368" width="8.83203125" customWidth="1"/>
    <col min="15369" max="15369" width="15" customWidth="1"/>
    <col min="15370" max="15370" width="8.83203125" customWidth="1"/>
    <col min="15371" max="15371" width="9.5" bestFit="1" customWidth="1"/>
    <col min="15372" max="15372" width="8.83203125" customWidth="1"/>
    <col min="15373" max="15375" width="9.5" bestFit="1" customWidth="1"/>
    <col min="15376" max="15616" width="8.83203125" customWidth="1"/>
    <col min="15617" max="15617" width="12.5" customWidth="1"/>
    <col min="15618" max="15618" width="8.83203125" customWidth="1"/>
    <col min="15619" max="15619" width="9.5" bestFit="1" customWidth="1"/>
    <col min="15620" max="15620" width="8.83203125" customWidth="1"/>
    <col min="15621" max="15623" width="9.5" bestFit="1" customWidth="1"/>
    <col min="15624" max="15624" width="8.83203125" customWidth="1"/>
    <col min="15625" max="15625" width="15" customWidth="1"/>
    <col min="15626" max="15626" width="8.83203125" customWidth="1"/>
    <col min="15627" max="15627" width="9.5" bestFit="1" customWidth="1"/>
    <col min="15628" max="15628" width="8.83203125" customWidth="1"/>
    <col min="15629" max="15631" width="9.5" bestFit="1" customWidth="1"/>
    <col min="15632" max="15872" width="8.83203125" customWidth="1"/>
    <col min="15873" max="15873" width="12.5" customWidth="1"/>
    <col min="15874" max="15874" width="8.83203125" customWidth="1"/>
    <col min="15875" max="15875" width="9.5" bestFit="1" customWidth="1"/>
    <col min="15876" max="15876" width="8.83203125" customWidth="1"/>
    <col min="15877" max="15879" width="9.5" bestFit="1" customWidth="1"/>
    <col min="15880" max="15880" width="8.83203125" customWidth="1"/>
    <col min="15881" max="15881" width="15" customWidth="1"/>
    <col min="15882" max="15882" width="8.83203125" customWidth="1"/>
    <col min="15883" max="15883" width="9.5" bestFit="1" customWidth="1"/>
    <col min="15884" max="15884" width="8.83203125" customWidth="1"/>
    <col min="15885" max="15887" width="9.5" bestFit="1" customWidth="1"/>
    <col min="15888" max="16128" width="8.83203125" customWidth="1"/>
    <col min="16129" max="16129" width="12.5" customWidth="1"/>
    <col min="16130" max="16130" width="8.83203125" customWidth="1"/>
    <col min="16131" max="16131" width="9.5" bestFit="1" customWidth="1"/>
    <col min="16132" max="16132" width="8.83203125" customWidth="1"/>
    <col min="16133" max="16135" width="9.5" bestFit="1" customWidth="1"/>
    <col min="16136" max="16136" width="8.83203125" customWidth="1"/>
    <col min="16137" max="16137" width="15" customWidth="1"/>
    <col min="16138" max="16138" width="8.83203125" customWidth="1"/>
    <col min="16139" max="16139" width="9.5" bestFit="1" customWidth="1"/>
    <col min="16140" max="16140" width="8.83203125" customWidth="1"/>
    <col min="16141" max="16143" width="9.5" bestFit="1" customWidth="1"/>
    <col min="16144" max="16384" width="8.83203125" customWidth="1"/>
  </cols>
  <sheetData>
    <row r="1" spans="1:19" ht="19" x14ac:dyDescent="0.25">
      <c r="A1" s="1" t="s">
        <v>0</v>
      </c>
    </row>
    <row r="2" spans="1:19" x14ac:dyDescent="0.2">
      <c r="A2" s="34" t="s">
        <v>63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9" x14ac:dyDescent="0.2">
      <c r="A3" s="33" t="s">
        <v>64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9" ht="15" customHeight="1" x14ac:dyDescent="0.2">
      <c r="A4" s="51" t="s">
        <v>65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9" ht="15.75" customHeight="1" x14ac:dyDescent="0.2">
      <c r="A5" s="36" t="s">
        <v>66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</row>
    <row r="6" spans="1:19" x14ac:dyDescent="0.2">
      <c r="A6" s="52" t="s">
        <v>67</v>
      </c>
      <c r="B6" s="52"/>
      <c r="C6" s="52"/>
      <c r="D6" s="52"/>
    </row>
    <row r="7" spans="1:19" x14ac:dyDescent="0.2">
      <c r="A7" s="52" t="s">
        <v>68</v>
      </c>
      <c r="B7" s="52"/>
      <c r="C7" s="52"/>
      <c r="D7" s="52"/>
    </row>
    <row r="9" spans="1:19" ht="19" x14ac:dyDescent="0.25">
      <c r="A9" s="47" t="s">
        <v>69</v>
      </c>
      <c r="B9" s="48"/>
      <c r="C9" s="48"/>
      <c r="D9" s="48"/>
      <c r="E9" s="48"/>
      <c r="F9" s="48"/>
      <c r="G9" s="49"/>
    </row>
    <row r="10" spans="1:19" ht="32" x14ac:dyDescent="0.2">
      <c r="A10" s="2" t="s">
        <v>4</v>
      </c>
      <c r="B10" s="53" t="s">
        <v>5</v>
      </c>
      <c r="C10" s="53" t="s">
        <v>6</v>
      </c>
      <c r="D10" s="53" t="s">
        <v>7</v>
      </c>
      <c r="E10" s="53" t="s">
        <v>8</v>
      </c>
      <c r="F10" s="54" t="s">
        <v>9</v>
      </c>
      <c r="G10" s="5" t="s">
        <v>10</v>
      </c>
    </row>
    <row r="11" spans="1:19" x14ac:dyDescent="0.2">
      <c r="A11" s="6" t="s">
        <v>11</v>
      </c>
      <c r="B11" s="55">
        <v>133</v>
      </c>
      <c r="C11" s="56">
        <f>B11*400</f>
        <v>53200</v>
      </c>
      <c r="D11" s="55">
        <v>2.5</v>
      </c>
      <c r="E11" s="56">
        <f>C11*D11</f>
        <v>133000</v>
      </c>
      <c r="F11" s="57">
        <f>AVERAGE(E11:E13)</f>
        <v>126333.33333333333</v>
      </c>
      <c r="G11" s="10">
        <f>_xlfn.STDEV.S(E11:E13)</f>
        <v>7637.6261582597326</v>
      </c>
    </row>
    <row r="12" spans="1:19" x14ac:dyDescent="0.2">
      <c r="A12" s="6" t="s">
        <v>12</v>
      </c>
      <c r="B12" s="55">
        <v>128</v>
      </c>
      <c r="C12" s="56">
        <f>B12*400</f>
        <v>51200</v>
      </c>
      <c r="D12" s="55">
        <v>2.5</v>
      </c>
      <c r="E12" s="56">
        <f>C12*D12</f>
        <v>128000</v>
      </c>
      <c r="F12" s="56"/>
      <c r="G12" s="11"/>
    </row>
    <row r="13" spans="1:19" x14ac:dyDescent="0.2">
      <c r="A13" s="12" t="s">
        <v>13</v>
      </c>
      <c r="B13" s="13">
        <v>118</v>
      </c>
      <c r="C13" s="14">
        <f>B13*400</f>
        <v>47200</v>
      </c>
      <c r="D13" s="13">
        <v>2.5</v>
      </c>
      <c r="E13" s="14">
        <f>C13*D13</f>
        <v>118000</v>
      </c>
      <c r="F13" s="14"/>
      <c r="G13" s="15"/>
    </row>
    <row r="16" spans="1:19" ht="19" x14ac:dyDescent="0.25">
      <c r="A16" s="37" t="s">
        <v>70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9"/>
    </row>
    <row r="17" spans="1:19" ht="16" x14ac:dyDescent="0.2">
      <c r="A17" s="40" t="s">
        <v>18</v>
      </c>
      <c r="B17" s="41"/>
      <c r="C17" s="41"/>
      <c r="D17" s="41"/>
      <c r="E17" s="41"/>
      <c r="F17" s="41"/>
      <c r="G17" s="42"/>
      <c r="H17" s="55"/>
      <c r="I17" s="43" t="s">
        <v>21</v>
      </c>
      <c r="J17" s="58"/>
      <c r="K17" s="58"/>
      <c r="L17" s="58"/>
      <c r="M17" s="58"/>
      <c r="N17" s="58"/>
      <c r="O17" s="45"/>
    </row>
    <row r="18" spans="1:19" ht="32" x14ac:dyDescent="0.2">
      <c r="A18" s="16" t="s">
        <v>4</v>
      </c>
      <c r="B18" s="17" t="s">
        <v>5</v>
      </c>
      <c r="C18" s="17" t="s">
        <v>6</v>
      </c>
      <c r="D18" s="17" t="s">
        <v>7</v>
      </c>
      <c r="E18" s="17" t="s">
        <v>8</v>
      </c>
      <c r="F18" s="18" t="s">
        <v>9</v>
      </c>
      <c r="G18" s="19" t="s">
        <v>10</v>
      </c>
      <c r="H18" s="55"/>
      <c r="I18" s="16" t="s">
        <v>4</v>
      </c>
      <c r="J18" s="17" t="s">
        <v>5</v>
      </c>
      <c r="K18" s="17" t="s">
        <v>6</v>
      </c>
      <c r="L18" s="17" t="s">
        <v>7</v>
      </c>
      <c r="M18" s="17" t="s">
        <v>8</v>
      </c>
      <c r="N18" s="18" t="s">
        <v>9</v>
      </c>
      <c r="O18" s="19" t="s">
        <v>10</v>
      </c>
    </row>
    <row r="19" spans="1:19" x14ac:dyDescent="0.2">
      <c r="A19" s="20" t="s">
        <v>15</v>
      </c>
      <c r="B19" s="55">
        <v>152</v>
      </c>
      <c r="C19" s="56">
        <f>B19*400</f>
        <v>60800</v>
      </c>
      <c r="D19" s="55">
        <v>2.5</v>
      </c>
      <c r="E19" s="56">
        <f>C19*D19</f>
        <v>152000</v>
      </c>
      <c r="F19" s="57">
        <f>AVERAGE(E19:E21)</f>
        <v>144666.66666666666</v>
      </c>
      <c r="G19" s="10">
        <f>_xlfn.STDEV.S(E19:E21)</f>
        <v>6429.1005073286369</v>
      </c>
      <c r="H19" s="55"/>
      <c r="I19" s="21" t="s">
        <v>20</v>
      </c>
      <c r="J19" s="55">
        <v>102</v>
      </c>
      <c r="K19" s="56">
        <f>J19*400</f>
        <v>40800</v>
      </c>
      <c r="L19" s="55">
        <v>2.5</v>
      </c>
      <c r="M19" s="56">
        <f>K19*L19</f>
        <v>102000</v>
      </c>
      <c r="N19" s="59">
        <f>AVERAGE(M19:M21)</f>
        <v>95000</v>
      </c>
      <c r="O19" s="10">
        <f>_xlfn.STDEV.S(K19:K21)</f>
        <v>2800</v>
      </c>
    </row>
    <row r="20" spans="1:19" x14ac:dyDescent="0.2">
      <c r="A20" s="20" t="s">
        <v>16</v>
      </c>
      <c r="B20" s="55">
        <v>140</v>
      </c>
      <c r="C20" s="56">
        <f>B20*400</f>
        <v>56000</v>
      </c>
      <c r="D20" s="55">
        <v>2.5</v>
      </c>
      <c r="E20" s="56">
        <f>C20*D20</f>
        <v>140000</v>
      </c>
      <c r="F20" s="56"/>
      <c r="G20" s="11"/>
      <c r="H20" s="55"/>
      <c r="I20" s="21" t="s">
        <v>22</v>
      </c>
      <c r="J20" s="55">
        <v>95</v>
      </c>
      <c r="K20" s="56">
        <f>J20*400</f>
        <v>38000</v>
      </c>
      <c r="L20" s="55">
        <v>2.5</v>
      </c>
      <c r="M20" s="56">
        <f>K20*L20</f>
        <v>95000</v>
      </c>
      <c r="N20" s="56"/>
      <c r="O20" s="11"/>
    </row>
    <row r="21" spans="1:19" x14ac:dyDescent="0.2">
      <c r="A21" s="23" t="s">
        <v>17</v>
      </c>
      <c r="B21" s="13">
        <v>142</v>
      </c>
      <c r="C21" s="14">
        <f>B21*400</f>
        <v>56800</v>
      </c>
      <c r="D21" s="13">
        <v>2.5</v>
      </c>
      <c r="E21" s="14">
        <f>C21*D21</f>
        <v>142000</v>
      </c>
      <c r="F21" s="14"/>
      <c r="G21" s="15"/>
      <c r="H21" s="13"/>
      <c r="I21" s="24" t="s">
        <v>23</v>
      </c>
      <c r="J21" s="13">
        <v>88</v>
      </c>
      <c r="K21" s="14">
        <f>J21*400</f>
        <v>35200</v>
      </c>
      <c r="L21" s="13">
        <v>2.5</v>
      </c>
      <c r="M21" s="14">
        <f>K21*L21</f>
        <v>88000</v>
      </c>
      <c r="N21" s="14"/>
      <c r="O21" s="15"/>
    </row>
    <row r="22" spans="1:19" x14ac:dyDescent="0.2">
      <c r="A22" s="51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</row>
    <row r="24" spans="1:19" ht="19" x14ac:dyDescent="0.25">
      <c r="A24" s="37" t="s">
        <v>71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</row>
    <row r="25" spans="1:19" ht="16" x14ac:dyDescent="0.2">
      <c r="A25" s="40" t="s">
        <v>18</v>
      </c>
      <c r="B25" s="41"/>
      <c r="C25" s="41"/>
      <c r="D25" s="41"/>
      <c r="E25" s="41"/>
      <c r="F25" s="41"/>
      <c r="G25" s="42"/>
      <c r="H25" s="55"/>
      <c r="I25" s="43" t="s">
        <v>21</v>
      </c>
      <c r="J25" s="58"/>
      <c r="K25" s="58"/>
      <c r="L25" s="58"/>
      <c r="M25" s="58"/>
      <c r="N25" s="58"/>
      <c r="O25" s="45"/>
    </row>
    <row r="26" spans="1:19" ht="32" x14ac:dyDescent="0.2">
      <c r="A26" s="16" t="s">
        <v>4</v>
      </c>
      <c r="B26" s="17" t="s">
        <v>5</v>
      </c>
      <c r="C26" s="17" t="s">
        <v>6</v>
      </c>
      <c r="D26" s="17" t="s">
        <v>7</v>
      </c>
      <c r="E26" s="17" t="s">
        <v>8</v>
      </c>
      <c r="F26" s="18" t="s">
        <v>9</v>
      </c>
      <c r="G26" s="19" t="s">
        <v>10</v>
      </c>
      <c r="H26" s="55"/>
      <c r="I26" s="16" t="s">
        <v>4</v>
      </c>
      <c r="J26" s="17" t="s">
        <v>5</v>
      </c>
      <c r="K26" s="17" t="s">
        <v>6</v>
      </c>
      <c r="L26" s="17" t="s">
        <v>7</v>
      </c>
      <c r="M26" s="17" t="s">
        <v>8</v>
      </c>
      <c r="N26" s="18" t="s">
        <v>9</v>
      </c>
      <c r="O26" s="19" t="s">
        <v>10</v>
      </c>
    </row>
    <row r="27" spans="1:19" x14ac:dyDescent="0.2">
      <c r="A27" s="20" t="s">
        <v>30</v>
      </c>
      <c r="B27" s="55">
        <v>716</v>
      </c>
      <c r="C27" s="56">
        <f>B27*400</f>
        <v>286400</v>
      </c>
      <c r="D27" s="55">
        <v>2.5</v>
      </c>
      <c r="E27" s="56">
        <f>C27*D27</f>
        <v>716000</v>
      </c>
      <c r="F27" s="57">
        <f>AVERAGE(E27:E29)</f>
        <v>674666.66666666663</v>
      </c>
      <c r="G27" s="10">
        <f>_xlfn.STDEV.S(E27:E29)</f>
        <v>42015.870017569949</v>
      </c>
      <c r="H27" s="55"/>
      <c r="I27" s="21" t="s">
        <v>27</v>
      </c>
      <c r="J27" s="55">
        <v>141</v>
      </c>
      <c r="K27" s="56">
        <f>J27*400</f>
        <v>56400</v>
      </c>
      <c r="L27" s="55">
        <v>2.5</v>
      </c>
      <c r="M27" s="56">
        <f>K27*L27</f>
        <v>141000</v>
      </c>
      <c r="N27" s="59">
        <f>AVERAGE(M27:M29)</f>
        <v>158333.33333333334</v>
      </c>
      <c r="O27" s="10">
        <f>_xlfn.STDEV.S(K27:K29)</f>
        <v>7000.9523161733741</v>
      </c>
    </row>
    <row r="28" spans="1:19" x14ac:dyDescent="0.2">
      <c r="A28" s="20" t="s">
        <v>31</v>
      </c>
      <c r="B28" s="55">
        <v>676</v>
      </c>
      <c r="C28" s="56">
        <f>B28*400</f>
        <v>270400</v>
      </c>
      <c r="D28" s="55">
        <v>2.5</v>
      </c>
      <c r="E28" s="56">
        <f>C28*D28</f>
        <v>676000</v>
      </c>
      <c r="F28" s="56"/>
      <c r="G28" s="11"/>
      <c r="H28" s="55"/>
      <c r="I28" s="21" t="s">
        <v>28</v>
      </c>
      <c r="J28" s="55">
        <v>176</v>
      </c>
      <c r="K28" s="56">
        <f>J28*400</f>
        <v>70400</v>
      </c>
      <c r="L28" s="55">
        <v>2.5</v>
      </c>
      <c r="M28" s="56">
        <f>K28*L28</f>
        <v>176000</v>
      </c>
      <c r="N28" s="56"/>
      <c r="O28" s="11"/>
    </row>
    <row r="29" spans="1:19" x14ac:dyDescent="0.2">
      <c r="A29" s="23" t="s">
        <v>32</v>
      </c>
      <c r="B29" s="13">
        <v>632</v>
      </c>
      <c r="C29" s="14">
        <f>B29*400</f>
        <v>252800</v>
      </c>
      <c r="D29" s="13">
        <v>2.5</v>
      </c>
      <c r="E29" s="14">
        <f>C29*D29</f>
        <v>632000</v>
      </c>
      <c r="F29" s="14"/>
      <c r="G29" s="15"/>
      <c r="H29" s="13"/>
      <c r="I29" s="24" t="s">
        <v>29</v>
      </c>
      <c r="J29" s="13">
        <v>158</v>
      </c>
      <c r="K29" s="14">
        <f>J29*400</f>
        <v>63200</v>
      </c>
      <c r="L29" s="13">
        <v>2.5</v>
      </c>
      <c r="M29" s="14">
        <f>K29*L29</f>
        <v>158000</v>
      </c>
      <c r="N29" s="14"/>
      <c r="O29" s="15"/>
    </row>
    <row r="30" spans="1:19" x14ac:dyDescent="0.2">
      <c r="A30" s="36" t="s">
        <v>72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</row>
    <row r="32" spans="1:19" ht="19" x14ac:dyDescent="0.25">
      <c r="A32" s="37" t="s">
        <v>73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9"/>
    </row>
    <row r="33" spans="1:19" ht="16" x14ac:dyDescent="0.2">
      <c r="A33" s="40" t="s">
        <v>18</v>
      </c>
      <c r="B33" s="41"/>
      <c r="C33" s="41"/>
      <c r="D33" s="41"/>
      <c r="E33" s="41"/>
      <c r="F33" s="41"/>
      <c r="G33" s="42"/>
      <c r="H33" s="55"/>
      <c r="I33" s="43" t="s">
        <v>21</v>
      </c>
      <c r="J33" s="58"/>
      <c r="K33" s="58"/>
      <c r="L33" s="58"/>
      <c r="M33" s="58"/>
      <c r="N33" s="58"/>
      <c r="O33" s="45"/>
    </row>
    <row r="34" spans="1:19" ht="32" x14ac:dyDescent="0.2">
      <c r="A34" s="16" t="s">
        <v>4</v>
      </c>
      <c r="B34" s="17" t="s">
        <v>5</v>
      </c>
      <c r="C34" s="17" t="s">
        <v>6</v>
      </c>
      <c r="D34" s="17" t="s">
        <v>7</v>
      </c>
      <c r="E34" s="17" t="s">
        <v>8</v>
      </c>
      <c r="F34" s="18" t="s">
        <v>9</v>
      </c>
      <c r="G34" s="19" t="s">
        <v>10</v>
      </c>
      <c r="H34" s="55"/>
      <c r="I34" s="16" t="s">
        <v>4</v>
      </c>
      <c r="J34" s="17" t="s">
        <v>5</v>
      </c>
      <c r="K34" s="17" t="s">
        <v>6</v>
      </c>
      <c r="L34" s="17" t="s">
        <v>7</v>
      </c>
      <c r="M34" s="17" t="s">
        <v>8</v>
      </c>
      <c r="N34" s="18" t="s">
        <v>9</v>
      </c>
      <c r="O34" s="19" t="s">
        <v>10</v>
      </c>
    </row>
    <row r="35" spans="1:19" x14ac:dyDescent="0.2">
      <c r="A35" s="20" t="s">
        <v>37</v>
      </c>
      <c r="B35" s="55">
        <v>1158</v>
      </c>
      <c r="C35" s="56">
        <f>B35*400</f>
        <v>463200</v>
      </c>
      <c r="D35" s="55">
        <v>2.5</v>
      </c>
      <c r="E35" s="56">
        <f>C35*D35</f>
        <v>1158000</v>
      </c>
      <c r="F35" s="57">
        <f>AVERAGE(E35:E37)</f>
        <v>1148000</v>
      </c>
      <c r="G35" s="10">
        <f>_xlfn.STDEV.S(E35:E37)</f>
        <v>15620.499351813309</v>
      </c>
      <c r="H35" s="55"/>
      <c r="I35" s="21" t="s">
        <v>40</v>
      </c>
      <c r="J35" s="55">
        <v>294</v>
      </c>
      <c r="K35" s="56">
        <f>J35*400</f>
        <v>117600</v>
      </c>
      <c r="L35" s="55">
        <v>2.5</v>
      </c>
      <c r="M35" s="56">
        <f>K35*L35</f>
        <v>294000</v>
      </c>
      <c r="N35" s="59">
        <f>AVERAGE(M35:M37)</f>
        <v>288000</v>
      </c>
      <c r="O35" s="10">
        <f>_xlfn.STDEV.S(K35:K37)</f>
        <v>2622.9754097208001</v>
      </c>
    </row>
    <row r="36" spans="1:19" x14ac:dyDescent="0.2">
      <c r="A36" s="20" t="s">
        <v>38</v>
      </c>
      <c r="B36" s="55">
        <v>1156</v>
      </c>
      <c r="C36" s="56">
        <f>B36*400</f>
        <v>462400</v>
      </c>
      <c r="D36" s="55">
        <v>2.5</v>
      </c>
      <c r="E36" s="56">
        <f>C36*D36</f>
        <v>1156000</v>
      </c>
      <c r="F36" s="56"/>
      <c r="G36" s="11"/>
      <c r="H36" s="55"/>
      <c r="I36" s="21" t="s">
        <v>41</v>
      </c>
      <c r="J36" s="55">
        <v>281</v>
      </c>
      <c r="K36" s="56">
        <f>J36*400</f>
        <v>112400</v>
      </c>
      <c r="L36" s="55">
        <v>2.5</v>
      </c>
      <c r="M36" s="56">
        <f>K36*L36</f>
        <v>281000</v>
      </c>
      <c r="N36" s="56"/>
      <c r="O36" s="11"/>
    </row>
    <row r="37" spans="1:19" x14ac:dyDescent="0.2">
      <c r="A37" s="23" t="s">
        <v>39</v>
      </c>
      <c r="B37" s="13">
        <v>1130</v>
      </c>
      <c r="C37" s="14">
        <f>B37*400</f>
        <v>452000</v>
      </c>
      <c r="D37" s="13">
        <v>2.5</v>
      </c>
      <c r="E37" s="14">
        <f>C37*D37</f>
        <v>1130000</v>
      </c>
      <c r="F37" s="14"/>
      <c r="G37" s="15"/>
      <c r="H37" s="13"/>
      <c r="I37" s="24" t="s">
        <v>42</v>
      </c>
      <c r="J37" s="13">
        <v>289</v>
      </c>
      <c r="K37" s="14">
        <f>J37*400</f>
        <v>115600</v>
      </c>
      <c r="L37" s="13">
        <v>2.5</v>
      </c>
      <c r="M37" s="14">
        <f>K37*L37</f>
        <v>289000</v>
      </c>
      <c r="N37" s="14"/>
      <c r="O37" s="15"/>
    </row>
    <row r="38" spans="1:19" ht="15" customHeight="1" x14ac:dyDescent="0.2">
      <c r="A38" s="60" t="s">
        <v>74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</row>
    <row r="39" spans="1:19" x14ac:dyDescent="0.2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</row>
    <row r="40" spans="1:19" x14ac:dyDescent="0.2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</row>
    <row r="41" spans="1:19" x14ac:dyDescent="0.2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</row>
    <row r="42" spans="1:19" ht="19" x14ac:dyDescent="0.25">
      <c r="A42" s="37" t="s">
        <v>75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9"/>
    </row>
    <row r="43" spans="1:19" ht="16" x14ac:dyDescent="0.2">
      <c r="A43" s="40" t="s">
        <v>18</v>
      </c>
      <c r="B43" s="41"/>
      <c r="C43" s="41"/>
      <c r="D43" s="41"/>
      <c r="E43" s="41"/>
      <c r="F43" s="41"/>
      <c r="G43" s="42"/>
      <c r="H43" s="55"/>
      <c r="I43" s="43" t="s">
        <v>21</v>
      </c>
      <c r="J43" s="58"/>
      <c r="K43" s="58"/>
      <c r="L43" s="58"/>
      <c r="M43" s="58"/>
      <c r="N43" s="58"/>
      <c r="O43" s="45"/>
    </row>
    <row r="44" spans="1:19" ht="32" x14ac:dyDescent="0.2">
      <c r="A44" s="16" t="s">
        <v>4</v>
      </c>
      <c r="B44" s="17" t="s">
        <v>5</v>
      </c>
      <c r="C44" s="17" t="s">
        <v>6</v>
      </c>
      <c r="D44" s="17" t="s">
        <v>7</v>
      </c>
      <c r="E44" s="17" t="s">
        <v>8</v>
      </c>
      <c r="F44" s="18" t="s">
        <v>9</v>
      </c>
      <c r="G44" s="19" t="s">
        <v>10</v>
      </c>
      <c r="H44" s="55"/>
      <c r="I44" s="16" t="s">
        <v>4</v>
      </c>
      <c r="J44" s="17" t="s">
        <v>5</v>
      </c>
      <c r="K44" s="17" t="s">
        <v>6</v>
      </c>
      <c r="L44" s="17" t="s">
        <v>7</v>
      </c>
      <c r="M44" s="17" t="s">
        <v>8</v>
      </c>
      <c r="N44" s="18" t="s">
        <v>9</v>
      </c>
      <c r="O44" s="19" t="s">
        <v>10</v>
      </c>
    </row>
    <row r="45" spans="1:19" x14ac:dyDescent="0.2">
      <c r="A45" s="20" t="s">
        <v>43</v>
      </c>
      <c r="B45" s="55">
        <v>1737</v>
      </c>
      <c r="C45" s="56">
        <f>B45*400</f>
        <v>694800</v>
      </c>
      <c r="D45" s="55">
        <v>2.5</v>
      </c>
      <c r="E45" s="56">
        <f>C45*D45</f>
        <v>1737000</v>
      </c>
      <c r="F45" s="57">
        <f>AVERAGE(E45:E47)</f>
        <v>1642333.3333333333</v>
      </c>
      <c r="G45" s="10">
        <f>_xlfn.STDEV.S(E45:E47)</f>
        <v>99284.104132198991</v>
      </c>
      <c r="H45" s="55"/>
      <c r="I45" s="21" t="s">
        <v>47</v>
      </c>
      <c r="J45" s="55">
        <v>328</v>
      </c>
      <c r="K45" s="56">
        <f>J45*400</f>
        <v>131200</v>
      </c>
      <c r="L45" s="55">
        <v>2.5</v>
      </c>
      <c r="M45" s="56">
        <f>K45*L45</f>
        <v>328000</v>
      </c>
      <c r="N45" s="59">
        <f>AVERAGE(M45:M47)</f>
        <v>308000</v>
      </c>
      <c r="O45" s="10">
        <f>_xlfn.STDEV.S(K45:K47)</f>
        <v>6974.2383096650774</v>
      </c>
    </row>
    <row r="46" spans="1:19" x14ac:dyDescent="0.2">
      <c r="A46" s="20" t="s">
        <v>44</v>
      </c>
      <c r="B46" s="55">
        <v>1651</v>
      </c>
      <c r="C46" s="56">
        <f>B46*400</f>
        <v>660400</v>
      </c>
      <c r="D46" s="55">
        <v>2.5</v>
      </c>
      <c r="E46" s="56">
        <f>C46*D46</f>
        <v>1651000</v>
      </c>
      <c r="F46" s="56"/>
      <c r="G46" s="11"/>
      <c r="H46" s="55"/>
      <c r="I46" s="21" t="s">
        <v>48</v>
      </c>
      <c r="J46" s="55">
        <v>296</v>
      </c>
      <c r="K46" s="56">
        <f>J46*400</f>
        <v>118400</v>
      </c>
      <c r="L46" s="55">
        <v>2.5</v>
      </c>
      <c r="M46" s="56">
        <f>K46*L46</f>
        <v>296000</v>
      </c>
      <c r="N46" s="56"/>
      <c r="O46" s="11"/>
    </row>
    <row r="47" spans="1:19" x14ac:dyDescent="0.2">
      <c r="A47" s="23" t="s">
        <v>45</v>
      </c>
      <c r="B47" s="13">
        <v>1539</v>
      </c>
      <c r="C47" s="14">
        <f>B47*400</f>
        <v>615600</v>
      </c>
      <c r="D47" s="13">
        <v>2.5</v>
      </c>
      <c r="E47" s="14">
        <f>C47*D47</f>
        <v>1539000</v>
      </c>
      <c r="F47" s="14"/>
      <c r="G47" s="15"/>
      <c r="H47" s="13"/>
      <c r="I47" s="24" t="s">
        <v>49</v>
      </c>
      <c r="J47" s="13">
        <v>300</v>
      </c>
      <c r="K47" s="14">
        <f>J47*400</f>
        <v>120000</v>
      </c>
      <c r="L47" s="13">
        <v>2.5</v>
      </c>
      <c r="M47" s="14">
        <f>K47*L47</f>
        <v>300000</v>
      </c>
      <c r="N47" s="14"/>
      <c r="O47" s="15"/>
    </row>
    <row r="48" spans="1:19" x14ac:dyDescent="0.2">
      <c r="A48" s="36" t="s">
        <v>76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</row>
  </sheetData>
  <mergeCells count="23">
    <mergeCell ref="A38:P40"/>
    <mergeCell ref="A42:O42"/>
    <mergeCell ref="A43:G43"/>
    <mergeCell ref="I43:O43"/>
    <mergeCell ref="A48:S48"/>
    <mergeCell ref="A25:G25"/>
    <mergeCell ref="I25:O25"/>
    <mergeCell ref="A30:S30"/>
    <mergeCell ref="A32:O32"/>
    <mergeCell ref="A33:G33"/>
    <mergeCell ref="I33:O33"/>
    <mergeCell ref="A9:G9"/>
    <mergeCell ref="A16:O16"/>
    <mergeCell ref="A17:G17"/>
    <mergeCell ref="I17:O17"/>
    <mergeCell ref="A22:Q22"/>
    <mergeCell ref="A24:O24"/>
    <mergeCell ref="A2:R2"/>
    <mergeCell ref="A3:Q3"/>
    <mergeCell ref="A4:Q4"/>
    <mergeCell ref="A5:S5"/>
    <mergeCell ref="A6:D6"/>
    <mergeCell ref="A7:D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5B18-61E1-1848-BE19-6357A4C51987}">
  <dimension ref="A1:Q30"/>
  <sheetViews>
    <sheetView workbookViewId="0">
      <selection activeCell="D39" sqref="D39"/>
    </sheetView>
  </sheetViews>
  <sheetFormatPr baseColWidth="10" defaultRowHeight="15" x14ac:dyDescent="0.2"/>
  <cols>
    <col min="1" max="1" width="24" customWidth="1"/>
    <col min="2" max="2" width="20" customWidth="1"/>
    <col min="4" max="4" width="26.1640625" customWidth="1"/>
    <col min="8" max="8" width="12.1640625" customWidth="1"/>
    <col min="10" max="10" width="17.83203125" customWidth="1"/>
    <col min="12" max="12" width="18.83203125" customWidth="1"/>
  </cols>
  <sheetData>
    <row r="1" spans="1:17" ht="21" x14ac:dyDescent="0.25">
      <c r="A1" s="26" t="s">
        <v>52</v>
      </c>
    </row>
    <row r="2" spans="1:17" ht="22" x14ac:dyDescent="0.25">
      <c r="M2" s="29" t="s">
        <v>52</v>
      </c>
      <c r="N2" s="29" t="s">
        <v>60</v>
      </c>
      <c r="O2" s="29" t="s">
        <v>57</v>
      </c>
      <c r="P2" s="29" t="s">
        <v>58</v>
      </c>
      <c r="Q2" s="32" t="s">
        <v>59</v>
      </c>
    </row>
    <row r="3" spans="1:17" ht="22" x14ac:dyDescent="0.25">
      <c r="A3" s="27" t="s">
        <v>4</v>
      </c>
      <c r="B3" s="28" t="s">
        <v>5</v>
      </c>
      <c r="K3" s="31"/>
      <c r="L3" s="29" t="s">
        <v>18</v>
      </c>
      <c r="M3" s="28">
        <v>1</v>
      </c>
      <c r="N3" s="28">
        <f>AVERAGE(H10:H12)</f>
        <v>1.145118733509235</v>
      </c>
      <c r="O3" s="28">
        <f>AVERAGE(H16:H18)</f>
        <v>5.3403693931398424</v>
      </c>
      <c r="P3" s="28">
        <f>AVERAGE(H22:H24)</f>
        <v>9.0870712401055425</v>
      </c>
      <c r="Q3" s="28">
        <f>AVERAGE(H28:H30)</f>
        <v>13</v>
      </c>
    </row>
    <row r="4" spans="1:17" ht="22" x14ac:dyDescent="0.25">
      <c r="A4" s="30" t="s">
        <v>53</v>
      </c>
      <c r="B4" s="28">
        <f>'Rep2'!B11</f>
        <v>133</v>
      </c>
      <c r="L4" s="29" t="s">
        <v>21</v>
      </c>
      <c r="M4" s="28">
        <v>1</v>
      </c>
      <c r="N4" s="28">
        <f>AVERAGE(K10:K12)</f>
        <v>0.75197889182058064</v>
      </c>
      <c r="O4" s="28">
        <f>AVERAGE(K16:K18)</f>
        <v>1.253298153034301</v>
      </c>
      <c r="P4" s="28">
        <f>AVERAGE(K22:K24)</f>
        <v>2.2796833773087073</v>
      </c>
      <c r="Q4" s="28">
        <f>AVERAGE(K28:K30)</f>
        <v>2.4379947229551453</v>
      </c>
    </row>
    <row r="5" spans="1:17" ht="21" x14ac:dyDescent="0.25">
      <c r="A5" s="30" t="s">
        <v>54</v>
      </c>
      <c r="B5" s="28">
        <f>'Rep2'!B12</f>
        <v>128</v>
      </c>
    </row>
    <row r="6" spans="1:17" ht="21" x14ac:dyDescent="0.25">
      <c r="A6" s="26" t="s">
        <v>55</v>
      </c>
      <c r="B6" s="28">
        <f>'Rep2'!B13</f>
        <v>118</v>
      </c>
    </row>
    <row r="7" spans="1:17" ht="21" x14ac:dyDescent="0.25">
      <c r="B7" s="28">
        <f>AVERAGE(B4:B6)</f>
        <v>126.33333333333333</v>
      </c>
    </row>
    <row r="8" spans="1:17" ht="22" x14ac:dyDescent="0.25">
      <c r="A8" s="27" t="s">
        <v>56</v>
      </c>
      <c r="C8" s="31"/>
      <c r="D8" s="29" t="s">
        <v>62</v>
      </c>
      <c r="F8" s="31"/>
      <c r="G8" s="29" t="s">
        <v>56</v>
      </c>
      <c r="J8" s="29" t="s">
        <v>62</v>
      </c>
    </row>
    <row r="9" spans="1:17" ht="22" x14ac:dyDescent="0.25">
      <c r="A9" s="27" t="s">
        <v>18</v>
      </c>
      <c r="C9" s="31"/>
      <c r="D9" s="29" t="s">
        <v>21</v>
      </c>
      <c r="F9" s="31"/>
      <c r="G9" s="29" t="s">
        <v>18</v>
      </c>
      <c r="J9" s="29" t="s">
        <v>21</v>
      </c>
    </row>
    <row r="10" spans="1:17" ht="22" x14ac:dyDescent="0.25">
      <c r="A10" s="27" t="s">
        <v>61</v>
      </c>
      <c r="B10" s="28">
        <f>'Rep2'!B19</f>
        <v>152</v>
      </c>
      <c r="C10" s="31"/>
      <c r="D10" s="29" t="s">
        <v>61</v>
      </c>
      <c r="E10" s="29">
        <f>'Rep2'!J19</f>
        <v>102</v>
      </c>
      <c r="F10" s="31"/>
      <c r="G10" s="29" t="s">
        <v>61</v>
      </c>
      <c r="H10" s="29">
        <f>B10/B7</f>
        <v>1.2031662269129288</v>
      </c>
      <c r="J10" s="29" t="s">
        <v>61</v>
      </c>
      <c r="K10" s="29">
        <f>E10/B7</f>
        <v>0.80738786279683383</v>
      </c>
    </row>
    <row r="11" spans="1:17" ht="22" x14ac:dyDescent="0.25">
      <c r="A11" s="27" t="s">
        <v>54</v>
      </c>
      <c r="B11" s="28">
        <f>'Rep2'!B20</f>
        <v>140</v>
      </c>
      <c r="C11" s="31"/>
      <c r="D11" s="29" t="s">
        <v>54</v>
      </c>
      <c r="E11" s="29">
        <f>'Rep2'!J20</f>
        <v>95</v>
      </c>
      <c r="F11" s="31"/>
      <c r="G11" s="29" t="s">
        <v>54</v>
      </c>
      <c r="H11" s="29">
        <f>B11/B7</f>
        <v>1.108179419525066</v>
      </c>
      <c r="J11" s="29" t="s">
        <v>54</v>
      </c>
      <c r="K11" s="29">
        <f>E11/B7</f>
        <v>0.75197889182058053</v>
      </c>
    </row>
    <row r="12" spans="1:17" ht="22" x14ac:dyDescent="0.25">
      <c r="A12" s="29" t="s">
        <v>55</v>
      </c>
      <c r="B12" s="28">
        <f>'Rep2'!B21</f>
        <v>142</v>
      </c>
      <c r="D12" s="29" t="s">
        <v>55</v>
      </c>
      <c r="E12" s="29">
        <f>'Rep2'!J21</f>
        <v>88</v>
      </c>
      <c r="G12" s="29" t="s">
        <v>55</v>
      </c>
      <c r="H12" s="29">
        <f>B12/B7</f>
        <v>1.1240105540897098</v>
      </c>
      <c r="J12" s="29" t="s">
        <v>55</v>
      </c>
      <c r="K12" s="29">
        <f>E12/B7</f>
        <v>0.69656992084432723</v>
      </c>
    </row>
    <row r="14" spans="1:17" ht="22" x14ac:dyDescent="0.25">
      <c r="A14" s="27" t="s">
        <v>57</v>
      </c>
      <c r="C14" s="31"/>
      <c r="D14" s="29" t="s">
        <v>57</v>
      </c>
      <c r="F14" s="31"/>
      <c r="G14" s="29" t="s">
        <v>57</v>
      </c>
      <c r="J14" s="29" t="s">
        <v>57</v>
      </c>
    </row>
    <row r="15" spans="1:17" ht="22" x14ac:dyDescent="0.25">
      <c r="A15" s="27" t="s">
        <v>18</v>
      </c>
      <c r="D15" s="29" t="s">
        <v>21</v>
      </c>
      <c r="F15" s="31"/>
      <c r="G15" s="29" t="s">
        <v>18</v>
      </c>
      <c r="J15" s="29" t="s">
        <v>21</v>
      </c>
    </row>
    <row r="16" spans="1:17" ht="22" x14ac:dyDescent="0.25">
      <c r="A16" s="27" t="s">
        <v>61</v>
      </c>
      <c r="B16" s="28">
        <f>'Rep2'!B27</f>
        <v>716</v>
      </c>
      <c r="D16" s="29" t="s">
        <v>61</v>
      </c>
      <c r="E16" s="29">
        <f>'Rep2'!J27</f>
        <v>141</v>
      </c>
      <c r="F16" s="31"/>
      <c r="G16" s="29" t="s">
        <v>61</v>
      </c>
      <c r="H16" s="29">
        <f>B16/B7</f>
        <v>5.6675461741424806</v>
      </c>
      <c r="J16" s="29" t="s">
        <v>61</v>
      </c>
      <c r="K16" s="29">
        <f>E16/B7</f>
        <v>1.1160949868073879</v>
      </c>
    </row>
    <row r="17" spans="1:11" ht="22" x14ac:dyDescent="0.25">
      <c r="A17" s="27" t="s">
        <v>54</v>
      </c>
      <c r="B17" s="28">
        <f>'Rep2'!B28</f>
        <v>676</v>
      </c>
      <c r="D17" s="29" t="s">
        <v>54</v>
      </c>
      <c r="E17" s="29">
        <f>'Rep2'!J28</f>
        <v>176</v>
      </c>
      <c r="F17" s="31"/>
      <c r="G17" s="29" t="s">
        <v>54</v>
      </c>
      <c r="H17" s="29">
        <f>B17/B7</f>
        <v>5.3509234828496046</v>
      </c>
      <c r="J17" s="29" t="s">
        <v>54</v>
      </c>
      <c r="K17" s="29">
        <f>E17/B7</f>
        <v>1.3931398416886545</v>
      </c>
    </row>
    <row r="18" spans="1:11" ht="22" x14ac:dyDescent="0.25">
      <c r="A18" s="29" t="s">
        <v>55</v>
      </c>
      <c r="B18" s="28">
        <f>'Rep2'!B29</f>
        <v>632</v>
      </c>
      <c r="D18" s="29" t="s">
        <v>55</v>
      </c>
      <c r="E18" s="29">
        <f>'Rep2'!J29</f>
        <v>158</v>
      </c>
      <c r="G18" s="29" t="s">
        <v>55</v>
      </c>
      <c r="H18" s="29">
        <f>B18/B7</f>
        <v>5.002638522427441</v>
      </c>
      <c r="J18" s="29" t="s">
        <v>55</v>
      </c>
      <c r="K18" s="29">
        <f>E18/B7</f>
        <v>1.2506596306068603</v>
      </c>
    </row>
    <row r="20" spans="1:11" ht="22" x14ac:dyDescent="0.25">
      <c r="A20" s="27" t="s">
        <v>58</v>
      </c>
      <c r="C20" s="31"/>
      <c r="D20" s="29" t="s">
        <v>58</v>
      </c>
      <c r="F20" s="31"/>
      <c r="G20" s="29" t="s">
        <v>58</v>
      </c>
      <c r="J20" s="29" t="s">
        <v>58</v>
      </c>
    </row>
    <row r="21" spans="1:11" ht="22" x14ac:dyDescent="0.25">
      <c r="A21" s="27" t="s">
        <v>18</v>
      </c>
      <c r="D21" s="29" t="s">
        <v>21</v>
      </c>
      <c r="F21" s="31"/>
      <c r="G21" s="29" t="s">
        <v>18</v>
      </c>
      <c r="J21" s="29" t="s">
        <v>21</v>
      </c>
    </row>
    <row r="22" spans="1:11" ht="22" x14ac:dyDescent="0.25">
      <c r="A22" s="27" t="s">
        <v>61</v>
      </c>
      <c r="B22" s="28">
        <f>'Rep2'!B35</f>
        <v>1158</v>
      </c>
      <c r="D22" s="29" t="s">
        <v>61</v>
      </c>
      <c r="E22" s="29">
        <f>'Rep2'!J35</f>
        <v>294</v>
      </c>
      <c r="F22" s="31"/>
      <c r="G22" s="29" t="s">
        <v>61</v>
      </c>
      <c r="H22" s="29">
        <f>B22/B7</f>
        <v>9.1662269129287601</v>
      </c>
      <c r="J22" s="29" t="s">
        <v>61</v>
      </c>
      <c r="K22" s="29">
        <f>E22/B7</f>
        <v>2.3271767810026387</v>
      </c>
    </row>
    <row r="23" spans="1:11" ht="22" x14ac:dyDescent="0.25">
      <c r="A23" s="27" t="s">
        <v>54</v>
      </c>
      <c r="B23" s="28">
        <f>'Rep2'!B36</f>
        <v>1156</v>
      </c>
      <c r="D23" s="29" t="s">
        <v>54</v>
      </c>
      <c r="E23" s="29">
        <f>'Rep2'!J36</f>
        <v>281</v>
      </c>
      <c r="F23" s="31"/>
      <c r="G23" s="29" t="s">
        <v>54</v>
      </c>
      <c r="H23" s="29">
        <f>B23/B7</f>
        <v>9.1503957783641159</v>
      </c>
      <c r="J23" s="29" t="s">
        <v>54</v>
      </c>
      <c r="K23" s="29">
        <f>E23/B7</f>
        <v>2.2242744063324538</v>
      </c>
    </row>
    <row r="24" spans="1:11" ht="22" x14ac:dyDescent="0.25">
      <c r="A24" s="29" t="s">
        <v>55</v>
      </c>
      <c r="B24" s="28">
        <f>'Rep2'!B37</f>
        <v>1130</v>
      </c>
      <c r="D24" s="29" t="s">
        <v>55</v>
      </c>
      <c r="E24" s="29">
        <f>'Rep2'!J37</f>
        <v>289</v>
      </c>
      <c r="G24" s="29" t="s">
        <v>55</v>
      </c>
      <c r="H24" s="29">
        <f>B24/B7</f>
        <v>8.9445910290237478</v>
      </c>
      <c r="J24" s="29" t="s">
        <v>55</v>
      </c>
      <c r="K24" s="29">
        <f>E24/B7</f>
        <v>2.287598944591029</v>
      </c>
    </row>
    <row r="26" spans="1:11" ht="22" x14ac:dyDescent="0.25">
      <c r="A26" s="27" t="s">
        <v>59</v>
      </c>
      <c r="C26" s="31"/>
      <c r="D26" s="29" t="s">
        <v>59</v>
      </c>
      <c r="F26" s="31"/>
      <c r="G26" s="29" t="s">
        <v>59</v>
      </c>
      <c r="J26" s="29" t="s">
        <v>59</v>
      </c>
    </row>
    <row r="27" spans="1:11" ht="22" x14ac:dyDescent="0.25">
      <c r="A27" s="27" t="s">
        <v>18</v>
      </c>
      <c r="D27" s="29" t="s">
        <v>21</v>
      </c>
      <c r="F27" s="31"/>
      <c r="G27" s="29" t="s">
        <v>18</v>
      </c>
      <c r="J27" s="29" t="s">
        <v>21</v>
      </c>
    </row>
    <row r="28" spans="1:11" ht="22" x14ac:dyDescent="0.25">
      <c r="A28" s="27" t="s">
        <v>61</v>
      </c>
      <c r="B28" s="28">
        <f>'Rep2'!B45</f>
        <v>1737</v>
      </c>
      <c r="D28" s="29" t="s">
        <v>61</v>
      </c>
      <c r="E28" s="29">
        <f>'Rep2'!J45</f>
        <v>328</v>
      </c>
      <c r="F28" s="31"/>
      <c r="G28" s="29" t="s">
        <v>61</v>
      </c>
      <c r="H28" s="29">
        <f>B28/B7</f>
        <v>13.74934036939314</v>
      </c>
      <c r="J28" s="29" t="s">
        <v>61</v>
      </c>
      <c r="K28" s="29">
        <f>E28/B7</f>
        <v>2.5963060686015833</v>
      </c>
    </row>
    <row r="29" spans="1:11" ht="22" x14ac:dyDescent="0.25">
      <c r="A29" s="27" t="s">
        <v>54</v>
      </c>
      <c r="B29" s="28">
        <f>'Rep2'!B46</f>
        <v>1651</v>
      </c>
      <c r="D29" s="29" t="s">
        <v>54</v>
      </c>
      <c r="E29" s="29">
        <f>'Rep2'!J46</f>
        <v>296</v>
      </c>
      <c r="F29" s="31"/>
      <c r="G29" s="29" t="s">
        <v>54</v>
      </c>
      <c r="H29" s="29">
        <f>B29/B7</f>
        <v>13.068601583113457</v>
      </c>
      <c r="J29" s="29" t="s">
        <v>54</v>
      </c>
      <c r="K29" s="29">
        <f>E29/B7</f>
        <v>2.3430079155672825</v>
      </c>
    </row>
    <row r="30" spans="1:11" ht="22" x14ac:dyDescent="0.25">
      <c r="A30" s="29" t="s">
        <v>55</v>
      </c>
      <c r="B30" s="28">
        <f>'Rep2'!B47</f>
        <v>1539</v>
      </c>
      <c r="D30" s="29" t="s">
        <v>55</v>
      </c>
      <c r="E30" s="29">
        <f>'Rep2'!J47</f>
        <v>300</v>
      </c>
      <c r="G30" s="29" t="s">
        <v>55</v>
      </c>
      <c r="H30" s="29">
        <f>B30/B7</f>
        <v>12.182058047493404</v>
      </c>
      <c r="J30" s="29" t="s">
        <v>55</v>
      </c>
      <c r="K30" s="29">
        <f>E30/B7</f>
        <v>2.3746701846965701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CBA0-1497-164B-BF0B-C102EAAE912D}">
  <dimension ref="A1:S48"/>
  <sheetViews>
    <sheetView topLeftCell="A4" workbookViewId="0">
      <selection activeCell="T12" sqref="T12"/>
    </sheetView>
  </sheetViews>
  <sheetFormatPr baseColWidth="10" defaultRowHeight="15" x14ac:dyDescent="0.2"/>
  <cols>
    <col min="1" max="1" width="12.5" customWidth="1"/>
    <col min="2" max="2" width="8.83203125" customWidth="1"/>
    <col min="3" max="3" width="9.5" bestFit="1" customWidth="1"/>
    <col min="4" max="4" width="8.83203125" customWidth="1"/>
    <col min="5" max="7" width="9.5" bestFit="1" customWidth="1"/>
    <col min="8" max="8" width="8.83203125" customWidth="1"/>
    <col min="9" max="9" width="15" customWidth="1"/>
    <col min="10" max="10" width="8.83203125" customWidth="1"/>
    <col min="11" max="11" width="9.5" bestFit="1" customWidth="1"/>
    <col min="12" max="12" width="8.83203125" customWidth="1"/>
    <col min="13" max="15" width="9.5" bestFit="1" customWidth="1"/>
    <col min="16" max="256" width="8.83203125" customWidth="1"/>
    <col min="257" max="257" width="12.5" customWidth="1"/>
    <col min="258" max="258" width="8.83203125" customWidth="1"/>
    <col min="259" max="259" width="9.5" bestFit="1" customWidth="1"/>
    <col min="260" max="260" width="8.83203125" customWidth="1"/>
    <col min="261" max="263" width="9.5" bestFit="1" customWidth="1"/>
    <col min="264" max="264" width="8.83203125" customWidth="1"/>
    <col min="265" max="265" width="15" customWidth="1"/>
    <col min="266" max="266" width="8.83203125" customWidth="1"/>
    <col min="267" max="267" width="9.5" bestFit="1" customWidth="1"/>
    <col min="268" max="268" width="8.83203125" customWidth="1"/>
    <col min="269" max="271" width="9.5" bestFit="1" customWidth="1"/>
    <col min="272" max="512" width="8.83203125" customWidth="1"/>
    <col min="513" max="513" width="12.5" customWidth="1"/>
    <col min="514" max="514" width="8.83203125" customWidth="1"/>
    <col min="515" max="515" width="9.5" bestFit="1" customWidth="1"/>
    <col min="516" max="516" width="8.83203125" customWidth="1"/>
    <col min="517" max="519" width="9.5" bestFit="1" customWidth="1"/>
    <col min="520" max="520" width="8.83203125" customWidth="1"/>
    <col min="521" max="521" width="15" customWidth="1"/>
    <col min="522" max="522" width="8.83203125" customWidth="1"/>
    <col min="523" max="523" width="9.5" bestFit="1" customWidth="1"/>
    <col min="524" max="524" width="8.83203125" customWidth="1"/>
    <col min="525" max="527" width="9.5" bestFit="1" customWidth="1"/>
    <col min="528" max="768" width="8.83203125" customWidth="1"/>
    <col min="769" max="769" width="12.5" customWidth="1"/>
    <col min="770" max="770" width="8.83203125" customWidth="1"/>
    <col min="771" max="771" width="9.5" bestFit="1" customWidth="1"/>
    <col min="772" max="772" width="8.83203125" customWidth="1"/>
    <col min="773" max="775" width="9.5" bestFit="1" customWidth="1"/>
    <col min="776" max="776" width="8.83203125" customWidth="1"/>
    <col min="777" max="777" width="15" customWidth="1"/>
    <col min="778" max="778" width="8.83203125" customWidth="1"/>
    <col min="779" max="779" width="9.5" bestFit="1" customWidth="1"/>
    <col min="780" max="780" width="8.83203125" customWidth="1"/>
    <col min="781" max="783" width="9.5" bestFit="1" customWidth="1"/>
    <col min="784" max="1024" width="8.83203125" customWidth="1"/>
    <col min="1025" max="1025" width="12.5" customWidth="1"/>
    <col min="1026" max="1026" width="8.83203125" customWidth="1"/>
    <col min="1027" max="1027" width="9.5" bestFit="1" customWidth="1"/>
    <col min="1028" max="1028" width="8.83203125" customWidth="1"/>
    <col min="1029" max="1031" width="9.5" bestFit="1" customWidth="1"/>
    <col min="1032" max="1032" width="8.83203125" customWidth="1"/>
    <col min="1033" max="1033" width="15" customWidth="1"/>
    <col min="1034" max="1034" width="8.83203125" customWidth="1"/>
    <col min="1035" max="1035" width="9.5" bestFit="1" customWidth="1"/>
    <col min="1036" max="1036" width="8.83203125" customWidth="1"/>
    <col min="1037" max="1039" width="9.5" bestFit="1" customWidth="1"/>
    <col min="1040" max="1280" width="8.83203125" customWidth="1"/>
    <col min="1281" max="1281" width="12.5" customWidth="1"/>
    <col min="1282" max="1282" width="8.83203125" customWidth="1"/>
    <col min="1283" max="1283" width="9.5" bestFit="1" customWidth="1"/>
    <col min="1284" max="1284" width="8.83203125" customWidth="1"/>
    <col min="1285" max="1287" width="9.5" bestFit="1" customWidth="1"/>
    <col min="1288" max="1288" width="8.83203125" customWidth="1"/>
    <col min="1289" max="1289" width="15" customWidth="1"/>
    <col min="1290" max="1290" width="8.83203125" customWidth="1"/>
    <col min="1291" max="1291" width="9.5" bestFit="1" customWidth="1"/>
    <col min="1292" max="1292" width="8.83203125" customWidth="1"/>
    <col min="1293" max="1295" width="9.5" bestFit="1" customWidth="1"/>
    <col min="1296" max="1536" width="8.83203125" customWidth="1"/>
    <col min="1537" max="1537" width="12.5" customWidth="1"/>
    <col min="1538" max="1538" width="8.83203125" customWidth="1"/>
    <col min="1539" max="1539" width="9.5" bestFit="1" customWidth="1"/>
    <col min="1540" max="1540" width="8.83203125" customWidth="1"/>
    <col min="1541" max="1543" width="9.5" bestFit="1" customWidth="1"/>
    <col min="1544" max="1544" width="8.83203125" customWidth="1"/>
    <col min="1545" max="1545" width="15" customWidth="1"/>
    <col min="1546" max="1546" width="8.83203125" customWidth="1"/>
    <col min="1547" max="1547" width="9.5" bestFit="1" customWidth="1"/>
    <col min="1548" max="1548" width="8.83203125" customWidth="1"/>
    <col min="1549" max="1551" width="9.5" bestFit="1" customWidth="1"/>
    <col min="1552" max="1792" width="8.83203125" customWidth="1"/>
    <col min="1793" max="1793" width="12.5" customWidth="1"/>
    <col min="1794" max="1794" width="8.83203125" customWidth="1"/>
    <col min="1795" max="1795" width="9.5" bestFit="1" customWidth="1"/>
    <col min="1796" max="1796" width="8.83203125" customWidth="1"/>
    <col min="1797" max="1799" width="9.5" bestFit="1" customWidth="1"/>
    <col min="1800" max="1800" width="8.83203125" customWidth="1"/>
    <col min="1801" max="1801" width="15" customWidth="1"/>
    <col min="1802" max="1802" width="8.83203125" customWidth="1"/>
    <col min="1803" max="1803" width="9.5" bestFit="1" customWidth="1"/>
    <col min="1804" max="1804" width="8.83203125" customWidth="1"/>
    <col min="1805" max="1807" width="9.5" bestFit="1" customWidth="1"/>
    <col min="1808" max="2048" width="8.83203125" customWidth="1"/>
    <col min="2049" max="2049" width="12.5" customWidth="1"/>
    <col min="2050" max="2050" width="8.83203125" customWidth="1"/>
    <col min="2051" max="2051" width="9.5" bestFit="1" customWidth="1"/>
    <col min="2052" max="2052" width="8.83203125" customWidth="1"/>
    <col min="2053" max="2055" width="9.5" bestFit="1" customWidth="1"/>
    <col min="2056" max="2056" width="8.83203125" customWidth="1"/>
    <col min="2057" max="2057" width="15" customWidth="1"/>
    <col min="2058" max="2058" width="8.83203125" customWidth="1"/>
    <col min="2059" max="2059" width="9.5" bestFit="1" customWidth="1"/>
    <col min="2060" max="2060" width="8.83203125" customWidth="1"/>
    <col min="2061" max="2063" width="9.5" bestFit="1" customWidth="1"/>
    <col min="2064" max="2304" width="8.83203125" customWidth="1"/>
    <col min="2305" max="2305" width="12.5" customWidth="1"/>
    <col min="2306" max="2306" width="8.83203125" customWidth="1"/>
    <col min="2307" max="2307" width="9.5" bestFit="1" customWidth="1"/>
    <col min="2308" max="2308" width="8.83203125" customWidth="1"/>
    <col min="2309" max="2311" width="9.5" bestFit="1" customWidth="1"/>
    <col min="2312" max="2312" width="8.83203125" customWidth="1"/>
    <col min="2313" max="2313" width="15" customWidth="1"/>
    <col min="2314" max="2314" width="8.83203125" customWidth="1"/>
    <col min="2315" max="2315" width="9.5" bestFit="1" customWidth="1"/>
    <col min="2316" max="2316" width="8.83203125" customWidth="1"/>
    <col min="2317" max="2319" width="9.5" bestFit="1" customWidth="1"/>
    <col min="2320" max="2560" width="8.83203125" customWidth="1"/>
    <col min="2561" max="2561" width="12.5" customWidth="1"/>
    <col min="2562" max="2562" width="8.83203125" customWidth="1"/>
    <col min="2563" max="2563" width="9.5" bestFit="1" customWidth="1"/>
    <col min="2564" max="2564" width="8.83203125" customWidth="1"/>
    <col min="2565" max="2567" width="9.5" bestFit="1" customWidth="1"/>
    <col min="2568" max="2568" width="8.83203125" customWidth="1"/>
    <col min="2569" max="2569" width="15" customWidth="1"/>
    <col min="2570" max="2570" width="8.83203125" customWidth="1"/>
    <col min="2571" max="2571" width="9.5" bestFit="1" customWidth="1"/>
    <col min="2572" max="2572" width="8.83203125" customWidth="1"/>
    <col min="2573" max="2575" width="9.5" bestFit="1" customWidth="1"/>
    <col min="2576" max="2816" width="8.83203125" customWidth="1"/>
    <col min="2817" max="2817" width="12.5" customWidth="1"/>
    <col min="2818" max="2818" width="8.83203125" customWidth="1"/>
    <col min="2819" max="2819" width="9.5" bestFit="1" customWidth="1"/>
    <col min="2820" max="2820" width="8.83203125" customWidth="1"/>
    <col min="2821" max="2823" width="9.5" bestFit="1" customWidth="1"/>
    <col min="2824" max="2824" width="8.83203125" customWidth="1"/>
    <col min="2825" max="2825" width="15" customWidth="1"/>
    <col min="2826" max="2826" width="8.83203125" customWidth="1"/>
    <col min="2827" max="2827" width="9.5" bestFit="1" customWidth="1"/>
    <col min="2828" max="2828" width="8.83203125" customWidth="1"/>
    <col min="2829" max="2831" width="9.5" bestFit="1" customWidth="1"/>
    <col min="2832" max="3072" width="8.83203125" customWidth="1"/>
    <col min="3073" max="3073" width="12.5" customWidth="1"/>
    <col min="3074" max="3074" width="8.83203125" customWidth="1"/>
    <col min="3075" max="3075" width="9.5" bestFit="1" customWidth="1"/>
    <col min="3076" max="3076" width="8.83203125" customWidth="1"/>
    <col min="3077" max="3079" width="9.5" bestFit="1" customWidth="1"/>
    <col min="3080" max="3080" width="8.83203125" customWidth="1"/>
    <col min="3081" max="3081" width="15" customWidth="1"/>
    <col min="3082" max="3082" width="8.83203125" customWidth="1"/>
    <col min="3083" max="3083" width="9.5" bestFit="1" customWidth="1"/>
    <col min="3084" max="3084" width="8.83203125" customWidth="1"/>
    <col min="3085" max="3087" width="9.5" bestFit="1" customWidth="1"/>
    <col min="3088" max="3328" width="8.83203125" customWidth="1"/>
    <col min="3329" max="3329" width="12.5" customWidth="1"/>
    <col min="3330" max="3330" width="8.83203125" customWidth="1"/>
    <col min="3331" max="3331" width="9.5" bestFit="1" customWidth="1"/>
    <col min="3332" max="3332" width="8.83203125" customWidth="1"/>
    <col min="3333" max="3335" width="9.5" bestFit="1" customWidth="1"/>
    <col min="3336" max="3336" width="8.83203125" customWidth="1"/>
    <col min="3337" max="3337" width="15" customWidth="1"/>
    <col min="3338" max="3338" width="8.83203125" customWidth="1"/>
    <col min="3339" max="3339" width="9.5" bestFit="1" customWidth="1"/>
    <col min="3340" max="3340" width="8.83203125" customWidth="1"/>
    <col min="3341" max="3343" width="9.5" bestFit="1" customWidth="1"/>
    <col min="3344" max="3584" width="8.83203125" customWidth="1"/>
    <col min="3585" max="3585" width="12.5" customWidth="1"/>
    <col min="3586" max="3586" width="8.83203125" customWidth="1"/>
    <col min="3587" max="3587" width="9.5" bestFit="1" customWidth="1"/>
    <col min="3588" max="3588" width="8.83203125" customWidth="1"/>
    <col min="3589" max="3591" width="9.5" bestFit="1" customWidth="1"/>
    <col min="3592" max="3592" width="8.83203125" customWidth="1"/>
    <col min="3593" max="3593" width="15" customWidth="1"/>
    <col min="3594" max="3594" width="8.83203125" customWidth="1"/>
    <col min="3595" max="3595" width="9.5" bestFit="1" customWidth="1"/>
    <col min="3596" max="3596" width="8.83203125" customWidth="1"/>
    <col min="3597" max="3599" width="9.5" bestFit="1" customWidth="1"/>
    <col min="3600" max="3840" width="8.83203125" customWidth="1"/>
    <col min="3841" max="3841" width="12.5" customWidth="1"/>
    <col min="3842" max="3842" width="8.83203125" customWidth="1"/>
    <col min="3843" max="3843" width="9.5" bestFit="1" customWidth="1"/>
    <col min="3844" max="3844" width="8.83203125" customWidth="1"/>
    <col min="3845" max="3847" width="9.5" bestFit="1" customWidth="1"/>
    <col min="3848" max="3848" width="8.83203125" customWidth="1"/>
    <col min="3849" max="3849" width="15" customWidth="1"/>
    <col min="3850" max="3850" width="8.83203125" customWidth="1"/>
    <col min="3851" max="3851" width="9.5" bestFit="1" customWidth="1"/>
    <col min="3852" max="3852" width="8.83203125" customWidth="1"/>
    <col min="3853" max="3855" width="9.5" bestFit="1" customWidth="1"/>
    <col min="3856" max="4096" width="8.83203125" customWidth="1"/>
    <col min="4097" max="4097" width="12.5" customWidth="1"/>
    <col min="4098" max="4098" width="8.83203125" customWidth="1"/>
    <col min="4099" max="4099" width="9.5" bestFit="1" customWidth="1"/>
    <col min="4100" max="4100" width="8.83203125" customWidth="1"/>
    <col min="4101" max="4103" width="9.5" bestFit="1" customWidth="1"/>
    <col min="4104" max="4104" width="8.83203125" customWidth="1"/>
    <col min="4105" max="4105" width="15" customWidth="1"/>
    <col min="4106" max="4106" width="8.83203125" customWidth="1"/>
    <col min="4107" max="4107" width="9.5" bestFit="1" customWidth="1"/>
    <col min="4108" max="4108" width="8.83203125" customWidth="1"/>
    <col min="4109" max="4111" width="9.5" bestFit="1" customWidth="1"/>
    <col min="4112" max="4352" width="8.83203125" customWidth="1"/>
    <col min="4353" max="4353" width="12.5" customWidth="1"/>
    <col min="4354" max="4354" width="8.83203125" customWidth="1"/>
    <col min="4355" max="4355" width="9.5" bestFit="1" customWidth="1"/>
    <col min="4356" max="4356" width="8.83203125" customWidth="1"/>
    <col min="4357" max="4359" width="9.5" bestFit="1" customWidth="1"/>
    <col min="4360" max="4360" width="8.83203125" customWidth="1"/>
    <col min="4361" max="4361" width="15" customWidth="1"/>
    <col min="4362" max="4362" width="8.83203125" customWidth="1"/>
    <col min="4363" max="4363" width="9.5" bestFit="1" customWidth="1"/>
    <col min="4364" max="4364" width="8.83203125" customWidth="1"/>
    <col min="4365" max="4367" width="9.5" bestFit="1" customWidth="1"/>
    <col min="4368" max="4608" width="8.83203125" customWidth="1"/>
    <col min="4609" max="4609" width="12.5" customWidth="1"/>
    <col min="4610" max="4610" width="8.83203125" customWidth="1"/>
    <col min="4611" max="4611" width="9.5" bestFit="1" customWidth="1"/>
    <col min="4612" max="4612" width="8.83203125" customWidth="1"/>
    <col min="4613" max="4615" width="9.5" bestFit="1" customWidth="1"/>
    <col min="4616" max="4616" width="8.83203125" customWidth="1"/>
    <col min="4617" max="4617" width="15" customWidth="1"/>
    <col min="4618" max="4618" width="8.83203125" customWidth="1"/>
    <col min="4619" max="4619" width="9.5" bestFit="1" customWidth="1"/>
    <col min="4620" max="4620" width="8.83203125" customWidth="1"/>
    <col min="4621" max="4623" width="9.5" bestFit="1" customWidth="1"/>
    <col min="4624" max="4864" width="8.83203125" customWidth="1"/>
    <col min="4865" max="4865" width="12.5" customWidth="1"/>
    <col min="4866" max="4866" width="8.83203125" customWidth="1"/>
    <col min="4867" max="4867" width="9.5" bestFit="1" customWidth="1"/>
    <col min="4868" max="4868" width="8.83203125" customWidth="1"/>
    <col min="4869" max="4871" width="9.5" bestFit="1" customWidth="1"/>
    <col min="4872" max="4872" width="8.83203125" customWidth="1"/>
    <col min="4873" max="4873" width="15" customWidth="1"/>
    <col min="4874" max="4874" width="8.83203125" customWidth="1"/>
    <col min="4875" max="4875" width="9.5" bestFit="1" customWidth="1"/>
    <col min="4876" max="4876" width="8.83203125" customWidth="1"/>
    <col min="4877" max="4879" width="9.5" bestFit="1" customWidth="1"/>
    <col min="4880" max="5120" width="8.83203125" customWidth="1"/>
    <col min="5121" max="5121" width="12.5" customWidth="1"/>
    <col min="5122" max="5122" width="8.83203125" customWidth="1"/>
    <col min="5123" max="5123" width="9.5" bestFit="1" customWidth="1"/>
    <col min="5124" max="5124" width="8.83203125" customWidth="1"/>
    <col min="5125" max="5127" width="9.5" bestFit="1" customWidth="1"/>
    <col min="5128" max="5128" width="8.83203125" customWidth="1"/>
    <col min="5129" max="5129" width="15" customWidth="1"/>
    <col min="5130" max="5130" width="8.83203125" customWidth="1"/>
    <col min="5131" max="5131" width="9.5" bestFit="1" customWidth="1"/>
    <col min="5132" max="5132" width="8.83203125" customWidth="1"/>
    <col min="5133" max="5135" width="9.5" bestFit="1" customWidth="1"/>
    <col min="5136" max="5376" width="8.83203125" customWidth="1"/>
    <col min="5377" max="5377" width="12.5" customWidth="1"/>
    <col min="5378" max="5378" width="8.83203125" customWidth="1"/>
    <col min="5379" max="5379" width="9.5" bestFit="1" customWidth="1"/>
    <col min="5380" max="5380" width="8.83203125" customWidth="1"/>
    <col min="5381" max="5383" width="9.5" bestFit="1" customWidth="1"/>
    <col min="5384" max="5384" width="8.83203125" customWidth="1"/>
    <col min="5385" max="5385" width="15" customWidth="1"/>
    <col min="5386" max="5386" width="8.83203125" customWidth="1"/>
    <col min="5387" max="5387" width="9.5" bestFit="1" customWidth="1"/>
    <col min="5388" max="5388" width="8.83203125" customWidth="1"/>
    <col min="5389" max="5391" width="9.5" bestFit="1" customWidth="1"/>
    <col min="5392" max="5632" width="8.83203125" customWidth="1"/>
    <col min="5633" max="5633" width="12.5" customWidth="1"/>
    <col min="5634" max="5634" width="8.83203125" customWidth="1"/>
    <col min="5635" max="5635" width="9.5" bestFit="1" customWidth="1"/>
    <col min="5636" max="5636" width="8.83203125" customWidth="1"/>
    <col min="5637" max="5639" width="9.5" bestFit="1" customWidth="1"/>
    <col min="5640" max="5640" width="8.83203125" customWidth="1"/>
    <col min="5641" max="5641" width="15" customWidth="1"/>
    <col min="5642" max="5642" width="8.83203125" customWidth="1"/>
    <col min="5643" max="5643" width="9.5" bestFit="1" customWidth="1"/>
    <col min="5644" max="5644" width="8.83203125" customWidth="1"/>
    <col min="5645" max="5647" width="9.5" bestFit="1" customWidth="1"/>
    <col min="5648" max="5888" width="8.83203125" customWidth="1"/>
    <col min="5889" max="5889" width="12.5" customWidth="1"/>
    <col min="5890" max="5890" width="8.83203125" customWidth="1"/>
    <col min="5891" max="5891" width="9.5" bestFit="1" customWidth="1"/>
    <col min="5892" max="5892" width="8.83203125" customWidth="1"/>
    <col min="5893" max="5895" width="9.5" bestFit="1" customWidth="1"/>
    <col min="5896" max="5896" width="8.83203125" customWidth="1"/>
    <col min="5897" max="5897" width="15" customWidth="1"/>
    <col min="5898" max="5898" width="8.83203125" customWidth="1"/>
    <col min="5899" max="5899" width="9.5" bestFit="1" customWidth="1"/>
    <col min="5900" max="5900" width="8.83203125" customWidth="1"/>
    <col min="5901" max="5903" width="9.5" bestFit="1" customWidth="1"/>
    <col min="5904" max="6144" width="8.83203125" customWidth="1"/>
    <col min="6145" max="6145" width="12.5" customWidth="1"/>
    <col min="6146" max="6146" width="8.83203125" customWidth="1"/>
    <col min="6147" max="6147" width="9.5" bestFit="1" customWidth="1"/>
    <col min="6148" max="6148" width="8.83203125" customWidth="1"/>
    <col min="6149" max="6151" width="9.5" bestFit="1" customWidth="1"/>
    <col min="6152" max="6152" width="8.83203125" customWidth="1"/>
    <col min="6153" max="6153" width="15" customWidth="1"/>
    <col min="6154" max="6154" width="8.83203125" customWidth="1"/>
    <col min="6155" max="6155" width="9.5" bestFit="1" customWidth="1"/>
    <col min="6156" max="6156" width="8.83203125" customWidth="1"/>
    <col min="6157" max="6159" width="9.5" bestFit="1" customWidth="1"/>
    <col min="6160" max="6400" width="8.83203125" customWidth="1"/>
    <col min="6401" max="6401" width="12.5" customWidth="1"/>
    <col min="6402" max="6402" width="8.83203125" customWidth="1"/>
    <col min="6403" max="6403" width="9.5" bestFit="1" customWidth="1"/>
    <col min="6404" max="6404" width="8.83203125" customWidth="1"/>
    <col min="6405" max="6407" width="9.5" bestFit="1" customWidth="1"/>
    <col min="6408" max="6408" width="8.83203125" customWidth="1"/>
    <col min="6409" max="6409" width="15" customWidth="1"/>
    <col min="6410" max="6410" width="8.83203125" customWidth="1"/>
    <col min="6411" max="6411" width="9.5" bestFit="1" customWidth="1"/>
    <col min="6412" max="6412" width="8.83203125" customWidth="1"/>
    <col min="6413" max="6415" width="9.5" bestFit="1" customWidth="1"/>
    <col min="6416" max="6656" width="8.83203125" customWidth="1"/>
    <col min="6657" max="6657" width="12.5" customWidth="1"/>
    <col min="6658" max="6658" width="8.83203125" customWidth="1"/>
    <col min="6659" max="6659" width="9.5" bestFit="1" customWidth="1"/>
    <col min="6660" max="6660" width="8.83203125" customWidth="1"/>
    <col min="6661" max="6663" width="9.5" bestFit="1" customWidth="1"/>
    <col min="6664" max="6664" width="8.83203125" customWidth="1"/>
    <col min="6665" max="6665" width="15" customWidth="1"/>
    <col min="6666" max="6666" width="8.83203125" customWidth="1"/>
    <col min="6667" max="6667" width="9.5" bestFit="1" customWidth="1"/>
    <col min="6668" max="6668" width="8.83203125" customWidth="1"/>
    <col min="6669" max="6671" width="9.5" bestFit="1" customWidth="1"/>
    <col min="6672" max="6912" width="8.83203125" customWidth="1"/>
    <col min="6913" max="6913" width="12.5" customWidth="1"/>
    <col min="6914" max="6914" width="8.83203125" customWidth="1"/>
    <col min="6915" max="6915" width="9.5" bestFit="1" customWidth="1"/>
    <col min="6916" max="6916" width="8.83203125" customWidth="1"/>
    <col min="6917" max="6919" width="9.5" bestFit="1" customWidth="1"/>
    <col min="6920" max="6920" width="8.83203125" customWidth="1"/>
    <col min="6921" max="6921" width="15" customWidth="1"/>
    <col min="6922" max="6922" width="8.83203125" customWidth="1"/>
    <col min="6923" max="6923" width="9.5" bestFit="1" customWidth="1"/>
    <col min="6924" max="6924" width="8.83203125" customWidth="1"/>
    <col min="6925" max="6927" width="9.5" bestFit="1" customWidth="1"/>
    <col min="6928" max="7168" width="8.83203125" customWidth="1"/>
    <col min="7169" max="7169" width="12.5" customWidth="1"/>
    <col min="7170" max="7170" width="8.83203125" customWidth="1"/>
    <col min="7171" max="7171" width="9.5" bestFit="1" customWidth="1"/>
    <col min="7172" max="7172" width="8.83203125" customWidth="1"/>
    <col min="7173" max="7175" width="9.5" bestFit="1" customWidth="1"/>
    <col min="7176" max="7176" width="8.83203125" customWidth="1"/>
    <col min="7177" max="7177" width="15" customWidth="1"/>
    <col min="7178" max="7178" width="8.83203125" customWidth="1"/>
    <col min="7179" max="7179" width="9.5" bestFit="1" customWidth="1"/>
    <col min="7180" max="7180" width="8.83203125" customWidth="1"/>
    <col min="7181" max="7183" width="9.5" bestFit="1" customWidth="1"/>
    <col min="7184" max="7424" width="8.83203125" customWidth="1"/>
    <col min="7425" max="7425" width="12.5" customWidth="1"/>
    <col min="7426" max="7426" width="8.83203125" customWidth="1"/>
    <col min="7427" max="7427" width="9.5" bestFit="1" customWidth="1"/>
    <col min="7428" max="7428" width="8.83203125" customWidth="1"/>
    <col min="7429" max="7431" width="9.5" bestFit="1" customWidth="1"/>
    <col min="7432" max="7432" width="8.83203125" customWidth="1"/>
    <col min="7433" max="7433" width="15" customWidth="1"/>
    <col min="7434" max="7434" width="8.83203125" customWidth="1"/>
    <col min="7435" max="7435" width="9.5" bestFit="1" customWidth="1"/>
    <col min="7436" max="7436" width="8.83203125" customWidth="1"/>
    <col min="7437" max="7439" width="9.5" bestFit="1" customWidth="1"/>
    <col min="7440" max="7680" width="8.83203125" customWidth="1"/>
    <col min="7681" max="7681" width="12.5" customWidth="1"/>
    <col min="7682" max="7682" width="8.83203125" customWidth="1"/>
    <col min="7683" max="7683" width="9.5" bestFit="1" customWidth="1"/>
    <col min="7684" max="7684" width="8.83203125" customWidth="1"/>
    <col min="7685" max="7687" width="9.5" bestFit="1" customWidth="1"/>
    <col min="7688" max="7688" width="8.83203125" customWidth="1"/>
    <col min="7689" max="7689" width="15" customWidth="1"/>
    <col min="7690" max="7690" width="8.83203125" customWidth="1"/>
    <col min="7691" max="7691" width="9.5" bestFit="1" customWidth="1"/>
    <col min="7692" max="7692" width="8.83203125" customWidth="1"/>
    <col min="7693" max="7695" width="9.5" bestFit="1" customWidth="1"/>
    <col min="7696" max="7936" width="8.83203125" customWidth="1"/>
    <col min="7937" max="7937" width="12.5" customWidth="1"/>
    <col min="7938" max="7938" width="8.83203125" customWidth="1"/>
    <col min="7939" max="7939" width="9.5" bestFit="1" customWidth="1"/>
    <col min="7940" max="7940" width="8.83203125" customWidth="1"/>
    <col min="7941" max="7943" width="9.5" bestFit="1" customWidth="1"/>
    <col min="7944" max="7944" width="8.83203125" customWidth="1"/>
    <col min="7945" max="7945" width="15" customWidth="1"/>
    <col min="7946" max="7946" width="8.83203125" customWidth="1"/>
    <col min="7947" max="7947" width="9.5" bestFit="1" customWidth="1"/>
    <col min="7948" max="7948" width="8.83203125" customWidth="1"/>
    <col min="7949" max="7951" width="9.5" bestFit="1" customWidth="1"/>
    <col min="7952" max="8192" width="8.83203125" customWidth="1"/>
    <col min="8193" max="8193" width="12.5" customWidth="1"/>
    <col min="8194" max="8194" width="8.83203125" customWidth="1"/>
    <col min="8195" max="8195" width="9.5" bestFit="1" customWidth="1"/>
    <col min="8196" max="8196" width="8.83203125" customWidth="1"/>
    <col min="8197" max="8199" width="9.5" bestFit="1" customWidth="1"/>
    <col min="8200" max="8200" width="8.83203125" customWidth="1"/>
    <col min="8201" max="8201" width="15" customWidth="1"/>
    <col min="8202" max="8202" width="8.83203125" customWidth="1"/>
    <col min="8203" max="8203" width="9.5" bestFit="1" customWidth="1"/>
    <col min="8204" max="8204" width="8.83203125" customWidth="1"/>
    <col min="8205" max="8207" width="9.5" bestFit="1" customWidth="1"/>
    <col min="8208" max="8448" width="8.83203125" customWidth="1"/>
    <col min="8449" max="8449" width="12.5" customWidth="1"/>
    <col min="8450" max="8450" width="8.83203125" customWidth="1"/>
    <col min="8451" max="8451" width="9.5" bestFit="1" customWidth="1"/>
    <col min="8452" max="8452" width="8.83203125" customWidth="1"/>
    <col min="8453" max="8455" width="9.5" bestFit="1" customWidth="1"/>
    <col min="8456" max="8456" width="8.83203125" customWidth="1"/>
    <col min="8457" max="8457" width="15" customWidth="1"/>
    <col min="8458" max="8458" width="8.83203125" customWidth="1"/>
    <col min="8459" max="8459" width="9.5" bestFit="1" customWidth="1"/>
    <col min="8460" max="8460" width="8.83203125" customWidth="1"/>
    <col min="8461" max="8463" width="9.5" bestFit="1" customWidth="1"/>
    <col min="8464" max="8704" width="8.83203125" customWidth="1"/>
    <col min="8705" max="8705" width="12.5" customWidth="1"/>
    <col min="8706" max="8706" width="8.83203125" customWidth="1"/>
    <col min="8707" max="8707" width="9.5" bestFit="1" customWidth="1"/>
    <col min="8708" max="8708" width="8.83203125" customWidth="1"/>
    <col min="8709" max="8711" width="9.5" bestFit="1" customWidth="1"/>
    <col min="8712" max="8712" width="8.83203125" customWidth="1"/>
    <col min="8713" max="8713" width="15" customWidth="1"/>
    <col min="8714" max="8714" width="8.83203125" customWidth="1"/>
    <col min="8715" max="8715" width="9.5" bestFit="1" customWidth="1"/>
    <col min="8716" max="8716" width="8.83203125" customWidth="1"/>
    <col min="8717" max="8719" width="9.5" bestFit="1" customWidth="1"/>
    <col min="8720" max="8960" width="8.83203125" customWidth="1"/>
    <col min="8961" max="8961" width="12.5" customWidth="1"/>
    <col min="8962" max="8962" width="8.83203125" customWidth="1"/>
    <col min="8963" max="8963" width="9.5" bestFit="1" customWidth="1"/>
    <col min="8964" max="8964" width="8.83203125" customWidth="1"/>
    <col min="8965" max="8967" width="9.5" bestFit="1" customWidth="1"/>
    <col min="8968" max="8968" width="8.83203125" customWidth="1"/>
    <col min="8969" max="8969" width="15" customWidth="1"/>
    <col min="8970" max="8970" width="8.83203125" customWidth="1"/>
    <col min="8971" max="8971" width="9.5" bestFit="1" customWidth="1"/>
    <col min="8972" max="8972" width="8.83203125" customWidth="1"/>
    <col min="8973" max="8975" width="9.5" bestFit="1" customWidth="1"/>
    <col min="8976" max="9216" width="8.83203125" customWidth="1"/>
    <col min="9217" max="9217" width="12.5" customWidth="1"/>
    <col min="9218" max="9218" width="8.83203125" customWidth="1"/>
    <col min="9219" max="9219" width="9.5" bestFit="1" customWidth="1"/>
    <col min="9220" max="9220" width="8.83203125" customWidth="1"/>
    <col min="9221" max="9223" width="9.5" bestFit="1" customWidth="1"/>
    <col min="9224" max="9224" width="8.83203125" customWidth="1"/>
    <col min="9225" max="9225" width="15" customWidth="1"/>
    <col min="9226" max="9226" width="8.83203125" customWidth="1"/>
    <col min="9227" max="9227" width="9.5" bestFit="1" customWidth="1"/>
    <col min="9228" max="9228" width="8.83203125" customWidth="1"/>
    <col min="9229" max="9231" width="9.5" bestFit="1" customWidth="1"/>
    <col min="9232" max="9472" width="8.83203125" customWidth="1"/>
    <col min="9473" max="9473" width="12.5" customWidth="1"/>
    <col min="9474" max="9474" width="8.83203125" customWidth="1"/>
    <col min="9475" max="9475" width="9.5" bestFit="1" customWidth="1"/>
    <col min="9476" max="9476" width="8.83203125" customWidth="1"/>
    <col min="9477" max="9479" width="9.5" bestFit="1" customWidth="1"/>
    <col min="9480" max="9480" width="8.83203125" customWidth="1"/>
    <col min="9481" max="9481" width="15" customWidth="1"/>
    <col min="9482" max="9482" width="8.83203125" customWidth="1"/>
    <col min="9483" max="9483" width="9.5" bestFit="1" customWidth="1"/>
    <col min="9484" max="9484" width="8.83203125" customWidth="1"/>
    <col min="9485" max="9487" width="9.5" bestFit="1" customWidth="1"/>
    <col min="9488" max="9728" width="8.83203125" customWidth="1"/>
    <col min="9729" max="9729" width="12.5" customWidth="1"/>
    <col min="9730" max="9730" width="8.83203125" customWidth="1"/>
    <col min="9731" max="9731" width="9.5" bestFit="1" customWidth="1"/>
    <col min="9732" max="9732" width="8.83203125" customWidth="1"/>
    <col min="9733" max="9735" width="9.5" bestFit="1" customWidth="1"/>
    <col min="9736" max="9736" width="8.83203125" customWidth="1"/>
    <col min="9737" max="9737" width="15" customWidth="1"/>
    <col min="9738" max="9738" width="8.83203125" customWidth="1"/>
    <col min="9739" max="9739" width="9.5" bestFit="1" customWidth="1"/>
    <col min="9740" max="9740" width="8.83203125" customWidth="1"/>
    <col min="9741" max="9743" width="9.5" bestFit="1" customWidth="1"/>
    <col min="9744" max="9984" width="8.83203125" customWidth="1"/>
    <col min="9985" max="9985" width="12.5" customWidth="1"/>
    <col min="9986" max="9986" width="8.83203125" customWidth="1"/>
    <col min="9987" max="9987" width="9.5" bestFit="1" customWidth="1"/>
    <col min="9988" max="9988" width="8.83203125" customWidth="1"/>
    <col min="9989" max="9991" width="9.5" bestFit="1" customWidth="1"/>
    <col min="9992" max="9992" width="8.83203125" customWidth="1"/>
    <col min="9993" max="9993" width="15" customWidth="1"/>
    <col min="9994" max="9994" width="8.83203125" customWidth="1"/>
    <col min="9995" max="9995" width="9.5" bestFit="1" customWidth="1"/>
    <col min="9996" max="9996" width="8.83203125" customWidth="1"/>
    <col min="9997" max="9999" width="9.5" bestFit="1" customWidth="1"/>
    <col min="10000" max="10240" width="8.83203125" customWidth="1"/>
    <col min="10241" max="10241" width="12.5" customWidth="1"/>
    <col min="10242" max="10242" width="8.83203125" customWidth="1"/>
    <col min="10243" max="10243" width="9.5" bestFit="1" customWidth="1"/>
    <col min="10244" max="10244" width="8.83203125" customWidth="1"/>
    <col min="10245" max="10247" width="9.5" bestFit="1" customWidth="1"/>
    <col min="10248" max="10248" width="8.83203125" customWidth="1"/>
    <col min="10249" max="10249" width="15" customWidth="1"/>
    <col min="10250" max="10250" width="8.83203125" customWidth="1"/>
    <col min="10251" max="10251" width="9.5" bestFit="1" customWidth="1"/>
    <col min="10252" max="10252" width="8.83203125" customWidth="1"/>
    <col min="10253" max="10255" width="9.5" bestFit="1" customWidth="1"/>
    <col min="10256" max="10496" width="8.83203125" customWidth="1"/>
    <col min="10497" max="10497" width="12.5" customWidth="1"/>
    <col min="10498" max="10498" width="8.83203125" customWidth="1"/>
    <col min="10499" max="10499" width="9.5" bestFit="1" customWidth="1"/>
    <col min="10500" max="10500" width="8.83203125" customWidth="1"/>
    <col min="10501" max="10503" width="9.5" bestFit="1" customWidth="1"/>
    <col min="10504" max="10504" width="8.83203125" customWidth="1"/>
    <col min="10505" max="10505" width="15" customWidth="1"/>
    <col min="10506" max="10506" width="8.83203125" customWidth="1"/>
    <col min="10507" max="10507" width="9.5" bestFit="1" customWidth="1"/>
    <col min="10508" max="10508" width="8.83203125" customWidth="1"/>
    <col min="10509" max="10511" width="9.5" bestFit="1" customWidth="1"/>
    <col min="10512" max="10752" width="8.83203125" customWidth="1"/>
    <col min="10753" max="10753" width="12.5" customWidth="1"/>
    <col min="10754" max="10754" width="8.83203125" customWidth="1"/>
    <col min="10755" max="10755" width="9.5" bestFit="1" customWidth="1"/>
    <col min="10756" max="10756" width="8.83203125" customWidth="1"/>
    <col min="10757" max="10759" width="9.5" bestFit="1" customWidth="1"/>
    <col min="10760" max="10760" width="8.83203125" customWidth="1"/>
    <col min="10761" max="10761" width="15" customWidth="1"/>
    <col min="10762" max="10762" width="8.83203125" customWidth="1"/>
    <col min="10763" max="10763" width="9.5" bestFit="1" customWidth="1"/>
    <col min="10764" max="10764" width="8.83203125" customWidth="1"/>
    <col min="10765" max="10767" width="9.5" bestFit="1" customWidth="1"/>
    <col min="10768" max="11008" width="8.83203125" customWidth="1"/>
    <col min="11009" max="11009" width="12.5" customWidth="1"/>
    <col min="11010" max="11010" width="8.83203125" customWidth="1"/>
    <col min="11011" max="11011" width="9.5" bestFit="1" customWidth="1"/>
    <col min="11012" max="11012" width="8.83203125" customWidth="1"/>
    <col min="11013" max="11015" width="9.5" bestFit="1" customWidth="1"/>
    <col min="11016" max="11016" width="8.83203125" customWidth="1"/>
    <col min="11017" max="11017" width="15" customWidth="1"/>
    <col min="11018" max="11018" width="8.83203125" customWidth="1"/>
    <col min="11019" max="11019" width="9.5" bestFit="1" customWidth="1"/>
    <col min="11020" max="11020" width="8.83203125" customWidth="1"/>
    <col min="11021" max="11023" width="9.5" bestFit="1" customWidth="1"/>
    <col min="11024" max="11264" width="8.83203125" customWidth="1"/>
    <col min="11265" max="11265" width="12.5" customWidth="1"/>
    <col min="11266" max="11266" width="8.83203125" customWidth="1"/>
    <col min="11267" max="11267" width="9.5" bestFit="1" customWidth="1"/>
    <col min="11268" max="11268" width="8.83203125" customWidth="1"/>
    <col min="11269" max="11271" width="9.5" bestFit="1" customWidth="1"/>
    <col min="11272" max="11272" width="8.83203125" customWidth="1"/>
    <col min="11273" max="11273" width="15" customWidth="1"/>
    <col min="11274" max="11274" width="8.83203125" customWidth="1"/>
    <col min="11275" max="11275" width="9.5" bestFit="1" customWidth="1"/>
    <col min="11276" max="11276" width="8.83203125" customWidth="1"/>
    <col min="11277" max="11279" width="9.5" bestFit="1" customWidth="1"/>
    <col min="11280" max="11520" width="8.83203125" customWidth="1"/>
    <col min="11521" max="11521" width="12.5" customWidth="1"/>
    <col min="11522" max="11522" width="8.83203125" customWidth="1"/>
    <col min="11523" max="11523" width="9.5" bestFit="1" customWidth="1"/>
    <col min="11524" max="11524" width="8.83203125" customWidth="1"/>
    <col min="11525" max="11527" width="9.5" bestFit="1" customWidth="1"/>
    <col min="11528" max="11528" width="8.83203125" customWidth="1"/>
    <col min="11529" max="11529" width="15" customWidth="1"/>
    <col min="11530" max="11530" width="8.83203125" customWidth="1"/>
    <col min="11531" max="11531" width="9.5" bestFit="1" customWidth="1"/>
    <col min="11532" max="11532" width="8.83203125" customWidth="1"/>
    <col min="11533" max="11535" width="9.5" bestFit="1" customWidth="1"/>
    <col min="11536" max="11776" width="8.83203125" customWidth="1"/>
    <col min="11777" max="11777" width="12.5" customWidth="1"/>
    <col min="11778" max="11778" width="8.83203125" customWidth="1"/>
    <col min="11779" max="11779" width="9.5" bestFit="1" customWidth="1"/>
    <col min="11780" max="11780" width="8.83203125" customWidth="1"/>
    <col min="11781" max="11783" width="9.5" bestFit="1" customWidth="1"/>
    <col min="11784" max="11784" width="8.83203125" customWidth="1"/>
    <col min="11785" max="11785" width="15" customWidth="1"/>
    <col min="11786" max="11786" width="8.83203125" customWidth="1"/>
    <col min="11787" max="11787" width="9.5" bestFit="1" customWidth="1"/>
    <col min="11788" max="11788" width="8.83203125" customWidth="1"/>
    <col min="11789" max="11791" width="9.5" bestFit="1" customWidth="1"/>
    <col min="11792" max="12032" width="8.83203125" customWidth="1"/>
    <col min="12033" max="12033" width="12.5" customWidth="1"/>
    <col min="12034" max="12034" width="8.83203125" customWidth="1"/>
    <col min="12035" max="12035" width="9.5" bestFit="1" customWidth="1"/>
    <col min="12036" max="12036" width="8.83203125" customWidth="1"/>
    <col min="12037" max="12039" width="9.5" bestFit="1" customWidth="1"/>
    <col min="12040" max="12040" width="8.83203125" customWidth="1"/>
    <col min="12041" max="12041" width="15" customWidth="1"/>
    <col min="12042" max="12042" width="8.83203125" customWidth="1"/>
    <col min="12043" max="12043" width="9.5" bestFit="1" customWidth="1"/>
    <col min="12044" max="12044" width="8.83203125" customWidth="1"/>
    <col min="12045" max="12047" width="9.5" bestFit="1" customWidth="1"/>
    <col min="12048" max="12288" width="8.83203125" customWidth="1"/>
    <col min="12289" max="12289" width="12.5" customWidth="1"/>
    <col min="12290" max="12290" width="8.83203125" customWidth="1"/>
    <col min="12291" max="12291" width="9.5" bestFit="1" customWidth="1"/>
    <col min="12292" max="12292" width="8.83203125" customWidth="1"/>
    <col min="12293" max="12295" width="9.5" bestFit="1" customWidth="1"/>
    <col min="12296" max="12296" width="8.83203125" customWidth="1"/>
    <col min="12297" max="12297" width="15" customWidth="1"/>
    <col min="12298" max="12298" width="8.83203125" customWidth="1"/>
    <col min="12299" max="12299" width="9.5" bestFit="1" customWidth="1"/>
    <col min="12300" max="12300" width="8.83203125" customWidth="1"/>
    <col min="12301" max="12303" width="9.5" bestFit="1" customWidth="1"/>
    <col min="12304" max="12544" width="8.83203125" customWidth="1"/>
    <col min="12545" max="12545" width="12.5" customWidth="1"/>
    <col min="12546" max="12546" width="8.83203125" customWidth="1"/>
    <col min="12547" max="12547" width="9.5" bestFit="1" customWidth="1"/>
    <col min="12548" max="12548" width="8.83203125" customWidth="1"/>
    <col min="12549" max="12551" width="9.5" bestFit="1" customWidth="1"/>
    <col min="12552" max="12552" width="8.83203125" customWidth="1"/>
    <col min="12553" max="12553" width="15" customWidth="1"/>
    <col min="12554" max="12554" width="8.83203125" customWidth="1"/>
    <col min="12555" max="12555" width="9.5" bestFit="1" customWidth="1"/>
    <col min="12556" max="12556" width="8.83203125" customWidth="1"/>
    <col min="12557" max="12559" width="9.5" bestFit="1" customWidth="1"/>
    <col min="12560" max="12800" width="8.83203125" customWidth="1"/>
    <col min="12801" max="12801" width="12.5" customWidth="1"/>
    <col min="12802" max="12802" width="8.83203125" customWidth="1"/>
    <col min="12803" max="12803" width="9.5" bestFit="1" customWidth="1"/>
    <col min="12804" max="12804" width="8.83203125" customWidth="1"/>
    <col min="12805" max="12807" width="9.5" bestFit="1" customWidth="1"/>
    <col min="12808" max="12808" width="8.83203125" customWidth="1"/>
    <col min="12809" max="12809" width="15" customWidth="1"/>
    <col min="12810" max="12810" width="8.83203125" customWidth="1"/>
    <col min="12811" max="12811" width="9.5" bestFit="1" customWidth="1"/>
    <col min="12812" max="12812" width="8.83203125" customWidth="1"/>
    <col min="12813" max="12815" width="9.5" bestFit="1" customWidth="1"/>
    <col min="12816" max="13056" width="8.83203125" customWidth="1"/>
    <col min="13057" max="13057" width="12.5" customWidth="1"/>
    <col min="13058" max="13058" width="8.83203125" customWidth="1"/>
    <col min="13059" max="13059" width="9.5" bestFit="1" customWidth="1"/>
    <col min="13060" max="13060" width="8.83203125" customWidth="1"/>
    <col min="13061" max="13063" width="9.5" bestFit="1" customWidth="1"/>
    <col min="13064" max="13064" width="8.83203125" customWidth="1"/>
    <col min="13065" max="13065" width="15" customWidth="1"/>
    <col min="13066" max="13066" width="8.83203125" customWidth="1"/>
    <col min="13067" max="13067" width="9.5" bestFit="1" customWidth="1"/>
    <col min="13068" max="13068" width="8.83203125" customWidth="1"/>
    <col min="13069" max="13071" width="9.5" bestFit="1" customWidth="1"/>
    <col min="13072" max="13312" width="8.83203125" customWidth="1"/>
    <col min="13313" max="13313" width="12.5" customWidth="1"/>
    <col min="13314" max="13314" width="8.83203125" customWidth="1"/>
    <col min="13315" max="13315" width="9.5" bestFit="1" customWidth="1"/>
    <col min="13316" max="13316" width="8.83203125" customWidth="1"/>
    <col min="13317" max="13319" width="9.5" bestFit="1" customWidth="1"/>
    <col min="13320" max="13320" width="8.83203125" customWidth="1"/>
    <col min="13321" max="13321" width="15" customWidth="1"/>
    <col min="13322" max="13322" width="8.83203125" customWidth="1"/>
    <col min="13323" max="13323" width="9.5" bestFit="1" customWidth="1"/>
    <col min="13324" max="13324" width="8.83203125" customWidth="1"/>
    <col min="13325" max="13327" width="9.5" bestFit="1" customWidth="1"/>
    <col min="13328" max="13568" width="8.83203125" customWidth="1"/>
    <col min="13569" max="13569" width="12.5" customWidth="1"/>
    <col min="13570" max="13570" width="8.83203125" customWidth="1"/>
    <col min="13571" max="13571" width="9.5" bestFit="1" customWidth="1"/>
    <col min="13572" max="13572" width="8.83203125" customWidth="1"/>
    <col min="13573" max="13575" width="9.5" bestFit="1" customWidth="1"/>
    <col min="13576" max="13576" width="8.83203125" customWidth="1"/>
    <col min="13577" max="13577" width="15" customWidth="1"/>
    <col min="13578" max="13578" width="8.83203125" customWidth="1"/>
    <col min="13579" max="13579" width="9.5" bestFit="1" customWidth="1"/>
    <col min="13580" max="13580" width="8.83203125" customWidth="1"/>
    <col min="13581" max="13583" width="9.5" bestFit="1" customWidth="1"/>
    <col min="13584" max="13824" width="8.83203125" customWidth="1"/>
    <col min="13825" max="13825" width="12.5" customWidth="1"/>
    <col min="13826" max="13826" width="8.83203125" customWidth="1"/>
    <col min="13827" max="13827" width="9.5" bestFit="1" customWidth="1"/>
    <col min="13828" max="13828" width="8.83203125" customWidth="1"/>
    <col min="13829" max="13831" width="9.5" bestFit="1" customWidth="1"/>
    <col min="13832" max="13832" width="8.83203125" customWidth="1"/>
    <col min="13833" max="13833" width="15" customWidth="1"/>
    <col min="13834" max="13834" width="8.83203125" customWidth="1"/>
    <col min="13835" max="13835" width="9.5" bestFit="1" customWidth="1"/>
    <col min="13836" max="13836" width="8.83203125" customWidth="1"/>
    <col min="13837" max="13839" width="9.5" bestFit="1" customWidth="1"/>
    <col min="13840" max="14080" width="8.83203125" customWidth="1"/>
    <col min="14081" max="14081" width="12.5" customWidth="1"/>
    <col min="14082" max="14082" width="8.83203125" customWidth="1"/>
    <col min="14083" max="14083" width="9.5" bestFit="1" customWidth="1"/>
    <col min="14084" max="14084" width="8.83203125" customWidth="1"/>
    <col min="14085" max="14087" width="9.5" bestFit="1" customWidth="1"/>
    <col min="14088" max="14088" width="8.83203125" customWidth="1"/>
    <col min="14089" max="14089" width="15" customWidth="1"/>
    <col min="14090" max="14090" width="8.83203125" customWidth="1"/>
    <col min="14091" max="14091" width="9.5" bestFit="1" customWidth="1"/>
    <col min="14092" max="14092" width="8.83203125" customWidth="1"/>
    <col min="14093" max="14095" width="9.5" bestFit="1" customWidth="1"/>
    <col min="14096" max="14336" width="8.83203125" customWidth="1"/>
    <col min="14337" max="14337" width="12.5" customWidth="1"/>
    <col min="14338" max="14338" width="8.83203125" customWidth="1"/>
    <col min="14339" max="14339" width="9.5" bestFit="1" customWidth="1"/>
    <col min="14340" max="14340" width="8.83203125" customWidth="1"/>
    <col min="14341" max="14343" width="9.5" bestFit="1" customWidth="1"/>
    <col min="14344" max="14344" width="8.83203125" customWidth="1"/>
    <col min="14345" max="14345" width="15" customWidth="1"/>
    <col min="14346" max="14346" width="8.83203125" customWidth="1"/>
    <col min="14347" max="14347" width="9.5" bestFit="1" customWidth="1"/>
    <col min="14348" max="14348" width="8.83203125" customWidth="1"/>
    <col min="14349" max="14351" width="9.5" bestFit="1" customWidth="1"/>
    <col min="14352" max="14592" width="8.83203125" customWidth="1"/>
    <col min="14593" max="14593" width="12.5" customWidth="1"/>
    <col min="14594" max="14594" width="8.83203125" customWidth="1"/>
    <col min="14595" max="14595" width="9.5" bestFit="1" customWidth="1"/>
    <col min="14596" max="14596" width="8.83203125" customWidth="1"/>
    <col min="14597" max="14599" width="9.5" bestFit="1" customWidth="1"/>
    <col min="14600" max="14600" width="8.83203125" customWidth="1"/>
    <col min="14601" max="14601" width="15" customWidth="1"/>
    <col min="14602" max="14602" width="8.83203125" customWidth="1"/>
    <col min="14603" max="14603" width="9.5" bestFit="1" customWidth="1"/>
    <col min="14604" max="14604" width="8.83203125" customWidth="1"/>
    <col min="14605" max="14607" width="9.5" bestFit="1" customWidth="1"/>
    <col min="14608" max="14848" width="8.83203125" customWidth="1"/>
    <col min="14849" max="14849" width="12.5" customWidth="1"/>
    <col min="14850" max="14850" width="8.83203125" customWidth="1"/>
    <col min="14851" max="14851" width="9.5" bestFit="1" customWidth="1"/>
    <col min="14852" max="14852" width="8.83203125" customWidth="1"/>
    <col min="14853" max="14855" width="9.5" bestFit="1" customWidth="1"/>
    <col min="14856" max="14856" width="8.83203125" customWidth="1"/>
    <col min="14857" max="14857" width="15" customWidth="1"/>
    <col min="14858" max="14858" width="8.83203125" customWidth="1"/>
    <col min="14859" max="14859" width="9.5" bestFit="1" customWidth="1"/>
    <col min="14860" max="14860" width="8.83203125" customWidth="1"/>
    <col min="14861" max="14863" width="9.5" bestFit="1" customWidth="1"/>
    <col min="14864" max="15104" width="8.83203125" customWidth="1"/>
    <col min="15105" max="15105" width="12.5" customWidth="1"/>
    <col min="15106" max="15106" width="8.83203125" customWidth="1"/>
    <col min="15107" max="15107" width="9.5" bestFit="1" customWidth="1"/>
    <col min="15108" max="15108" width="8.83203125" customWidth="1"/>
    <col min="15109" max="15111" width="9.5" bestFit="1" customWidth="1"/>
    <col min="15112" max="15112" width="8.83203125" customWidth="1"/>
    <col min="15113" max="15113" width="15" customWidth="1"/>
    <col min="15114" max="15114" width="8.83203125" customWidth="1"/>
    <col min="15115" max="15115" width="9.5" bestFit="1" customWidth="1"/>
    <col min="15116" max="15116" width="8.83203125" customWidth="1"/>
    <col min="15117" max="15119" width="9.5" bestFit="1" customWidth="1"/>
    <col min="15120" max="15360" width="8.83203125" customWidth="1"/>
    <col min="15361" max="15361" width="12.5" customWidth="1"/>
    <col min="15362" max="15362" width="8.83203125" customWidth="1"/>
    <col min="15363" max="15363" width="9.5" bestFit="1" customWidth="1"/>
    <col min="15364" max="15364" width="8.83203125" customWidth="1"/>
    <col min="15365" max="15367" width="9.5" bestFit="1" customWidth="1"/>
    <col min="15368" max="15368" width="8.83203125" customWidth="1"/>
    <col min="15369" max="15369" width="15" customWidth="1"/>
    <col min="15370" max="15370" width="8.83203125" customWidth="1"/>
    <col min="15371" max="15371" width="9.5" bestFit="1" customWidth="1"/>
    <col min="15372" max="15372" width="8.83203125" customWidth="1"/>
    <col min="15373" max="15375" width="9.5" bestFit="1" customWidth="1"/>
    <col min="15376" max="15616" width="8.83203125" customWidth="1"/>
    <col min="15617" max="15617" width="12.5" customWidth="1"/>
    <col min="15618" max="15618" width="8.83203125" customWidth="1"/>
    <col min="15619" max="15619" width="9.5" bestFit="1" customWidth="1"/>
    <col min="15620" max="15620" width="8.83203125" customWidth="1"/>
    <col min="15621" max="15623" width="9.5" bestFit="1" customWidth="1"/>
    <col min="15624" max="15624" width="8.83203125" customWidth="1"/>
    <col min="15625" max="15625" width="15" customWidth="1"/>
    <col min="15626" max="15626" width="8.83203125" customWidth="1"/>
    <col min="15627" max="15627" width="9.5" bestFit="1" customWidth="1"/>
    <col min="15628" max="15628" width="8.83203125" customWidth="1"/>
    <col min="15629" max="15631" width="9.5" bestFit="1" customWidth="1"/>
    <col min="15632" max="15872" width="8.83203125" customWidth="1"/>
    <col min="15873" max="15873" width="12.5" customWidth="1"/>
    <col min="15874" max="15874" width="8.83203125" customWidth="1"/>
    <col min="15875" max="15875" width="9.5" bestFit="1" customWidth="1"/>
    <col min="15876" max="15876" width="8.83203125" customWidth="1"/>
    <col min="15877" max="15879" width="9.5" bestFit="1" customWidth="1"/>
    <col min="15880" max="15880" width="8.83203125" customWidth="1"/>
    <col min="15881" max="15881" width="15" customWidth="1"/>
    <col min="15882" max="15882" width="8.83203125" customWidth="1"/>
    <col min="15883" max="15883" width="9.5" bestFit="1" customWidth="1"/>
    <col min="15884" max="15884" width="8.83203125" customWidth="1"/>
    <col min="15885" max="15887" width="9.5" bestFit="1" customWidth="1"/>
    <col min="15888" max="16128" width="8.83203125" customWidth="1"/>
    <col min="16129" max="16129" width="12.5" customWidth="1"/>
    <col min="16130" max="16130" width="8.83203125" customWidth="1"/>
    <col min="16131" max="16131" width="9.5" bestFit="1" customWidth="1"/>
    <col min="16132" max="16132" width="8.83203125" customWidth="1"/>
    <col min="16133" max="16135" width="9.5" bestFit="1" customWidth="1"/>
    <col min="16136" max="16136" width="8.83203125" customWidth="1"/>
    <col min="16137" max="16137" width="15" customWidth="1"/>
    <col min="16138" max="16138" width="8.83203125" customWidth="1"/>
    <col min="16139" max="16139" width="9.5" bestFit="1" customWidth="1"/>
    <col min="16140" max="16140" width="8.83203125" customWidth="1"/>
    <col min="16141" max="16143" width="9.5" bestFit="1" customWidth="1"/>
    <col min="16144" max="16384" width="8.83203125" customWidth="1"/>
  </cols>
  <sheetData>
    <row r="1" spans="1:19" ht="19" x14ac:dyDescent="0.25">
      <c r="A1" s="1" t="s">
        <v>0</v>
      </c>
    </row>
    <row r="2" spans="1:19" x14ac:dyDescent="0.2">
      <c r="A2" s="34" t="s">
        <v>77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9" x14ac:dyDescent="0.2">
      <c r="A3" s="33" t="s">
        <v>64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9" ht="15" customHeight="1" x14ac:dyDescent="0.2">
      <c r="A4" s="51" t="s">
        <v>65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9" ht="15.75" customHeight="1" x14ac:dyDescent="0.2">
      <c r="A5" s="36" t="s">
        <v>66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</row>
    <row r="6" spans="1:19" x14ac:dyDescent="0.2">
      <c r="A6" s="52" t="s">
        <v>67</v>
      </c>
      <c r="B6" s="52"/>
      <c r="C6" s="52"/>
      <c r="D6" s="52"/>
    </row>
    <row r="7" spans="1:19" x14ac:dyDescent="0.2">
      <c r="A7" s="52" t="s">
        <v>68</v>
      </c>
      <c r="B7" s="52"/>
      <c r="C7" s="52"/>
      <c r="D7" s="52"/>
    </row>
    <row r="9" spans="1:19" ht="19" x14ac:dyDescent="0.25">
      <c r="A9" s="47" t="s">
        <v>69</v>
      </c>
      <c r="B9" s="48"/>
      <c r="C9" s="48"/>
      <c r="D9" s="48"/>
      <c r="E9" s="48"/>
      <c r="F9" s="48"/>
      <c r="G9" s="49"/>
    </row>
    <row r="10" spans="1:19" ht="32" x14ac:dyDescent="0.2">
      <c r="A10" s="2" t="s">
        <v>4</v>
      </c>
      <c r="B10" s="53" t="s">
        <v>5</v>
      </c>
      <c r="C10" s="53" t="s">
        <v>6</v>
      </c>
      <c r="D10" s="53" t="s">
        <v>7</v>
      </c>
      <c r="E10" s="53" t="s">
        <v>8</v>
      </c>
      <c r="F10" s="54" t="s">
        <v>9</v>
      </c>
      <c r="G10" s="5" t="s">
        <v>10</v>
      </c>
    </row>
    <row r="11" spans="1:19" x14ac:dyDescent="0.2">
      <c r="A11" s="6" t="s">
        <v>11</v>
      </c>
      <c r="B11" s="55">
        <v>114</v>
      </c>
      <c r="C11" s="56">
        <f>B11*400</f>
        <v>45600</v>
      </c>
      <c r="D11" s="55">
        <v>2.5</v>
      </c>
      <c r="E11" s="56">
        <f>C11*D11</f>
        <v>114000</v>
      </c>
      <c r="F11" s="57">
        <f>AVERAGE(E11:E13)</f>
        <v>121333.33333333333</v>
      </c>
      <c r="G11" s="10">
        <f>_xlfn.STDEV.S(E11:E13)</f>
        <v>6658.3281184793932</v>
      </c>
    </row>
    <row r="12" spans="1:19" x14ac:dyDescent="0.2">
      <c r="A12" s="6" t="s">
        <v>12</v>
      </c>
      <c r="B12" s="55">
        <v>127</v>
      </c>
      <c r="C12" s="56">
        <f>B12*400</f>
        <v>50800</v>
      </c>
      <c r="D12" s="55">
        <v>2.5</v>
      </c>
      <c r="E12" s="56">
        <f>C12*D12</f>
        <v>127000</v>
      </c>
      <c r="F12" s="56"/>
      <c r="G12" s="11"/>
    </row>
    <row r="13" spans="1:19" x14ac:dyDescent="0.2">
      <c r="A13" s="12" t="s">
        <v>13</v>
      </c>
      <c r="B13" s="13">
        <v>123</v>
      </c>
      <c r="C13" s="14">
        <f>B13*400</f>
        <v>49200</v>
      </c>
      <c r="D13" s="13">
        <v>2.5</v>
      </c>
      <c r="E13" s="14">
        <f>C13*D13</f>
        <v>123000</v>
      </c>
      <c r="F13" s="14"/>
      <c r="G13" s="15"/>
    </row>
    <row r="16" spans="1:19" ht="19" x14ac:dyDescent="0.25">
      <c r="A16" s="37" t="s">
        <v>70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9"/>
    </row>
    <row r="17" spans="1:19" ht="16" x14ac:dyDescent="0.2">
      <c r="A17" s="40" t="s">
        <v>18</v>
      </c>
      <c r="B17" s="41"/>
      <c r="C17" s="41"/>
      <c r="D17" s="41"/>
      <c r="E17" s="41"/>
      <c r="F17" s="41"/>
      <c r="G17" s="42"/>
      <c r="H17" s="55"/>
      <c r="I17" s="43" t="s">
        <v>21</v>
      </c>
      <c r="J17" s="58"/>
      <c r="K17" s="58"/>
      <c r="L17" s="58"/>
      <c r="M17" s="58"/>
      <c r="N17" s="58"/>
      <c r="O17" s="45"/>
    </row>
    <row r="18" spans="1:19" ht="32" x14ac:dyDescent="0.2">
      <c r="A18" s="16" t="s">
        <v>4</v>
      </c>
      <c r="B18" s="17" t="s">
        <v>5</v>
      </c>
      <c r="C18" s="17" t="s">
        <v>6</v>
      </c>
      <c r="D18" s="17" t="s">
        <v>7</v>
      </c>
      <c r="E18" s="17" t="s">
        <v>8</v>
      </c>
      <c r="F18" s="18" t="s">
        <v>9</v>
      </c>
      <c r="G18" s="19" t="s">
        <v>10</v>
      </c>
      <c r="H18" s="55"/>
      <c r="I18" s="16" t="s">
        <v>4</v>
      </c>
      <c r="J18" s="17" t="s">
        <v>5</v>
      </c>
      <c r="K18" s="17" t="s">
        <v>6</v>
      </c>
      <c r="L18" s="17" t="s">
        <v>7</v>
      </c>
      <c r="M18" s="17" t="s">
        <v>8</v>
      </c>
      <c r="N18" s="18" t="s">
        <v>9</v>
      </c>
      <c r="O18" s="19" t="s">
        <v>10</v>
      </c>
    </row>
    <row r="19" spans="1:19" x14ac:dyDescent="0.2">
      <c r="A19" s="20" t="s">
        <v>15</v>
      </c>
      <c r="B19" s="55">
        <v>132</v>
      </c>
      <c r="C19" s="56">
        <f>B19*400</f>
        <v>52800</v>
      </c>
      <c r="D19" s="55">
        <v>2.5</v>
      </c>
      <c r="E19" s="56">
        <f>C19*D19</f>
        <v>132000</v>
      </c>
      <c r="F19" s="57">
        <f>AVERAGE(E19:E21)</f>
        <v>133333.33333333334</v>
      </c>
      <c r="G19" s="10">
        <f>_xlfn.STDEV.S(E19:E21)</f>
        <v>12055.427546683417</v>
      </c>
      <c r="H19" s="55"/>
      <c r="I19" s="21" t="s">
        <v>20</v>
      </c>
      <c r="J19" s="55">
        <v>97</v>
      </c>
      <c r="K19" s="56">
        <f>J19*400</f>
        <v>38800</v>
      </c>
      <c r="L19" s="55">
        <v>2.5</v>
      </c>
      <c r="M19" s="56">
        <f>K19*L19</f>
        <v>97000</v>
      </c>
      <c r="N19" s="59">
        <f>AVERAGE(M19:M21)</f>
        <v>90333.333333333328</v>
      </c>
      <c r="O19" s="10">
        <f>_xlfn.STDEV.S(K19:K21)</f>
        <v>2444.0403706431148</v>
      </c>
    </row>
    <row r="20" spans="1:19" x14ac:dyDescent="0.2">
      <c r="A20" s="20" t="s">
        <v>16</v>
      </c>
      <c r="B20" s="55">
        <v>122</v>
      </c>
      <c r="C20" s="56">
        <f>B20*400</f>
        <v>48800</v>
      </c>
      <c r="D20" s="55">
        <v>2.5</v>
      </c>
      <c r="E20" s="56">
        <f>C20*D20</f>
        <v>122000</v>
      </c>
      <c r="F20" s="56"/>
      <c r="G20" s="11"/>
      <c r="H20" s="55"/>
      <c r="I20" s="21" t="s">
        <v>22</v>
      </c>
      <c r="J20" s="55">
        <v>85</v>
      </c>
      <c r="K20" s="56">
        <f>J20*400</f>
        <v>34000</v>
      </c>
      <c r="L20" s="55">
        <v>2.5</v>
      </c>
      <c r="M20" s="56">
        <f>K20*L20</f>
        <v>85000</v>
      </c>
      <c r="N20" s="56"/>
      <c r="O20" s="11"/>
    </row>
    <row r="21" spans="1:19" x14ac:dyDescent="0.2">
      <c r="A21" s="23" t="s">
        <v>17</v>
      </c>
      <c r="B21" s="13">
        <v>146</v>
      </c>
      <c r="C21" s="14">
        <f>B21*400</f>
        <v>58400</v>
      </c>
      <c r="D21" s="13">
        <v>2.5</v>
      </c>
      <c r="E21" s="14">
        <f>C21*D21</f>
        <v>146000</v>
      </c>
      <c r="F21" s="14"/>
      <c r="G21" s="15"/>
      <c r="H21" s="13"/>
      <c r="I21" s="24" t="s">
        <v>23</v>
      </c>
      <c r="J21" s="13">
        <v>89</v>
      </c>
      <c r="K21" s="14">
        <f>J21*400</f>
        <v>35600</v>
      </c>
      <c r="L21" s="13">
        <v>2.5</v>
      </c>
      <c r="M21" s="14">
        <f>K21*L21</f>
        <v>89000</v>
      </c>
      <c r="N21" s="14"/>
      <c r="O21" s="15"/>
    </row>
    <row r="22" spans="1:19" x14ac:dyDescent="0.2">
      <c r="A22" s="51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</row>
    <row r="24" spans="1:19" ht="19" x14ac:dyDescent="0.25">
      <c r="A24" s="37" t="s">
        <v>71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</row>
    <row r="25" spans="1:19" ht="16" x14ac:dyDescent="0.2">
      <c r="A25" s="40" t="s">
        <v>18</v>
      </c>
      <c r="B25" s="41"/>
      <c r="C25" s="41"/>
      <c r="D25" s="41"/>
      <c r="E25" s="41"/>
      <c r="F25" s="41"/>
      <c r="G25" s="42"/>
      <c r="H25" s="55"/>
      <c r="I25" s="43" t="s">
        <v>21</v>
      </c>
      <c r="J25" s="58"/>
      <c r="K25" s="58"/>
      <c r="L25" s="58"/>
      <c r="M25" s="58"/>
      <c r="N25" s="58"/>
      <c r="O25" s="45"/>
    </row>
    <row r="26" spans="1:19" ht="32" x14ac:dyDescent="0.2">
      <c r="A26" s="16" t="s">
        <v>4</v>
      </c>
      <c r="B26" s="17" t="s">
        <v>5</v>
      </c>
      <c r="C26" s="17" t="s">
        <v>6</v>
      </c>
      <c r="D26" s="17" t="s">
        <v>7</v>
      </c>
      <c r="E26" s="17" t="s">
        <v>8</v>
      </c>
      <c r="F26" s="18" t="s">
        <v>9</v>
      </c>
      <c r="G26" s="19" t="s">
        <v>10</v>
      </c>
      <c r="H26" s="55"/>
      <c r="I26" s="16" t="s">
        <v>4</v>
      </c>
      <c r="J26" s="17" t="s">
        <v>5</v>
      </c>
      <c r="K26" s="17" t="s">
        <v>6</v>
      </c>
      <c r="L26" s="17" t="s">
        <v>7</v>
      </c>
      <c r="M26" s="17" t="s">
        <v>8</v>
      </c>
      <c r="N26" s="18" t="s">
        <v>9</v>
      </c>
      <c r="O26" s="19" t="s">
        <v>10</v>
      </c>
    </row>
    <row r="27" spans="1:19" x14ac:dyDescent="0.2">
      <c r="A27" s="20" t="s">
        <v>30</v>
      </c>
      <c r="B27" s="55">
        <v>569</v>
      </c>
      <c r="C27" s="56">
        <f>B27*400</f>
        <v>227600</v>
      </c>
      <c r="D27" s="55">
        <v>2.5</v>
      </c>
      <c r="E27" s="56">
        <f>C27*D27</f>
        <v>569000</v>
      </c>
      <c r="F27" s="57">
        <f>AVERAGE(E27:E29)</f>
        <v>568666.66666666663</v>
      </c>
      <c r="G27" s="10">
        <f>_xlfn.STDEV.S(E27:E29)</f>
        <v>24501.700621249402</v>
      </c>
      <c r="H27" s="55"/>
      <c r="I27" s="21" t="s">
        <v>27</v>
      </c>
      <c r="J27" s="55">
        <v>162</v>
      </c>
      <c r="K27" s="56">
        <f>J27*400</f>
        <v>64800</v>
      </c>
      <c r="L27" s="55">
        <v>2.5</v>
      </c>
      <c r="M27" s="56">
        <f>K27*L27</f>
        <v>162000</v>
      </c>
      <c r="N27" s="59">
        <f>AVERAGE(M27:M29)</f>
        <v>147666.66666666666</v>
      </c>
      <c r="O27" s="10">
        <f>_xlfn.STDEV.S(K27:K29)</f>
        <v>5281.413952090229</v>
      </c>
    </row>
    <row r="28" spans="1:19" x14ac:dyDescent="0.2">
      <c r="A28" s="20" t="s">
        <v>31</v>
      </c>
      <c r="B28" s="55">
        <v>593</v>
      </c>
      <c r="C28" s="56">
        <f>B28*400</f>
        <v>237200</v>
      </c>
      <c r="D28" s="55">
        <v>2.5</v>
      </c>
      <c r="E28" s="56">
        <f>C28*D28</f>
        <v>593000</v>
      </c>
      <c r="F28" s="56"/>
      <c r="G28" s="11"/>
      <c r="H28" s="55"/>
      <c r="I28" s="21" t="s">
        <v>28</v>
      </c>
      <c r="J28" s="55">
        <v>145</v>
      </c>
      <c r="K28" s="56">
        <f>J28*400</f>
        <v>58000</v>
      </c>
      <c r="L28" s="55">
        <v>2.5</v>
      </c>
      <c r="M28" s="56">
        <f>K28*L28</f>
        <v>145000</v>
      </c>
      <c r="N28" s="56"/>
      <c r="O28" s="11"/>
    </row>
    <row r="29" spans="1:19" x14ac:dyDescent="0.2">
      <c r="A29" s="23" t="s">
        <v>32</v>
      </c>
      <c r="B29" s="13">
        <v>544</v>
      </c>
      <c r="C29" s="14">
        <f>B29*400</f>
        <v>217600</v>
      </c>
      <c r="D29" s="13">
        <v>2.5</v>
      </c>
      <c r="E29" s="14">
        <f>C29*D29</f>
        <v>544000</v>
      </c>
      <c r="F29" s="14"/>
      <c r="G29" s="15"/>
      <c r="H29" s="13"/>
      <c r="I29" s="24" t="s">
        <v>29</v>
      </c>
      <c r="J29" s="13">
        <v>136</v>
      </c>
      <c r="K29" s="14">
        <f>J29*400</f>
        <v>54400</v>
      </c>
      <c r="L29" s="13">
        <v>2.5</v>
      </c>
      <c r="M29" s="14">
        <f>K29*L29</f>
        <v>136000</v>
      </c>
      <c r="N29" s="14"/>
      <c r="O29" s="15"/>
    </row>
    <row r="30" spans="1:19" x14ac:dyDescent="0.2">
      <c r="A30" s="36" t="s">
        <v>78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</row>
    <row r="32" spans="1:19" ht="19" x14ac:dyDescent="0.25">
      <c r="A32" s="37" t="s">
        <v>73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9"/>
    </row>
    <row r="33" spans="1:19" ht="16" x14ac:dyDescent="0.2">
      <c r="A33" s="40" t="s">
        <v>18</v>
      </c>
      <c r="B33" s="41"/>
      <c r="C33" s="41"/>
      <c r="D33" s="41"/>
      <c r="E33" s="41"/>
      <c r="F33" s="41"/>
      <c r="G33" s="42"/>
      <c r="H33" s="55"/>
      <c r="I33" s="43" t="s">
        <v>21</v>
      </c>
      <c r="J33" s="58"/>
      <c r="K33" s="58"/>
      <c r="L33" s="58"/>
      <c r="M33" s="58"/>
      <c r="N33" s="58"/>
      <c r="O33" s="45"/>
    </row>
    <row r="34" spans="1:19" ht="32" x14ac:dyDescent="0.2">
      <c r="A34" s="16" t="s">
        <v>4</v>
      </c>
      <c r="B34" s="17" t="s">
        <v>5</v>
      </c>
      <c r="C34" s="17" t="s">
        <v>6</v>
      </c>
      <c r="D34" s="17" t="s">
        <v>7</v>
      </c>
      <c r="E34" s="17" t="s">
        <v>8</v>
      </c>
      <c r="F34" s="18" t="s">
        <v>9</v>
      </c>
      <c r="G34" s="19" t="s">
        <v>10</v>
      </c>
      <c r="H34" s="55"/>
      <c r="I34" s="16" t="s">
        <v>4</v>
      </c>
      <c r="J34" s="17" t="s">
        <v>5</v>
      </c>
      <c r="K34" s="17" t="s">
        <v>6</v>
      </c>
      <c r="L34" s="17" t="s">
        <v>7</v>
      </c>
      <c r="M34" s="17" t="s">
        <v>8</v>
      </c>
      <c r="N34" s="18" t="s">
        <v>9</v>
      </c>
      <c r="O34" s="19" t="s">
        <v>10</v>
      </c>
    </row>
    <row r="35" spans="1:19" x14ac:dyDescent="0.2">
      <c r="A35" s="20" t="s">
        <v>37</v>
      </c>
      <c r="B35" s="55">
        <v>1097</v>
      </c>
      <c r="C35" s="56">
        <f>B35*400</f>
        <v>438800</v>
      </c>
      <c r="D35" s="55">
        <v>2.5</v>
      </c>
      <c r="E35" s="56">
        <f>C35*D35</f>
        <v>1097000</v>
      </c>
      <c r="F35" s="57">
        <f>AVERAGE(E35:E37)</f>
        <v>1054666.6666666667</v>
      </c>
      <c r="G35" s="10">
        <f>_xlfn.STDEV.S(E35:E37)</f>
        <v>51733.290377989033</v>
      </c>
      <c r="H35" s="55"/>
      <c r="I35" s="21" t="s">
        <v>40</v>
      </c>
      <c r="J35" s="55">
        <v>269</v>
      </c>
      <c r="K35" s="56">
        <f>J35*400</f>
        <v>107600</v>
      </c>
      <c r="L35" s="55">
        <v>2.5</v>
      </c>
      <c r="M35" s="56">
        <f>K35*L35</f>
        <v>269000</v>
      </c>
      <c r="N35" s="59">
        <f>AVERAGE(M35:M37)</f>
        <v>272333.33333333331</v>
      </c>
      <c r="O35" s="10">
        <f>_xlfn.STDEV.S(K35:K37)</f>
        <v>2663.3312473917572</v>
      </c>
    </row>
    <row r="36" spans="1:19" x14ac:dyDescent="0.2">
      <c r="A36" s="20" t="s">
        <v>38</v>
      </c>
      <c r="B36" s="55">
        <v>997</v>
      </c>
      <c r="C36" s="56">
        <f>B36*400</f>
        <v>398800</v>
      </c>
      <c r="D36" s="55">
        <v>2.5</v>
      </c>
      <c r="E36" s="56">
        <f>C36*D36</f>
        <v>997000</v>
      </c>
      <c r="F36" s="56"/>
      <c r="G36" s="11"/>
      <c r="H36" s="55"/>
      <c r="I36" s="21" t="s">
        <v>41</v>
      </c>
      <c r="J36" s="55">
        <v>268</v>
      </c>
      <c r="K36" s="56">
        <f>J36*400</f>
        <v>107200</v>
      </c>
      <c r="L36" s="55">
        <v>2.5</v>
      </c>
      <c r="M36" s="56">
        <f>K36*L36</f>
        <v>268000</v>
      </c>
      <c r="N36" s="56"/>
      <c r="O36" s="11"/>
    </row>
    <row r="37" spans="1:19" x14ac:dyDescent="0.2">
      <c r="A37" s="23" t="s">
        <v>39</v>
      </c>
      <c r="B37" s="13">
        <v>1070</v>
      </c>
      <c r="C37" s="14">
        <f>B37*400</f>
        <v>428000</v>
      </c>
      <c r="D37" s="13">
        <v>2.5</v>
      </c>
      <c r="E37" s="14">
        <f>C37*D37</f>
        <v>1070000</v>
      </c>
      <c r="F37" s="14"/>
      <c r="G37" s="15"/>
      <c r="H37" s="13"/>
      <c r="I37" s="24" t="s">
        <v>42</v>
      </c>
      <c r="J37" s="13">
        <v>280</v>
      </c>
      <c r="K37" s="14">
        <f>J37*400</f>
        <v>112000</v>
      </c>
      <c r="L37" s="13">
        <v>2.5</v>
      </c>
      <c r="M37" s="14">
        <f>K37*L37</f>
        <v>280000</v>
      </c>
      <c r="N37" s="14"/>
      <c r="O37" s="15"/>
    </row>
    <row r="38" spans="1:19" ht="15" customHeight="1" x14ac:dyDescent="0.2">
      <c r="A38" s="60" t="s">
        <v>79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</row>
    <row r="39" spans="1:19" x14ac:dyDescent="0.2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</row>
    <row r="40" spans="1:19" x14ac:dyDescent="0.2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</row>
    <row r="41" spans="1:19" x14ac:dyDescent="0.2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</row>
    <row r="42" spans="1:19" ht="19" x14ac:dyDescent="0.25">
      <c r="A42" s="37" t="s">
        <v>75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9"/>
    </row>
    <row r="43" spans="1:19" ht="16" x14ac:dyDescent="0.2">
      <c r="A43" s="40" t="s">
        <v>18</v>
      </c>
      <c r="B43" s="41"/>
      <c r="C43" s="41"/>
      <c r="D43" s="41"/>
      <c r="E43" s="41"/>
      <c r="F43" s="41"/>
      <c r="G43" s="42"/>
      <c r="H43" s="55"/>
      <c r="I43" s="43" t="s">
        <v>21</v>
      </c>
      <c r="J43" s="58"/>
      <c r="K43" s="58"/>
      <c r="L43" s="58"/>
      <c r="M43" s="58"/>
      <c r="N43" s="58"/>
      <c r="O43" s="45"/>
    </row>
    <row r="44" spans="1:19" ht="32" x14ac:dyDescent="0.2">
      <c r="A44" s="16" t="s">
        <v>4</v>
      </c>
      <c r="B44" s="17" t="s">
        <v>5</v>
      </c>
      <c r="C44" s="17" t="s">
        <v>6</v>
      </c>
      <c r="D44" s="17" t="s">
        <v>7</v>
      </c>
      <c r="E44" s="17" t="s">
        <v>8</v>
      </c>
      <c r="F44" s="18" t="s">
        <v>9</v>
      </c>
      <c r="G44" s="19" t="s">
        <v>10</v>
      </c>
      <c r="H44" s="55"/>
      <c r="I44" s="16" t="s">
        <v>4</v>
      </c>
      <c r="J44" s="17" t="s">
        <v>5</v>
      </c>
      <c r="K44" s="17" t="s">
        <v>6</v>
      </c>
      <c r="L44" s="17" t="s">
        <v>7</v>
      </c>
      <c r="M44" s="17" t="s">
        <v>8</v>
      </c>
      <c r="N44" s="18" t="s">
        <v>9</v>
      </c>
      <c r="O44" s="19" t="s">
        <v>10</v>
      </c>
    </row>
    <row r="45" spans="1:19" x14ac:dyDescent="0.2">
      <c r="A45" s="20" t="s">
        <v>43</v>
      </c>
      <c r="B45" s="55">
        <v>1595</v>
      </c>
      <c r="C45" s="56">
        <f>B45*400</f>
        <v>638000</v>
      </c>
      <c r="D45" s="55">
        <v>2.5</v>
      </c>
      <c r="E45" s="56">
        <f>C45*D45</f>
        <v>1595000</v>
      </c>
      <c r="F45" s="57">
        <f>AVERAGE(E45:E47)</f>
        <v>1594000</v>
      </c>
      <c r="G45" s="10">
        <f>_xlfn.STDEV.S(E45:E47)</f>
        <v>28513.154858766506</v>
      </c>
      <c r="H45" s="55"/>
      <c r="I45" s="21" t="s">
        <v>47</v>
      </c>
      <c r="J45" s="55">
        <v>333</v>
      </c>
      <c r="K45" s="56">
        <f>J45*400</f>
        <v>133200</v>
      </c>
      <c r="L45" s="55">
        <v>2.5</v>
      </c>
      <c r="M45" s="56">
        <f>K45*L45</f>
        <v>333000</v>
      </c>
      <c r="N45" s="59">
        <f>AVERAGE(M45:M47)</f>
        <v>302666.66666666669</v>
      </c>
      <c r="O45" s="10">
        <f>_xlfn.STDEV.S(K45:K47)</f>
        <v>10555.251457607883</v>
      </c>
    </row>
    <row r="46" spans="1:19" x14ac:dyDescent="0.2">
      <c r="A46" s="20" t="s">
        <v>44</v>
      </c>
      <c r="B46" s="55">
        <v>1565</v>
      </c>
      <c r="C46" s="56">
        <f>B46*400</f>
        <v>626000</v>
      </c>
      <c r="D46" s="55">
        <v>2.5</v>
      </c>
      <c r="E46" s="56">
        <f>C46*D46</f>
        <v>1565000</v>
      </c>
      <c r="F46" s="56"/>
      <c r="G46" s="11"/>
      <c r="H46" s="55"/>
      <c r="I46" s="21" t="s">
        <v>48</v>
      </c>
      <c r="J46" s="55">
        <v>290</v>
      </c>
      <c r="K46" s="56">
        <f>J46*400</f>
        <v>116000</v>
      </c>
      <c r="L46" s="55">
        <v>2.5</v>
      </c>
      <c r="M46" s="56">
        <f>K46*L46</f>
        <v>290000</v>
      </c>
      <c r="N46" s="56"/>
      <c r="O46" s="11"/>
    </row>
    <row r="47" spans="1:19" x14ac:dyDescent="0.2">
      <c r="A47" s="23" t="s">
        <v>45</v>
      </c>
      <c r="B47" s="13">
        <v>1622</v>
      </c>
      <c r="C47" s="14">
        <f>B47*400</f>
        <v>648800</v>
      </c>
      <c r="D47" s="13">
        <v>2.5</v>
      </c>
      <c r="E47" s="14">
        <f>C47*D47</f>
        <v>1622000</v>
      </c>
      <c r="F47" s="14"/>
      <c r="G47" s="15"/>
      <c r="H47" s="13"/>
      <c r="I47" s="24" t="s">
        <v>49</v>
      </c>
      <c r="J47" s="13">
        <v>285</v>
      </c>
      <c r="K47" s="14">
        <f>J47*400</f>
        <v>114000</v>
      </c>
      <c r="L47" s="13">
        <v>2.5</v>
      </c>
      <c r="M47" s="14">
        <f>K47*L47</f>
        <v>285000</v>
      </c>
      <c r="N47" s="14"/>
      <c r="O47" s="15"/>
    </row>
    <row r="48" spans="1:19" x14ac:dyDescent="0.2">
      <c r="A48" s="36" t="s">
        <v>76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</row>
  </sheetData>
  <mergeCells count="23">
    <mergeCell ref="A38:P40"/>
    <mergeCell ref="A42:O42"/>
    <mergeCell ref="A43:G43"/>
    <mergeCell ref="I43:O43"/>
    <mergeCell ref="A48:S48"/>
    <mergeCell ref="A25:G25"/>
    <mergeCell ref="I25:O25"/>
    <mergeCell ref="A30:S30"/>
    <mergeCell ref="A32:O32"/>
    <mergeCell ref="A33:G33"/>
    <mergeCell ref="I33:O33"/>
    <mergeCell ref="A9:G9"/>
    <mergeCell ref="A16:O16"/>
    <mergeCell ref="A17:G17"/>
    <mergeCell ref="I17:O17"/>
    <mergeCell ref="A22:Q22"/>
    <mergeCell ref="A24:O24"/>
    <mergeCell ref="A2:R2"/>
    <mergeCell ref="A3:Q3"/>
    <mergeCell ref="A4:Q4"/>
    <mergeCell ref="A5:S5"/>
    <mergeCell ref="A6:D6"/>
    <mergeCell ref="A7:D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2665-CDE2-584E-B30D-45F55FBCF783}">
  <dimension ref="A1:Q30"/>
  <sheetViews>
    <sheetView tabSelected="1" workbookViewId="0">
      <selection activeCell="K22" sqref="K22"/>
    </sheetView>
  </sheetViews>
  <sheetFormatPr baseColWidth="10" defaultRowHeight="15" x14ac:dyDescent="0.2"/>
  <cols>
    <col min="1" max="1" width="24" customWidth="1"/>
    <col min="2" max="2" width="20" customWidth="1"/>
    <col min="4" max="4" width="26.1640625" customWidth="1"/>
    <col min="8" max="8" width="12.1640625" customWidth="1"/>
    <col min="10" max="10" width="17.83203125" customWidth="1"/>
    <col min="12" max="12" width="18.83203125" customWidth="1"/>
  </cols>
  <sheetData>
    <row r="1" spans="1:17" ht="21" x14ac:dyDescent="0.25">
      <c r="A1" s="26" t="s">
        <v>52</v>
      </c>
    </row>
    <row r="2" spans="1:17" ht="22" x14ac:dyDescent="0.25">
      <c r="M2" s="29" t="s">
        <v>52</v>
      </c>
      <c r="N2" s="29" t="s">
        <v>60</v>
      </c>
      <c r="O2" s="29" t="s">
        <v>57</v>
      </c>
      <c r="P2" s="29" t="s">
        <v>58</v>
      </c>
      <c r="Q2" s="32" t="s">
        <v>59</v>
      </c>
    </row>
    <row r="3" spans="1:17" ht="22" x14ac:dyDescent="0.25">
      <c r="A3" s="27" t="s">
        <v>4</v>
      </c>
      <c r="B3" s="28" t="s">
        <v>5</v>
      </c>
      <c r="K3" s="31"/>
      <c r="L3" s="29" t="s">
        <v>18</v>
      </c>
      <c r="M3" s="28">
        <v>1</v>
      </c>
      <c r="N3" s="28">
        <f>AVERAGE(H10:H12)</f>
        <v>1.0989010989010988</v>
      </c>
      <c r="O3" s="28">
        <f>AVERAGE(H16:H18)</f>
        <v>4.686813186813187</v>
      </c>
      <c r="P3" s="28">
        <f>AVERAGE(H22:H24)</f>
        <v>8.6923076923076934</v>
      </c>
      <c r="Q3" s="28">
        <f>AVERAGE(H28:H30)</f>
        <v>13.137362637362637</v>
      </c>
    </row>
    <row r="4" spans="1:17" ht="22" x14ac:dyDescent="0.25">
      <c r="A4" s="30" t="s">
        <v>53</v>
      </c>
      <c r="B4" s="28">
        <f>'Rep3'!B11</f>
        <v>114</v>
      </c>
      <c r="L4" s="29" t="s">
        <v>21</v>
      </c>
      <c r="M4" s="28">
        <v>1</v>
      </c>
      <c r="N4" s="28">
        <f>AVERAGE(K10:K12)</f>
        <v>0.74450549450549453</v>
      </c>
      <c r="O4" s="28">
        <f>AVERAGE(K16:K18)</f>
        <v>1.2170329670329669</v>
      </c>
      <c r="P4" s="28">
        <f>AVERAGE(K22:K24)</f>
        <v>2.2445054945054945</v>
      </c>
      <c r="Q4" s="28">
        <f>AVERAGE(K28:K30)</f>
        <v>2.4945054945054945</v>
      </c>
    </row>
    <row r="5" spans="1:17" ht="21" x14ac:dyDescent="0.25">
      <c r="A5" s="30" t="s">
        <v>54</v>
      </c>
      <c r="B5" s="28">
        <f>'Rep3'!B12</f>
        <v>127</v>
      </c>
    </row>
    <row r="6" spans="1:17" ht="21" x14ac:dyDescent="0.25">
      <c r="A6" s="26" t="s">
        <v>55</v>
      </c>
      <c r="B6" s="28">
        <f>'Rep3'!B13</f>
        <v>123</v>
      </c>
    </row>
    <row r="7" spans="1:17" ht="21" x14ac:dyDescent="0.25">
      <c r="B7" s="28">
        <f>AVERAGE(B4:B6)</f>
        <v>121.33333333333333</v>
      </c>
    </row>
    <row r="8" spans="1:17" ht="22" x14ac:dyDescent="0.25">
      <c r="A8" s="27" t="s">
        <v>56</v>
      </c>
      <c r="C8" s="31"/>
      <c r="D8" s="29" t="s">
        <v>62</v>
      </c>
      <c r="F8" s="31"/>
      <c r="G8" s="29" t="s">
        <v>56</v>
      </c>
      <c r="J8" s="29" t="s">
        <v>62</v>
      </c>
    </row>
    <row r="9" spans="1:17" ht="22" x14ac:dyDescent="0.25">
      <c r="A9" s="27" t="s">
        <v>18</v>
      </c>
      <c r="C9" s="31"/>
      <c r="D9" s="29" t="s">
        <v>21</v>
      </c>
      <c r="F9" s="31"/>
      <c r="G9" s="29" t="s">
        <v>18</v>
      </c>
      <c r="J9" s="29" t="s">
        <v>21</v>
      </c>
    </row>
    <row r="10" spans="1:17" ht="22" x14ac:dyDescent="0.25">
      <c r="A10" s="27" t="s">
        <v>61</v>
      </c>
      <c r="B10" s="28">
        <f>'Rep3'!B19</f>
        <v>132</v>
      </c>
      <c r="C10" s="31"/>
      <c r="D10" s="29" t="s">
        <v>61</v>
      </c>
      <c r="E10" s="29">
        <f>'Rep3'!J19</f>
        <v>97</v>
      </c>
      <c r="F10" s="31"/>
      <c r="G10" s="29" t="s">
        <v>61</v>
      </c>
      <c r="H10" s="29">
        <f>B10/B7</f>
        <v>1.087912087912088</v>
      </c>
      <c r="J10" s="29" t="s">
        <v>61</v>
      </c>
      <c r="K10" s="29">
        <f>E10/B7</f>
        <v>0.7994505494505495</v>
      </c>
    </row>
    <row r="11" spans="1:17" ht="22" x14ac:dyDescent="0.25">
      <c r="A11" s="27" t="s">
        <v>54</v>
      </c>
      <c r="B11" s="28">
        <f>'Rep3'!B20</f>
        <v>122</v>
      </c>
      <c r="C11" s="31"/>
      <c r="D11" s="29" t="s">
        <v>54</v>
      </c>
      <c r="E11" s="29">
        <f>'Rep3'!J20</f>
        <v>85</v>
      </c>
      <c r="F11" s="31"/>
      <c r="G11" s="29" t="s">
        <v>54</v>
      </c>
      <c r="H11" s="29">
        <f>B11/B7</f>
        <v>1.0054945054945055</v>
      </c>
      <c r="J11" s="29" t="s">
        <v>54</v>
      </c>
      <c r="K11" s="29">
        <f>E11/B7</f>
        <v>0.70054945054945061</v>
      </c>
    </row>
    <row r="12" spans="1:17" ht="22" x14ac:dyDescent="0.25">
      <c r="A12" s="29" t="s">
        <v>55</v>
      </c>
      <c r="B12" s="28">
        <f>'Rep3'!B21</f>
        <v>146</v>
      </c>
      <c r="D12" s="29" t="s">
        <v>55</v>
      </c>
      <c r="E12" s="29">
        <f>'Rep3'!J21</f>
        <v>89</v>
      </c>
      <c r="G12" s="29" t="s">
        <v>55</v>
      </c>
      <c r="H12" s="29">
        <f>B12/B7</f>
        <v>1.2032967032967032</v>
      </c>
      <c r="J12" s="29" t="s">
        <v>55</v>
      </c>
      <c r="K12" s="29">
        <f>E12/B7</f>
        <v>0.73351648351648358</v>
      </c>
    </row>
    <row r="14" spans="1:17" ht="22" x14ac:dyDescent="0.25">
      <c r="A14" s="27" t="s">
        <v>57</v>
      </c>
      <c r="C14" s="31"/>
      <c r="D14" s="29" t="s">
        <v>57</v>
      </c>
      <c r="F14" s="31"/>
      <c r="G14" s="29" t="s">
        <v>57</v>
      </c>
      <c r="J14" s="29" t="s">
        <v>57</v>
      </c>
    </row>
    <row r="15" spans="1:17" ht="22" x14ac:dyDescent="0.25">
      <c r="A15" s="27" t="s">
        <v>18</v>
      </c>
      <c r="D15" s="29" t="s">
        <v>21</v>
      </c>
      <c r="F15" s="31"/>
      <c r="G15" s="29" t="s">
        <v>18</v>
      </c>
      <c r="J15" s="29" t="s">
        <v>21</v>
      </c>
    </row>
    <row r="16" spans="1:17" ht="22" x14ac:dyDescent="0.25">
      <c r="A16" s="27" t="s">
        <v>61</v>
      </c>
      <c r="B16" s="28">
        <f>'Rep3'!B27</f>
        <v>569</v>
      </c>
      <c r="D16" s="29" t="s">
        <v>61</v>
      </c>
      <c r="E16" s="29">
        <f>'Rep3'!J27</f>
        <v>162</v>
      </c>
      <c r="F16" s="31"/>
      <c r="G16" s="29" t="s">
        <v>61</v>
      </c>
      <c r="H16" s="29">
        <f>B16/B7</f>
        <v>4.6895604395604398</v>
      </c>
      <c r="J16" s="29" t="s">
        <v>61</v>
      </c>
      <c r="K16" s="29">
        <f>E16/B7</f>
        <v>1.3351648351648353</v>
      </c>
    </row>
    <row r="17" spans="1:11" ht="22" x14ac:dyDescent="0.25">
      <c r="A17" s="27" t="s">
        <v>54</v>
      </c>
      <c r="B17" s="28">
        <f>'Rep3'!B28</f>
        <v>593</v>
      </c>
      <c r="D17" s="29" t="s">
        <v>54</v>
      </c>
      <c r="E17" s="29">
        <f>'Rep3'!J28</f>
        <v>145</v>
      </c>
      <c r="F17" s="31"/>
      <c r="G17" s="29" t="s">
        <v>54</v>
      </c>
      <c r="H17" s="29">
        <f>B17/B7</f>
        <v>4.8873626373626378</v>
      </c>
      <c r="J17" s="29" t="s">
        <v>54</v>
      </c>
      <c r="K17" s="29">
        <f>E17/B7</f>
        <v>1.195054945054945</v>
      </c>
    </row>
    <row r="18" spans="1:11" ht="22" x14ac:dyDescent="0.25">
      <c r="A18" s="29" t="s">
        <v>55</v>
      </c>
      <c r="B18" s="28">
        <f>'Rep3'!B29</f>
        <v>544</v>
      </c>
      <c r="D18" s="29" t="s">
        <v>55</v>
      </c>
      <c r="E18" s="29">
        <f>'Rep3'!J29</f>
        <v>136</v>
      </c>
      <c r="G18" s="29" t="s">
        <v>55</v>
      </c>
      <c r="H18" s="29">
        <f>B18/B7</f>
        <v>4.4835164835164836</v>
      </c>
      <c r="J18" s="29" t="s">
        <v>55</v>
      </c>
      <c r="K18" s="29">
        <f>E18/B7</f>
        <v>1.1208791208791209</v>
      </c>
    </row>
    <row r="20" spans="1:11" ht="22" x14ac:dyDescent="0.25">
      <c r="A20" s="27" t="s">
        <v>58</v>
      </c>
      <c r="C20" s="31"/>
      <c r="D20" s="29" t="s">
        <v>58</v>
      </c>
      <c r="F20" s="31"/>
      <c r="G20" s="29" t="s">
        <v>58</v>
      </c>
      <c r="J20" s="29" t="s">
        <v>58</v>
      </c>
    </row>
    <row r="21" spans="1:11" ht="22" x14ac:dyDescent="0.25">
      <c r="A21" s="27" t="s">
        <v>18</v>
      </c>
      <c r="D21" s="29" t="s">
        <v>21</v>
      </c>
      <c r="F21" s="31"/>
      <c r="G21" s="29" t="s">
        <v>18</v>
      </c>
      <c r="J21" s="29" t="s">
        <v>21</v>
      </c>
    </row>
    <row r="22" spans="1:11" ht="22" x14ac:dyDescent="0.25">
      <c r="A22" s="27" t="s">
        <v>61</v>
      </c>
      <c r="B22" s="28">
        <f>'Rep3'!B35</f>
        <v>1097</v>
      </c>
      <c r="D22" s="29" t="s">
        <v>61</v>
      </c>
      <c r="E22" s="29">
        <f>'Rep3'!J35</f>
        <v>269</v>
      </c>
      <c r="F22" s="31"/>
      <c r="G22" s="29" t="s">
        <v>61</v>
      </c>
      <c r="H22" s="29">
        <f>B22/B7</f>
        <v>9.041208791208792</v>
      </c>
      <c r="J22" s="29" t="s">
        <v>61</v>
      </c>
      <c r="K22" s="29">
        <f>E22/B7</f>
        <v>2.2170329670329672</v>
      </c>
    </row>
    <row r="23" spans="1:11" ht="22" x14ac:dyDescent="0.25">
      <c r="A23" s="27" t="s">
        <v>54</v>
      </c>
      <c r="B23" s="28">
        <f>'Rep3'!B36</f>
        <v>997</v>
      </c>
      <c r="D23" s="29" t="s">
        <v>54</v>
      </c>
      <c r="E23" s="29">
        <f>'Rep3'!J36</f>
        <v>268</v>
      </c>
      <c r="F23" s="31"/>
      <c r="G23" s="29" t="s">
        <v>54</v>
      </c>
      <c r="H23" s="29">
        <f>B23/B7</f>
        <v>8.2170329670329672</v>
      </c>
      <c r="J23" s="29" t="s">
        <v>54</v>
      </c>
      <c r="K23" s="29">
        <f>E23/B7</f>
        <v>2.2087912087912089</v>
      </c>
    </row>
    <row r="24" spans="1:11" ht="22" x14ac:dyDescent="0.25">
      <c r="A24" s="29" t="s">
        <v>55</v>
      </c>
      <c r="B24" s="28">
        <f>'Rep3'!B37</f>
        <v>1070</v>
      </c>
      <c r="D24" s="29" t="s">
        <v>55</v>
      </c>
      <c r="E24" s="29">
        <f>'Rep3'!J37</f>
        <v>280</v>
      </c>
      <c r="G24" s="29" t="s">
        <v>55</v>
      </c>
      <c r="H24" s="29">
        <f>B24/B7</f>
        <v>8.8186813186813193</v>
      </c>
      <c r="J24" s="29" t="s">
        <v>55</v>
      </c>
      <c r="K24" s="29">
        <f>E24/B7</f>
        <v>2.3076923076923079</v>
      </c>
    </row>
    <row r="26" spans="1:11" ht="22" x14ac:dyDescent="0.25">
      <c r="A26" s="27" t="s">
        <v>59</v>
      </c>
      <c r="C26" s="31"/>
      <c r="D26" s="29" t="s">
        <v>59</v>
      </c>
      <c r="F26" s="31"/>
      <c r="G26" s="29" t="s">
        <v>59</v>
      </c>
      <c r="J26" s="29" t="s">
        <v>59</v>
      </c>
    </row>
    <row r="27" spans="1:11" ht="22" x14ac:dyDescent="0.25">
      <c r="A27" s="27" t="s">
        <v>18</v>
      </c>
      <c r="D27" s="29" t="s">
        <v>21</v>
      </c>
      <c r="F27" s="31"/>
      <c r="G27" s="29" t="s">
        <v>18</v>
      </c>
      <c r="J27" s="29" t="s">
        <v>21</v>
      </c>
    </row>
    <row r="28" spans="1:11" ht="22" x14ac:dyDescent="0.25">
      <c r="A28" s="27" t="s">
        <v>61</v>
      </c>
      <c r="B28" s="28">
        <f>'Rep3'!B45</f>
        <v>1595</v>
      </c>
      <c r="D28" s="29" t="s">
        <v>61</v>
      </c>
      <c r="E28" s="29">
        <f>'Rep3'!J45</f>
        <v>333</v>
      </c>
      <c r="F28" s="31"/>
      <c r="G28" s="29" t="s">
        <v>61</v>
      </c>
      <c r="H28" s="29">
        <f>B28/B7</f>
        <v>13.145604395604396</v>
      </c>
      <c r="J28" s="29" t="s">
        <v>61</v>
      </c>
      <c r="K28" s="29">
        <f>E28/B7</f>
        <v>2.7445054945054945</v>
      </c>
    </row>
    <row r="29" spans="1:11" ht="22" x14ac:dyDescent="0.25">
      <c r="A29" s="27" t="s">
        <v>54</v>
      </c>
      <c r="B29" s="28">
        <f>'Rep3'!B46</f>
        <v>1565</v>
      </c>
      <c r="D29" s="29" t="s">
        <v>54</v>
      </c>
      <c r="E29" s="29">
        <f>'Rep3'!J46</f>
        <v>290</v>
      </c>
      <c r="F29" s="31"/>
      <c r="G29" s="29" t="s">
        <v>54</v>
      </c>
      <c r="H29" s="29">
        <f>B29/B7</f>
        <v>12.89835164835165</v>
      </c>
      <c r="J29" s="29" t="s">
        <v>54</v>
      </c>
      <c r="K29" s="29">
        <f>E29/B7</f>
        <v>2.3901098901098901</v>
      </c>
    </row>
    <row r="30" spans="1:11" ht="22" x14ac:dyDescent="0.25">
      <c r="A30" s="29" t="s">
        <v>55</v>
      </c>
      <c r="B30" s="28">
        <f>'Rep3'!B47</f>
        <v>1622</v>
      </c>
      <c r="D30" s="29" t="s">
        <v>55</v>
      </c>
      <c r="E30" s="29">
        <f>'Rep3'!J47</f>
        <v>285</v>
      </c>
      <c r="G30" s="29" t="s">
        <v>55</v>
      </c>
      <c r="H30" s="29">
        <f>B30/B7</f>
        <v>13.368131868131869</v>
      </c>
      <c r="J30" s="29" t="s">
        <v>55</v>
      </c>
      <c r="K30" s="29">
        <f>E30/B7</f>
        <v>2.348901098901099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Rep1</vt:lpstr>
      <vt:lpstr>Rep11</vt:lpstr>
      <vt:lpstr>Rep2</vt:lpstr>
      <vt:lpstr>Rep22</vt:lpstr>
      <vt:lpstr>Rep3</vt:lpstr>
      <vt:lpstr>Rep33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Marie Demas</dc:creator>
  <cp:lastModifiedBy>Microsoft Office User</cp:lastModifiedBy>
  <dcterms:created xsi:type="dcterms:W3CDTF">2020-11-04T16:42:49Z</dcterms:created>
  <dcterms:modified xsi:type="dcterms:W3CDTF">2020-12-17T20:17:41Z</dcterms:modified>
</cp:coreProperties>
</file>