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ftsman/Documents/Wei He/Blacksburg/Study/research/R01/Data/"/>
    </mc:Choice>
  </mc:AlternateContent>
  <xr:revisionPtr revIDLastSave="0" documentId="13_ncr:1_{2B5082DC-1C36-DD4B-AD1F-8639CF138BA7}" xr6:coauthVersionLast="45" xr6:coauthVersionMax="45" xr10:uidLastSave="{00000000-0000-0000-0000-000000000000}"/>
  <bookViews>
    <workbookView xWindow="2480" yWindow="460" windowWidth="26880" windowHeight="22180" activeTab="2" xr2:uid="{00000000-000D-0000-FFFF-FFFF00000000}"/>
  </bookViews>
  <sheets>
    <sheet name="Rep1 5.17.21" sheetId="5" r:id="rId1"/>
    <sheet name="Rep2 6.7.21 " sheetId="7" r:id="rId2"/>
    <sheet name="Rep3 6.7.21 " sheetId="8" r:id="rId3"/>
    <sheet name="Rep1" sheetId="6" r:id="rId4"/>
    <sheet name="Rep2" sheetId="9" r:id="rId5"/>
    <sheet name="Rep3" sheetId="10" r:id="rId6"/>
  </sheets>
  <calcPr calcId="191029"/>
</workbook>
</file>

<file path=xl/calcChain.xml><?xml version="1.0" encoding="utf-8"?>
<calcChain xmlns="http://schemas.openxmlformats.org/spreadsheetml/2006/main">
  <c r="A26" i="10" l="1"/>
  <c r="A25" i="10"/>
  <c r="A24" i="10"/>
  <c r="A19" i="10"/>
  <c r="A18" i="10"/>
  <c r="A17" i="10"/>
  <c r="A12" i="10"/>
  <c r="A11" i="10"/>
  <c r="A10" i="10"/>
  <c r="B10" i="10"/>
  <c r="B5" i="10"/>
  <c r="B4" i="10"/>
  <c r="B3" i="10"/>
  <c r="B11" i="10"/>
  <c r="B6" i="10"/>
  <c r="A26" i="9"/>
  <c r="A25" i="9"/>
  <c r="A24" i="9"/>
  <c r="A19" i="9"/>
  <c r="A18" i="9"/>
  <c r="A17" i="9"/>
  <c r="A12" i="9"/>
  <c r="A11" i="9"/>
  <c r="A10" i="9"/>
  <c r="B10" i="9" s="1"/>
  <c r="B5" i="9"/>
  <c r="B4" i="9"/>
  <c r="B3" i="9"/>
  <c r="B6" i="9"/>
  <c r="C37" i="8"/>
  <c r="E37" i="8" s="1"/>
  <c r="C36" i="8"/>
  <c r="E36" i="8" s="1"/>
  <c r="C35" i="8"/>
  <c r="E35" i="8" s="1"/>
  <c r="C30" i="8"/>
  <c r="E30" i="8" s="1"/>
  <c r="C29" i="8"/>
  <c r="E29" i="8" s="1"/>
  <c r="C28" i="8"/>
  <c r="E28" i="8" s="1"/>
  <c r="C23" i="8"/>
  <c r="E23" i="8" s="1"/>
  <c r="C22" i="8"/>
  <c r="E22" i="8" s="1"/>
  <c r="C21" i="8"/>
  <c r="E21" i="8" s="1"/>
  <c r="C17" i="8"/>
  <c r="E17" i="8" s="1"/>
  <c r="C16" i="8"/>
  <c r="E16" i="8" s="1"/>
  <c r="C15" i="8"/>
  <c r="E15" i="8" s="1"/>
  <c r="C37" i="7"/>
  <c r="E37" i="7" s="1"/>
  <c r="C36" i="7"/>
  <c r="E36" i="7" s="1"/>
  <c r="E35" i="7"/>
  <c r="C35" i="7"/>
  <c r="C30" i="7"/>
  <c r="E30" i="7" s="1"/>
  <c r="F28" i="7" s="1"/>
  <c r="E29" i="7"/>
  <c r="C29" i="7"/>
  <c r="E28" i="7"/>
  <c r="C28" i="7"/>
  <c r="C23" i="7"/>
  <c r="E23" i="7" s="1"/>
  <c r="F21" i="7" s="1"/>
  <c r="E22" i="7"/>
  <c r="C22" i="7"/>
  <c r="E21" i="7"/>
  <c r="G21" i="7" s="1"/>
  <c r="C21" i="7"/>
  <c r="C17" i="7"/>
  <c r="E17" i="7" s="1"/>
  <c r="E16" i="7"/>
  <c r="C16" i="7"/>
  <c r="E15" i="7"/>
  <c r="C15" i="7"/>
  <c r="B12" i="10" l="1"/>
  <c r="B24" i="10"/>
  <c r="B19" i="10"/>
  <c r="B17" i="10"/>
  <c r="B25" i="10"/>
  <c r="G3" i="10"/>
  <c r="B18" i="10"/>
  <c r="B26" i="10"/>
  <c r="B24" i="9"/>
  <c r="B12" i="9"/>
  <c r="B18" i="9"/>
  <c r="B26" i="9"/>
  <c r="B19" i="9"/>
  <c r="B17" i="9"/>
  <c r="B25" i="9"/>
  <c r="B11" i="9"/>
  <c r="G15" i="8"/>
  <c r="F15" i="8"/>
  <c r="G35" i="8"/>
  <c r="F35" i="8"/>
  <c r="G28" i="8"/>
  <c r="F28" i="8"/>
  <c r="G21" i="8"/>
  <c r="F21" i="8"/>
  <c r="G28" i="7"/>
  <c r="G15" i="7"/>
  <c r="F15" i="7"/>
  <c r="F35" i="7"/>
  <c r="G35" i="7"/>
  <c r="I3" i="6"/>
  <c r="H3" i="6"/>
  <c r="G3" i="6"/>
  <c r="B26" i="6"/>
  <c r="B25" i="6"/>
  <c r="B24" i="6"/>
  <c r="A26" i="6"/>
  <c r="A25" i="6"/>
  <c r="A24" i="6"/>
  <c r="B19" i="6"/>
  <c r="B18" i="6"/>
  <c r="B17" i="6"/>
  <c r="A19" i="6"/>
  <c r="A18" i="6"/>
  <c r="A17" i="6"/>
  <c r="B12" i="6"/>
  <c r="B11" i="6"/>
  <c r="B10" i="6"/>
  <c r="A12" i="6"/>
  <c r="A11" i="6"/>
  <c r="A10" i="6"/>
  <c r="B5" i="6"/>
  <c r="B4" i="6"/>
  <c r="B3" i="6"/>
  <c r="B6" i="6"/>
  <c r="I3" i="10" l="1"/>
  <c r="H3" i="10"/>
  <c r="H3" i="9"/>
  <c r="G3" i="9"/>
  <c r="I3" i="9"/>
  <c r="C30" i="5"/>
  <c r="E30" i="5"/>
  <c r="C29" i="5"/>
  <c r="E29" i="5"/>
  <c r="C28" i="5"/>
  <c r="E28" i="5"/>
  <c r="C37" i="5"/>
  <c r="E37" i="5"/>
  <c r="C36" i="5"/>
  <c r="E36" i="5"/>
  <c r="C35" i="5"/>
  <c r="E35" i="5"/>
  <c r="C23" i="5"/>
  <c r="E23" i="5"/>
  <c r="C22" i="5"/>
  <c r="E22" i="5"/>
  <c r="C21" i="5"/>
  <c r="E21" i="5"/>
  <c r="C17" i="5"/>
  <c r="E17" i="5"/>
  <c r="C16" i="5"/>
  <c r="E16" i="5"/>
  <c r="C15" i="5"/>
  <c r="E15" i="5"/>
  <c r="G28" i="5"/>
  <c r="F28" i="5"/>
  <c r="G15" i="5"/>
  <c r="G35" i="5"/>
  <c r="F35" i="5"/>
  <c r="F21" i="5"/>
  <c r="G21" i="5"/>
  <c r="F15" i="5"/>
</calcChain>
</file>

<file path=xl/sharedStrings.xml><?xml version="1.0" encoding="utf-8"?>
<sst xmlns="http://schemas.openxmlformats.org/spreadsheetml/2006/main" count="213" uniqueCount="69">
  <si>
    <t>Sample</t>
  </si>
  <si>
    <t>Counter Read</t>
  </si>
  <si>
    <t>Cells/mL</t>
  </si>
  <si>
    <t>mL of cells</t>
  </si>
  <si>
    <t>Total cell number</t>
  </si>
  <si>
    <t>Average total cell #</t>
  </si>
  <si>
    <t>Stdev</t>
  </si>
  <si>
    <t>**All counts read on 3rd floor coulter counter**</t>
  </si>
  <si>
    <r>
      <rPr>
        <b/>
        <sz val="11"/>
        <color indexed="8"/>
        <rFont val="Calibri"/>
        <family val="2"/>
      </rPr>
      <t>Tuesday 5/18/21</t>
    </r>
    <r>
      <rPr>
        <sz val="11"/>
        <color theme="1"/>
        <rFont val="Calibri"/>
        <family val="2"/>
        <scheme val="minor"/>
      </rPr>
      <t xml:space="preserve">, Count T=0 plate. </t>
    </r>
  </si>
  <si>
    <r>
      <rPr>
        <b/>
        <sz val="11"/>
        <color indexed="8"/>
        <rFont val="Calibri"/>
        <family val="2"/>
      </rPr>
      <t>Monday 5/17/21</t>
    </r>
    <r>
      <rPr>
        <sz val="11"/>
        <color theme="1"/>
        <rFont val="Calibri"/>
        <family val="2"/>
        <scheme val="minor"/>
      </rPr>
      <t>, plated 45k cells on (5) 60mm dishes of MCF7f p82+12+15+46 for T=0, Day7, Day10, Day14, and Day21</t>
    </r>
  </si>
  <si>
    <r>
      <rPr>
        <b/>
        <sz val="11"/>
        <color indexed="8"/>
        <rFont val="Calibri"/>
        <family val="2"/>
      </rPr>
      <t>Monday 5/24/21</t>
    </r>
    <r>
      <rPr>
        <sz val="11"/>
        <color theme="1"/>
        <rFont val="Calibri"/>
        <family val="2"/>
        <scheme val="minor"/>
      </rPr>
      <t xml:space="preserve">, Count Day 7 plate, feed remaining plates with fresh media </t>
    </r>
  </si>
  <si>
    <r>
      <t xml:space="preserve">Friday 5/21/21, </t>
    </r>
    <r>
      <rPr>
        <sz val="11"/>
        <color indexed="8"/>
        <rFont val="Calibri"/>
        <family val="2"/>
      </rPr>
      <t>Feed all plates with fresh media</t>
    </r>
    <r>
      <rPr>
        <b/>
        <sz val="11"/>
        <color indexed="8"/>
        <rFont val="Calibri"/>
        <family val="2"/>
      </rPr>
      <t xml:space="preserve"> (feed plates every Monday and Friday) </t>
    </r>
  </si>
  <si>
    <r>
      <rPr>
        <b/>
        <sz val="11"/>
        <color indexed="8"/>
        <rFont val="Calibri"/>
        <family val="2"/>
      </rPr>
      <t xml:space="preserve">Monday 6/7/21, </t>
    </r>
    <r>
      <rPr>
        <sz val="11"/>
        <color theme="1"/>
        <rFont val="Calibri"/>
        <family val="2"/>
        <scheme val="minor"/>
      </rPr>
      <t>Count day 21 plate</t>
    </r>
  </si>
  <si>
    <r>
      <t xml:space="preserve">Coulter Counter Counts: </t>
    </r>
    <r>
      <rPr>
        <b/>
        <sz val="14"/>
        <color indexed="10"/>
        <rFont val="Calibri"/>
        <family val="2"/>
      </rPr>
      <t>MCF7f  Control Proliferation_3 weeks  (10%CCS+10nM E2)_Rep#1</t>
    </r>
  </si>
  <si>
    <t xml:space="preserve"> MCF7 T=0 #2</t>
  </si>
  <si>
    <t xml:space="preserve"> MCF7 T=0 #1</t>
  </si>
  <si>
    <t xml:space="preserve"> MCF7 T=0 #3</t>
  </si>
  <si>
    <t>MCF7 Day 7 #1</t>
  </si>
  <si>
    <t xml:space="preserve">Day 7 (5/24) </t>
  </si>
  <si>
    <t>MCF7 Day 7 #2</t>
  </si>
  <si>
    <t>MCF7 Day 7 #3</t>
  </si>
  <si>
    <t>Day 14/15 (6/1)</t>
  </si>
  <si>
    <t>MCF7 Day 15 #1</t>
  </si>
  <si>
    <t>MCF7 Day 15 #2</t>
  </si>
  <si>
    <t>MCF7 Day 15 #3</t>
  </si>
  <si>
    <t>T=0 (5/18)</t>
  </si>
  <si>
    <r>
      <rPr>
        <b/>
        <sz val="11"/>
        <color indexed="8"/>
        <rFont val="Calibri"/>
        <family val="2"/>
      </rPr>
      <t>Thursday 5/27/21</t>
    </r>
    <r>
      <rPr>
        <sz val="11"/>
        <color theme="1"/>
        <rFont val="Calibri"/>
        <family val="2"/>
        <scheme val="minor"/>
      </rPr>
      <t>, Count Day 10 plate</t>
    </r>
  </si>
  <si>
    <t>MCF7 Day 10 #1</t>
  </si>
  <si>
    <t>MCF7 Day 10 #2</t>
  </si>
  <si>
    <t>MCF7 Day 10 #3</t>
  </si>
  <si>
    <t xml:space="preserve">Day 11 (5/28) </t>
  </si>
  <si>
    <t>*Cells very confluent ~95% with lots of floaters</t>
  </si>
  <si>
    <t>Sample*</t>
  </si>
  <si>
    <r>
      <rPr>
        <b/>
        <sz val="11"/>
        <color indexed="10"/>
        <rFont val="Calibri"/>
        <family val="2"/>
      </rPr>
      <t>Day 17 (Thursday):</t>
    </r>
    <r>
      <rPr>
        <sz val="11"/>
        <color indexed="10"/>
        <rFont val="Calibri"/>
        <family val="2"/>
      </rPr>
      <t xml:space="preserve"> Noticed cells in "Day21" plate are very over-grown and dying. Per Ayesha and Bill, do not count. Will stop all 3 reps at day 15</t>
    </r>
  </si>
  <si>
    <r>
      <rPr>
        <b/>
        <sz val="11"/>
        <color indexed="8"/>
        <rFont val="Calibri"/>
        <family val="2"/>
      </rPr>
      <t xml:space="preserve">Tuesday 6/1/21, </t>
    </r>
    <r>
      <rPr>
        <sz val="11"/>
        <color indexed="10"/>
        <rFont val="Calibri"/>
        <family val="2"/>
      </rPr>
      <t>Count day 14 plate on Day 15 instead (Monday was a holiday)</t>
    </r>
  </si>
  <si>
    <t>Day 0</t>
  </si>
  <si>
    <t xml:space="preserve"> T=0 #1</t>
  </si>
  <si>
    <t xml:space="preserve"> T=0 #2</t>
  </si>
  <si>
    <t>T=0  #3</t>
  </si>
  <si>
    <t>Day7</t>
  </si>
  <si>
    <t xml:space="preserve">E2		 	control	</t>
  </si>
  <si>
    <t>Day10</t>
  </si>
  <si>
    <t>Day14</t>
  </si>
  <si>
    <t>7day</t>
  </si>
  <si>
    <t>14day</t>
  </si>
  <si>
    <t>E2</t>
  </si>
  <si>
    <r>
      <t xml:space="preserve">Coulter Counter Counts: </t>
    </r>
    <r>
      <rPr>
        <b/>
        <sz val="14"/>
        <color indexed="10"/>
        <rFont val="Calibri"/>
        <family val="2"/>
      </rPr>
      <t>MCF7f  Control Proliferation_3 weeks  (10%CCS+10nM E2)_Rep#2</t>
    </r>
  </si>
  <si>
    <r>
      <rPr>
        <b/>
        <sz val="11"/>
        <color indexed="8"/>
        <rFont val="Calibri"/>
        <family val="2"/>
      </rPr>
      <t>Monday 6/7/21</t>
    </r>
    <r>
      <rPr>
        <sz val="11"/>
        <color theme="1"/>
        <rFont val="Calibri"/>
        <family val="2"/>
        <scheme val="minor"/>
      </rPr>
      <t>, plated 45k cells on (4) 60mm dishes of MCF7f p82+12+15+52 for T=0, Day7, Day11, Day15</t>
    </r>
  </si>
  <si>
    <r>
      <rPr>
        <b/>
        <sz val="11"/>
        <color indexed="8"/>
        <rFont val="Calibri"/>
        <family val="2"/>
      </rPr>
      <t>Tuesday 6/8/21</t>
    </r>
    <r>
      <rPr>
        <sz val="11"/>
        <color theme="1"/>
        <rFont val="Calibri"/>
        <family val="2"/>
        <scheme val="minor"/>
      </rPr>
      <t xml:space="preserve">, Count T=0 plate. </t>
    </r>
  </si>
  <si>
    <r>
      <t xml:space="preserve">Friday 6/11/21, </t>
    </r>
    <r>
      <rPr>
        <sz val="11"/>
        <color indexed="8"/>
        <rFont val="Calibri"/>
        <family val="2"/>
      </rPr>
      <t>Feed all plates with fresh media</t>
    </r>
    <r>
      <rPr>
        <b/>
        <sz val="11"/>
        <color indexed="8"/>
        <rFont val="Calibri"/>
        <family val="2"/>
      </rPr>
      <t xml:space="preserve"> (feed plates every Monday and Friday) </t>
    </r>
  </si>
  <si>
    <r>
      <rPr>
        <b/>
        <sz val="11"/>
        <color indexed="8"/>
        <rFont val="Calibri"/>
        <family val="2"/>
      </rPr>
      <t>Monday 6/14/21</t>
    </r>
    <r>
      <rPr>
        <sz val="11"/>
        <color theme="1"/>
        <rFont val="Calibri"/>
        <family val="2"/>
        <scheme val="minor"/>
      </rPr>
      <t xml:space="preserve">, Count Day 7 plate, feed remaining plates with fresh media </t>
    </r>
  </si>
  <si>
    <r>
      <rPr>
        <b/>
        <sz val="11"/>
        <color indexed="8"/>
        <rFont val="Calibri"/>
        <family val="2"/>
      </rPr>
      <t>Thursday 6/17/21</t>
    </r>
    <r>
      <rPr>
        <sz val="11"/>
        <color theme="1"/>
        <rFont val="Calibri"/>
        <family val="2"/>
        <scheme val="minor"/>
      </rPr>
      <t>, Count Day 11 plate</t>
    </r>
  </si>
  <si>
    <r>
      <rPr>
        <b/>
        <sz val="11"/>
        <color indexed="8"/>
        <rFont val="Calibri"/>
        <family val="2"/>
      </rPr>
      <t xml:space="preserve">Tuesday 6/22/21, </t>
    </r>
    <r>
      <rPr>
        <sz val="11"/>
        <color indexed="10"/>
        <rFont val="Calibri"/>
        <family val="2"/>
      </rPr>
      <t>Count  Day 15</t>
    </r>
  </si>
  <si>
    <t>T=0 (6/8)</t>
  </si>
  <si>
    <t xml:space="preserve">Day 7 (6/14) </t>
  </si>
  <si>
    <t>Day 7: ~60% confluent</t>
  </si>
  <si>
    <t xml:space="preserve">Day 11 (6/18) </t>
  </si>
  <si>
    <t>MCF7 Day 11 #1</t>
  </si>
  <si>
    <t>MCF7 Day 11 #2</t>
  </si>
  <si>
    <t>MCF7 Day 11 #3</t>
  </si>
  <si>
    <t>Day 11: ~85% confluent</t>
  </si>
  <si>
    <t>Day 15 (6/22)</t>
  </si>
  <si>
    <t>*Cells very confluent ~95% with lots of floaters, growing ontop of eachother</t>
  </si>
  <si>
    <r>
      <t xml:space="preserve">Coulter Counter Counts: </t>
    </r>
    <r>
      <rPr>
        <b/>
        <sz val="14"/>
        <color indexed="10"/>
        <rFont val="Calibri"/>
        <family val="2"/>
      </rPr>
      <t>MCF7f  Control Proliferation_3 weeks  (10%CCS+10nM E2)_Rep#3</t>
    </r>
  </si>
  <si>
    <r>
      <rPr>
        <b/>
        <sz val="11"/>
        <color indexed="8"/>
        <rFont val="Calibri"/>
        <family val="2"/>
      </rPr>
      <t>Monday 6/7/21</t>
    </r>
    <r>
      <rPr>
        <sz val="11"/>
        <color theme="1"/>
        <rFont val="Calibri"/>
        <family val="2"/>
        <scheme val="minor"/>
      </rPr>
      <t>, plated 45k cells on (4) 60mm dishes of MCF7f</t>
    </r>
    <r>
      <rPr>
        <b/>
        <sz val="11"/>
        <color indexed="8"/>
        <rFont val="Calibri"/>
        <family val="2"/>
      </rPr>
      <t xml:space="preserve"> p82+12+15+24+7 </t>
    </r>
    <r>
      <rPr>
        <sz val="11"/>
        <color theme="1"/>
        <rFont val="Calibri"/>
        <family val="2"/>
        <scheme val="minor"/>
      </rPr>
      <t>for T=0, Day7, Day11, Day15</t>
    </r>
  </si>
  <si>
    <t>Day 7: ~50-60% confluent</t>
  </si>
  <si>
    <t>Day 11: ~75-80% confluent</t>
  </si>
  <si>
    <t>Day 15:~90% with lots of floaters</t>
  </si>
  <si>
    <t>11day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</si>
</sst>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Calibri"/>
      <family val="2"/>
    </font>
    <font>
      <b/>
      <sz val="14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0" fontId="0" fillId="0" borderId="0" xfId="0" applyBorder="1"/>
    <xf numFmtId="0" fontId="10" fillId="2" borderId="4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1" xfId="0" applyFon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11" fillId="0" borderId="0" xfId="0" applyFont="1" applyBorder="1" applyAlignment="1"/>
    <xf numFmtId="0" fontId="11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0" xfId="0" applyFont="1"/>
    <xf numFmtId="164" fontId="0" fillId="0" borderId="0" xfId="0" applyNumberFormat="1"/>
    <xf numFmtId="0" fontId="1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center" wrapText="1"/>
    </xf>
    <xf numFmtId="164" fontId="0" fillId="0" borderId="0" xfId="0" applyNumberFormat="1" applyAlignment="1">
      <alignment horizontal="center"/>
    </xf>
    <xf numFmtId="164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/>
    <xf numFmtId="0" fontId="7" fillId="0" borderId="6" xfId="0" applyFont="1" applyBorder="1"/>
    <xf numFmtId="0" fontId="7" fillId="0" borderId="7" xfId="0" applyFont="1" applyBorder="1"/>
    <xf numFmtId="0" fontId="7" fillId="0" borderId="1" xfId="0" applyFont="1" applyBorder="1"/>
    <xf numFmtId="0" fontId="0" fillId="0" borderId="1" xfId="0" applyBorder="1"/>
    <xf numFmtId="0" fontId="7" fillId="0" borderId="0" xfId="0" applyFont="1" applyBorder="1" applyAlignment="1">
      <alignment horizontal="left" wrapText="1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workbookViewId="0">
      <selection activeCell="I28" sqref="I28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7" width="9.5" bestFit="1" customWidth="1"/>
    <col min="8" max="8" width="5.1640625" customWidth="1"/>
    <col min="9" max="9" width="41" customWidth="1"/>
    <col min="10" max="10" width="8.83203125" customWidth="1"/>
    <col min="11" max="11" width="9.5" bestFit="1" customWidth="1"/>
    <col min="12" max="12" width="8.83203125" customWidth="1"/>
    <col min="13" max="14" width="9.5" bestFit="1" customWidth="1"/>
    <col min="15" max="15" width="25.33203125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</cols>
  <sheetData>
    <row r="1" spans="1:26" ht="19" x14ac:dyDescent="0.25">
      <c r="A1" s="30" t="s">
        <v>13</v>
      </c>
      <c r="B1" s="30"/>
      <c r="C1" s="30"/>
      <c r="D1" s="30"/>
      <c r="E1" s="30"/>
      <c r="F1" s="30"/>
      <c r="G1" s="30"/>
      <c r="H1" s="30"/>
      <c r="I1" s="30"/>
    </row>
    <row r="2" spans="1:26" x14ac:dyDescent="0.2">
      <c r="A2" t="s">
        <v>9</v>
      </c>
    </row>
    <row r="3" spans="1:26" x14ac:dyDescent="0.2">
      <c r="A3" s="1" t="s">
        <v>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6" ht="15" customHeight="1" x14ac:dyDescent="0.2">
      <c r="A4" s="53" t="s">
        <v>11</v>
      </c>
      <c r="B4" s="53"/>
      <c r="C4" s="53"/>
      <c r="D4" s="53"/>
      <c r="E4" s="53"/>
      <c r="F4" s="53"/>
      <c r="G4" s="53"/>
      <c r="H4" s="31"/>
      <c r="I4" s="31"/>
      <c r="J4" s="31"/>
      <c r="K4" s="31"/>
      <c r="L4" s="31"/>
      <c r="M4" s="31"/>
      <c r="N4" s="3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26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">
      <c r="A7" s="54" t="s">
        <v>34</v>
      </c>
      <c r="B7" s="54"/>
      <c r="C7" s="54"/>
      <c r="D7" s="54"/>
      <c r="E7" s="54"/>
      <c r="F7" s="54"/>
      <c r="G7" s="54"/>
      <c r="H7" s="31"/>
      <c r="I7" s="31"/>
      <c r="J7" s="31"/>
      <c r="K7" s="31"/>
      <c r="L7" s="31"/>
      <c r="M7" s="31"/>
      <c r="N7" s="3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">
      <c r="A8" s="55" t="s">
        <v>12</v>
      </c>
      <c r="B8" s="55"/>
      <c r="C8" s="55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28"/>
      <c r="J11" s="28"/>
      <c r="K11" s="28"/>
      <c r="L11" s="28"/>
      <c r="M11" s="28"/>
      <c r="N11" s="28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x14ac:dyDescent="0.2">
      <c r="A12" s="23" t="s">
        <v>7</v>
      </c>
      <c r="B12" s="23"/>
      <c r="C12" s="23"/>
      <c r="D12" s="24"/>
      <c r="E12" s="1"/>
      <c r="F12" s="1"/>
      <c r="G12" s="1"/>
      <c r="H12" s="1"/>
      <c r="I12" s="1"/>
      <c r="J12" s="1"/>
      <c r="K12" s="1"/>
      <c r="L12" s="1"/>
    </row>
    <row r="13" spans="1:26" ht="19" x14ac:dyDescent="0.25">
      <c r="A13" s="50" t="s">
        <v>25</v>
      </c>
      <c r="B13" s="51"/>
      <c r="C13" s="51"/>
      <c r="D13" s="51"/>
      <c r="E13" s="51"/>
      <c r="F13" s="51"/>
      <c r="G13" s="52"/>
    </row>
    <row r="14" spans="1:26" ht="32" x14ac:dyDescent="0.2">
      <c r="A14" s="2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4" t="s">
        <v>5</v>
      </c>
      <c r="G14" s="5" t="s">
        <v>6</v>
      </c>
      <c r="H14" s="6"/>
      <c r="I14" s="6"/>
      <c r="J14" s="6"/>
      <c r="K14" s="6"/>
      <c r="L14" s="6"/>
      <c r="M14" s="6"/>
      <c r="N14" s="6"/>
      <c r="O14" s="6"/>
    </row>
    <row r="15" spans="1:26" x14ac:dyDescent="0.2">
      <c r="A15" s="7" t="s">
        <v>15</v>
      </c>
      <c r="B15" s="8">
        <v>47</v>
      </c>
      <c r="C15" s="9">
        <f>B15*400</f>
        <v>18800</v>
      </c>
      <c r="D15" s="8">
        <v>2.5</v>
      </c>
      <c r="E15" s="9">
        <f>C15*D15</f>
        <v>47000</v>
      </c>
      <c r="F15" s="10">
        <f>AVERAGE(E15:E17)</f>
        <v>45666.666666666664</v>
      </c>
      <c r="G15" s="11">
        <f>_xlfn.STDEV.S(E15:E17)</f>
        <v>1527.5252316519466</v>
      </c>
      <c r="H15" s="6"/>
      <c r="I15" s="6"/>
      <c r="J15" s="6"/>
      <c r="K15" s="6"/>
      <c r="L15" s="6"/>
      <c r="M15" s="6"/>
      <c r="N15" s="6"/>
      <c r="O15" s="6"/>
    </row>
    <row r="16" spans="1:26" x14ac:dyDescent="0.2">
      <c r="A16" s="7" t="s">
        <v>14</v>
      </c>
      <c r="B16" s="8">
        <v>46</v>
      </c>
      <c r="C16" s="9">
        <f>B16*400</f>
        <v>18400</v>
      </c>
      <c r="D16" s="8">
        <v>2.5</v>
      </c>
      <c r="E16" s="9">
        <f>C16*D16</f>
        <v>46000</v>
      </c>
      <c r="F16" s="9"/>
      <c r="G16" s="12"/>
      <c r="H16" s="6"/>
      <c r="I16" s="6"/>
      <c r="J16" s="6"/>
      <c r="K16" s="6"/>
      <c r="L16" s="6"/>
      <c r="M16" s="6"/>
      <c r="N16" s="6"/>
      <c r="O16" s="6"/>
    </row>
    <row r="17" spans="1:15" x14ac:dyDescent="0.2">
      <c r="A17" s="13" t="s">
        <v>16</v>
      </c>
      <c r="B17" s="14">
        <v>44</v>
      </c>
      <c r="C17" s="15">
        <f>B17*400</f>
        <v>17600</v>
      </c>
      <c r="D17" s="14">
        <v>2.5</v>
      </c>
      <c r="E17" s="15">
        <f>C17*D17</f>
        <v>44000</v>
      </c>
      <c r="F17" s="15"/>
      <c r="G17" s="16"/>
      <c r="H17" s="6"/>
      <c r="I17" s="6"/>
      <c r="J17" s="6"/>
      <c r="K17" s="6"/>
      <c r="L17" s="6"/>
      <c r="M17" s="6"/>
      <c r="N17" s="6"/>
      <c r="O17" s="6"/>
    </row>
    <row r="18" spans="1:15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9" x14ac:dyDescent="0.25">
      <c r="A19" s="50" t="s">
        <v>18</v>
      </c>
      <c r="B19" s="51"/>
      <c r="C19" s="51"/>
      <c r="D19" s="51"/>
      <c r="E19" s="51"/>
      <c r="F19" s="51"/>
      <c r="G19" s="52"/>
    </row>
    <row r="20" spans="1:15" ht="32" x14ac:dyDescent="0.2">
      <c r="A20" s="17" t="s">
        <v>0</v>
      </c>
      <c r="B20" s="18" t="s">
        <v>1</v>
      </c>
      <c r="C20" s="18" t="s">
        <v>2</v>
      </c>
      <c r="D20" s="18" t="s">
        <v>3</v>
      </c>
      <c r="E20" s="18" t="s">
        <v>4</v>
      </c>
      <c r="F20" s="19" t="s">
        <v>5</v>
      </c>
      <c r="G20" s="20" t="s">
        <v>6</v>
      </c>
    </row>
    <row r="21" spans="1:15" x14ac:dyDescent="0.2">
      <c r="A21" s="7" t="s">
        <v>17</v>
      </c>
      <c r="B21" s="8">
        <v>1505</v>
      </c>
      <c r="C21" s="9">
        <f>B21*400</f>
        <v>602000</v>
      </c>
      <c r="D21" s="8">
        <v>2.5</v>
      </c>
      <c r="E21" s="9">
        <f>C21*D21</f>
        <v>1505000</v>
      </c>
      <c r="F21" s="10">
        <f>AVERAGE(E21:E23)</f>
        <v>1498666.6666666667</v>
      </c>
      <c r="G21" s="11">
        <f>_xlfn.STDEV.S(E21:E23)</f>
        <v>50796.981537620253</v>
      </c>
    </row>
    <row r="22" spans="1:15" x14ac:dyDescent="0.2">
      <c r="A22" s="7" t="s">
        <v>19</v>
      </c>
      <c r="B22" s="8">
        <v>1445</v>
      </c>
      <c r="C22" s="9">
        <f>B22*400</f>
        <v>578000</v>
      </c>
      <c r="D22" s="8">
        <v>2.5</v>
      </c>
      <c r="E22" s="9">
        <f>C22*D22</f>
        <v>1445000</v>
      </c>
      <c r="F22" s="9"/>
      <c r="G22" s="12"/>
    </row>
    <row r="23" spans="1:15" x14ac:dyDescent="0.2">
      <c r="A23" s="13" t="s">
        <v>20</v>
      </c>
      <c r="B23" s="14">
        <v>1546</v>
      </c>
      <c r="C23" s="15">
        <f>B23*400</f>
        <v>618400</v>
      </c>
      <c r="D23" s="14">
        <v>2.5</v>
      </c>
      <c r="E23" s="15">
        <f>C23*D23</f>
        <v>1546000</v>
      </c>
      <c r="F23" s="15"/>
      <c r="G23" s="16"/>
    </row>
    <row r="24" spans="1:15" x14ac:dyDescent="0.2">
      <c r="A24" s="7"/>
      <c r="B24" s="8"/>
      <c r="C24" s="9"/>
      <c r="D24" s="8"/>
      <c r="E24" s="9"/>
      <c r="F24" s="9"/>
      <c r="G24" s="9"/>
      <c r="H24" s="21"/>
      <c r="I24" s="8"/>
      <c r="J24" s="9"/>
      <c r="K24" s="8"/>
      <c r="L24" s="9"/>
      <c r="M24" s="9"/>
      <c r="N24" s="9"/>
      <c r="O24" s="22"/>
    </row>
    <row r="25" spans="1:15" x14ac:dyDescent="0.2">
      <c r="A25" s="7"/>
      <c r="B25" s="8"/>
      <c r="C25" s="9"/>
      <c r="D25" s="8"/>
      <c r="E25" s="9"/>
      <c r="F25" s="9"/>
      <c r="G25" s="9"/>
      <c r="H25" s="21"/>
      <c r="I25" s="8"/>
      <c r="J25" s="9"/>
      <c r="K25" s="8"/>
      <c r="L25" s="9"/>
      <c r="M25" s="9"/>
      <c r="N25" s="9"/>
      <c r="O25" s="22"/>
    </row>
    <row r="26" spans="1:15" ht="19" x14ac:dyDescent="0.25">
      <c r="A26" s="50" t="s">
        <v>30</v>
      </c>
      <c r="B26" s="51"/>
      <c r="C26" s="51"/>
      <c r="D26" s="51"/>
      <c r="E26" s="51"/>
      <c r="F26" s="51"/>
      <c r="G26" s="52"/>
      <c r="H26" s="21"/>
      <c r="I26" s="8"/>
      <c r="J26" s="9"/>
      <c r="K26" s="8"/>
      <c r="L26" s="9"/>
      <c r="M26" s="9"/>
      <c r="N26" s="9"/>
      <c r="O26" s="22"/>
    </row>
    <row r="27" spans="1:15" ht="32" x14ac:dyDescent="0.2">
      <c r="A27" s="17" t="s">
        <v>0</v>
      </c>
      <c r="B27" s="18" t="s">
        <v>1</v>
      </c>
      <c r="C27" s="18" t="s">
        <v>2</v>
      </c>
      <c r="D27" s="18" t="s">
        <v>3</v>
      </c>
      <c r="E27" s="18" t="s">
        <v>4</v>
      </c>
      <c r="F27" s="19" t="s">
        <v>5</v>
      </c>
      <c r="G27" s="20" t="s">
        <v>6</v>
      </c>
      <c r="H27" s="21"/>
      <c r="I27" s="8"/>
      <c r="J27" s="9"/>
      <c r="K27" s="8"/>
      <c r="L27" s="9"/>
      <c r="M27" s="9"/>
      <c r="N27" s="9"/>
      <c r="O27" s="22"/>
    </row>
    <row r="28" spans="1:15" x14ac:dyDescent="0.2">
      <c r="A28" s="7" t="s">
        <v>27</v>
      </c>
      <c r="B28" s="8">
        <v>6267</v>
      </c>
      <c r="C28" s="9">
        <f>B28*400</f>
        <v>2506800</v>
      </c>
      <c r="D28" s="8">
        <v>2.5</v>
      </c>
      <c r="E28" s="9">
        <f>C28*D28</f>
        <v>6267000</v>
      </c>
      <c r="F28" s="10">
        <f>AVERAGE(E28:E30)</f>
        <v>6191666.666666667</v>
      </c>
      <c r="G28" s="11">
        <f>_xlfn.STDEV.S(E28:E30)</f>
        <v>204676.16698905939</v>
      </c>
      <c r="H28" s="21"/>
      <c r="I28" s="9"/>
      <c r="J28" s="9"/>
      <c r="K28" s="8"/>
      <c r="L28" s="9"/>
      <c r="M28" s="9"/>
      <c r="N28" s="9"/>
      <c r="O28" s="22"/>
    </row>
    <row r="29" spans="1:15" x14ac:dyDescent="0.2">
      <c r="A29" s="7" t="s">
        <v>28</v>
      </c>
      <c r="B29" s="8">
        <v>5960</v>
      </c>
      <c r="C29" s="9">
        <f>B29*400</f>
        <v>2384000</v>
      </c>
      <c r="D29" s="8">
        <v>2.5</v>
      </c>
      <c r="E29" s="9">
        <f>C29*D29</f>
        <v>5960000</v>
      </c>
      <c r="F29" s="9"/>
      <c r="G29" s="12"/>
      <c r="H29" s="21"/>
      <c r="I29" s="8"/>
      <c r="J29" s="9"/>
      <c r="K29" s="8"/>
      <c r="L29" s="9"/>
      <c r="M29" s="9"/>
      <c r="N29" s="9"/>
      <c r="O29" s="22"/>
    </row>
    <row r="30" spans="1:15" x14ac:dyDescent="0.2">
      <c r="A30" s="13" t="s">
        <v>29</v>
      </c>
      <c r="B30" s="14">
        <v>6348</v>
      </c>
      <c r="C30" s="15">
        <f>B30*400</f>
        <v>2539200</v>
      </c>
      <c r="D30" s="14">
        <v>2.5</v>
      </c>
      <c r="E30" s="15">
        <f>C30*D30</f>
        <v>6348000</v>
      </c>
      <c r="F30" s="15"/>
      <c r="G30" s="16"/>
      <c r="H30" s="21"/>
      <c r="I30" s="8"/>
      <c r="J30" s="9"/>
      <c r="K30" s="8"/>
      <c r="L30" s="9"/>
      <c r="M30" s="9"/>
      <c r="N30" s="9"/>
      <c r="O30" s="22"/>
    </row>
    <row r="31" spans="1:15" x14ac:dyDescent="0.2">
      <c r="A31" s="7"/>
      <c r="B31" s="8"/>
      <c r="C31" s="9"/>
      <c r="D31" s="8"/>
      <c r="E31" s="9"/>
      <c r="F31" s="9"/>
      <c r="G31" s="9"/>
      <c r="H31" s="21"/>
      <c r="I31" s="8"/>
      <c r="J31" s="9"/>
      <c r="K31" s="8"/>
      <c r="L31" s="9"/>
      <c r="M31" s="9"/>
      <c r="N31" s="9"/>
      <c r="O31" s="22"/>
    </row>
    <row r="32" spans="1:15" x14ac:dyDescent="0.2">
      <c r="A32" s="7"/>
      <c r="B32" s="8"/>
      <c r="C32" s="9"/>
      <c r="D32" s="8"/>
      <c r="E32" s="9"/>
      <c r="F32" s="9"/>
      <c r="G32" s="9"/>
    </row>
    <row r="33" spans="1:16" ht="19" x14ac:dyDescent="0.25">
      <c r="A33" s="50" t="s">
        <v>21</v>
      </c>
      <c r="B33" s="51"/>
      <c r="C33" s="51"/>
      <c r="D33" s="51"/>
      <c r="E33" s="51"/>
      <c r="F33" s="51"/>
      <c r="G33" s="52"/>
      <c r="H33" s="29"/>
      <c r="I33" s="29"/>
      <c r="J33" s="29"/>
      <c r="K33" s="29"/>
      <c r="L33" s="29"/>
      <c r="M33" s="29"/>
      <c r="N33" s="29"/>
      <c r="O33" s="29"/>
    </row>
    <row r="34" spans="1:16" ht="32" x14ac:dyDescent="0.2">
      <c r="A34" s="17" t="s">
        <v>32</v>
      </c>
      <c r="B34" s="18" t="s">
        <v>1</v>
      </c>
      <c r="C34" s="18" t="s">
        <v>2</v>
      </c>
      <c r="D34" s="18" t="s">
        <v>3</v>
      </c>
      <c r="E34" s="18" t="s">
        <v>4</v>
      </c>
      <c r="F34" s="19" t="s">
        <v>5</v>
      </c>
      <c r="G34" s="20" t="s">
        <v>6</v>
      </c>
      <c r="H34" s="8"/>
    </row>
    <row r="35" spans="1:16" x14ac:dyDescent="0.2">
      <c r="A35" s="7" t="s">
        <v>22</v>
      </c>
      <c r="B35" s="8">
        <v>9614</v>
      </c>
      <c r="C35" s="9">
        <f>B35*400</f>
        <v>3845600</v>
      </c>
      <c r="D35" s="8">
        <v>2.5</v>
      </c>
      <c r="E35" s="9">
        <f>C35*D35</f>
        <v>9614000</v>
      </c>
      <c r="F35" s="10">
        <f>AVERAGE(E35:E37)</f>
        <v>9227666.666666666</v>
      </c>
      <c r="G35" s="11">
        <f>_xlfn.STDEV.S(E35:E37)</f>
        <v>395818.56112786493</v>
      </c>
      <c r="H35" s="8"/>
    </row>
    <row r="36" spans="1:16" x14ac:dyDescent="0.2">
      <c r="A36" s="7" t="s">
        <v>23</v>
      </c>
      <c r="B36" s="8">
        <v>8823</v>
      </c>
      <c r="C36" s="9">
        <f>B36*400</f>
        <v>3529200</v>
      </c>
      <c r="D36" s="8">
        <v>2.5</v>
      </c>
      <c r="E36" s="9">
        <f>C36*D36</f>
        <v>8823000</v>
      </c>
      <c r="F36" s="9"/>
      <c r="G36" s="12"/>
      <c r="H36" s="8"/>
    </row>
    <row r="37" spans="1:16" x14ac:dyDescent="0.2">
      <c r="A37" s="13" t="s">
        <v>24</v>
      </c>
      <c r="B37" s="14">
        <v>9246</v>
      </c>
      <c r="C37" s="15">
        <f>B37*400</f>
        <v>3698400</v>
      </c>
      <c r="D37" s="14">
        <v>2.5</v>
      </c>
      <c r="E37" s="15">
        <f>C37*D37</f>
        <v>9246000</v>
      </c>
      <c r="F37" s="15"/>
      <c r="G37" s="16"/>
      <c r="H37" s="8"/>
    </row>
    <row r="38" spans="1:16" x14ac:dyDescent="0.2">
      <c r="A38" s="56" t="s">
        <v>31</v>
      </c>
      <c r="B38" s="57"/>
      <c r="C38" s="57"/>
      <c r="D38" s="8"/>
      <c r="E38" s="9"/>
      <c r="F38" s="9"/>
      <c r="G38" s="9"/>
      <c r="H38" s="8"/>
      <c r="I38" s="21"/>
      <c r="J38" s="8"/>
      <c r="K38" s="9"/>
      <c r="L38" s="8"/>
      <c r="M38" s="9"/>
      <c r="N38" s="9"/>
      <c r="O38" s="9"/>
      <c r="P38" s="22"/>
    </row>
    <row r="39" spans="1:16" x14ac:dyDescent="0.2">
      <c r="A39" s="49" t="s">
        <v>33</v>
      </c>
      <c r="B39" s="49"/>
      <c r="C39" s="49"/>
      <c r="D39" s="49"/>
      <c r="E39" s="49"/>
      <c r="F39" s="49"/>
      <c r="G39" s="49"/>
      <c r="H39" s="8"/>
      <c r="I39" s="21"/>
      <c r="J39" s="8"/>
      <c r="K39" s="9"/>
      <c r="L39" s="8"/>
      <c r="M39" s="9"/>
      <c r="N39" s="9"/>
      <c r="O39" s="9"/>
    </row>
    <row r="40" spans="1:16" ht="15.75" customHeight="1" x14ac:dyDescent="0.2">
      <c r="A40" s="49"/>
      <c r="B40" s="49"/>
      <c r="C40" s="49"/>
      <c r="D40" s="49"/>
      <c r="E40" s="49"/>
      <c r="F40" s="49"/>
      <c r="G40" s="49"/>
    </row>
    <row r="43" spans="1:16" x14ac:dyDescent="0.2">
      <c r="F43" s="37"/>
    </row>
    <row r="45" spans="1:16" ht="49.5" customHeight="1" x14ac:dyDescent="0.2">
      <c r="A45" s="25"/>
      <c r="B45" s="26"/>
      <c r="C45" s="26"/>
      <c r="D45" s="26"/>
    </row>
    <row r="46" spans="1:16" x14ac:dyDescent="0.2">
      <c r="A46" s="27"/>
      <c r="B46" s="26"/>
      <c r="C46" s="26"/>
      <c r="D46" s="26"/>
    </row>
    <row r="48" spans="1:16" x14ac:dyDescent="0.2">
      <c r="A48" s="21"/>
      <c r="B48" s="8"/>
      <c r="C48" s="9"/>
      <c r="D48" s="8"/>
      <c r="E48" s="9"/>
      <c r="F48" s="9"/>
      <c r="G48" s="9"/>
    </row>
    <row r="55" ht="15.75" customHeight="1" x14ac:dyDescent="0.2"/>
  </sheetData>
  <mergeCells count="9">
    <mergeCell ref="A39:G40"/>
    <mergeCell ref="A13:G13"/>
    <mergeCell ref="A33:G33"/>
    <mergeCell ref="A4:G4"/>
    <mergeCell ref="A7:G7"/>
    <mergeCell ref="A8:C8"/>
    <mergeCell ref="A26:G26"/>
    <mergeCell ref="A38:C38"/>
    <mergeCell ref="A19:G1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F1BB-4D7B-F140-BDAF-42B724936A84}">
  <dimension ref="A1:Z55"/>
  <sheetViews>
    <sheetView workbookViewId="0">
      <selection activeCell="I28" sqref="I28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7" width="9.5" bestFit="1" customWidth="1"/>
    <col min="8" max="8" width="5.1640625" customWidth="1"/>
    <col min="9" max="9" width="41" customWidth="1"/>
    <col min="10" max="10" width="8.83203125" customWidth="1"/>
    <col min="11" max="11" width="9.5" bestFit="1" customWidth="1"/>
    <col min="12" max="12" width="8.83203125" customWidth="1"/>
    <col min="13" max="14" width="9.5" bestFit="1" customWidth="1"/>
    <col min="15" max="15" width="25.33203125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  <col min="257" max="257" width="18.83203125" customWidth="1"/>
    <col min="258" max="258" width="12.33203125" customWidth="1"/>
    <col min="259" max="259" width="11.1640625" customWidth="1"/>
    <col min="260" max="260" width="10.6640625" customWidth="1"/>
    <col min="261" max="263" width="9.5" bestFit="1" customWidth="1"/>
    <col min="264" max="264" width="5.1640625" customWidth="1"/>
    <col min="265" max="265" width="41" customWidth="1"/>
    <col min="266" max="266" width="8.83203125" customWidth="1"/>
    <col min="267" max="267" width="9.5" bestFit="1" customWidth="1"/>
    <col min="268" max="268" width="8.83203125" customWidth="1"/>
    <col min="269" max="270" width="9.5" bestFit="1" customWidth="1"/>
    <col min="271" max="271" width="25.33203125" customWidth="1"/>
    <col min="272" max="272" width="13" customWidth="1"/>
    <col min="273" max="273" width="8.83203125" customWidth="1"/>
    <col min="274" max="274" width="9.5" bestFit="1" customWidth="1"/>
    <col min="275" max="275" width="8.83203125" customWidth="1"/>
    <col min="276" max="278" width="9.5" bestFit="1" customWidth="1"/>
    <col min="279" max="512" width="8.83203125" customWidth="1"/>
    <col min="513" max="513" width="18.83203125" customWidth="1"/>
    <col min="514" max="514" width="12.33203125" customWidth="1"/>
    <col min="515" max="515" width="11.1640625" customWidth="1"/>
    <col min="516" max="516" width="10.6640625" customWidth="1"/>
    <col min="517" max="519" width="9.5" bestFit="1" customWidth="1"/>
    <col min="520" max="520" width="5.1640625" customWidth="1"/>
    <col min="521" max="521" width="41" customWidth="1"/>
    <col min="522" max="522" width="8.83203125" customWidth="1"/>
    <col min="523" max="523" width="9.5" bestFit="1" customWidth="1"/>
    <col min="524" max="524" width="8.83203125" customWidth="1"/>
    <col min="525" max="526" width="9.5" bestFit="1" customWidth="1"/>
    <col min="527" max="527" width="25.33203125" customWidth="1"/>
    <col min="528" max="528" width="13" customWidth="1"/>
    <col min="529" max="529" width="8.83203125" customWidth="1"/>
    <col min="530" max="530" width="9.5" bestFit="1" customWidth="1"/>
    <col min="531" max="531" width="8.83203125" customWidth="1"/>
    <col min="532" max="534" width="9.5" bestFit="1" customWidth="1"/>
    <col min="535" max="768" width="8.83203125" customWidth="1"/>
    <col min="769" max="769" width="18.83203125" customWidth="1"/>
    <col min="770" max="770" width="12.33203125" customWidth="1"/>
    <col min="771" max="771" width="11.1640625" customWidth="1"/>
    <col min="772" max="772" width="10.6640625" customWidth="1"/>
    <col min="773" max="775" width="9.5" bestFit="1" customWidth="1"/>
    <col min="776" max="776" width="5.1640625" customWidth="1"/>
    <col min="777" max="777" width="41" customWidth="1"/>
    <col min="778" max="778" width="8.83203125" customWidth="1"/>
    <col min="779" max="779" width="9.5" bestFit="1" customWidth="1"/>
    <col min="780" max="780" width="8.83203125" customWidth="1"/>
    <col min="781" max="782" width="9.5" bestFit="1" customWidth="1"/>
    <col min="783" max="783" width="25.33203125" customWidth="1"/>
    <col min="784" max="784" width="13" customWidth="1"/>
    <col min="785" max="785" width="8.83203125" customWidth="1"/>
    <col min="786" max="786" width="9.5" bestFit="1" customWidth="1"/>
    <col min="787" max="787" width="8.83203125" customWidth="1"/>
    <col min="788" max="790" width="9.5" bestFit="1" customWidth="1"/>
    <col min="791" max="1024" width="8.83203125" customWidth="1"/>
    <col min="1025" max="1025" width="18.83203125" customWidth="1"/>
    <col min="1026" max="1026" width="12.33203125" customWidth="1"/>
    <col min="1027" max="1027" width="11.1640625" customWidth="1"/>
    <col min="1028" max="1028" width="10.6640625" customWidth="1"/>
    <col min="1029" max="1031" width="9.5" bestFit="1" customWidth="1"/>
    <col min="1032" max="1032" width="5.1640625" customWidth="1"/>
    <col min="1033" max="1033" width="41" customWidth="1"/>
    <col min="1034" max="1034" width="8.83203125" customWidth="1"/>
    <col min="1035" max="1035" width="9.5" bestFit="1" customWidth="1"/>
    <col min="1036" max="1036" width="8.83203125" customWidth="1"/>
    <col min="1037" max="1038" width="9.5" bestFit="1" customWidth="1"/>
    <col min="1039" max="1039" width="25.33203125" customWidth="1"/>
    <col min="1040" max="1040" width="13" customWidth="1"/>
    <col min="1041" max="1041" width="8.83203125" customWidth="1"/>
    <col min="1042" max="1042" width="9.5" bestFit="1" customWidth="1"/>
    <col min="1043" max="1043" width="8.83203125" customWidth="1"/>
    <col min="1044" max="1046" width="9.5" bestFit="1" customWidth="1"/>
    <col min="1047" max="1280" width="8.83203125" customWidth="1"/>
    <col min="1281" max="1281" width="18.83203125" customWidth="1"/>
    <col min="1282" max="1282" width="12.33203125" customWidth="1"/>
    <col min="1283" max="1283" width="11.1640625" customWidth="1"/>
    <col min="1284" max="1284" width="10.6640625" customWidth="1"/>
    <col min="1285" max="1287" width="9.5" bestFit="1" customWidth="1"/>
    <col min="1288" max="1288" width="5.1640625" customWidth="1"/>
    <col min="1289" max="1289" width="41" customWidth="1"/>
    <col min="1290" max="1290" width="8.83203125" customWidth="1"/>
    <col min="1291" max="1291" width="9.5" bestFit="1" customWidth="1"/>
    <col min="1292" max="1292" width="8.83203125" customWidth="1"/>
    <col min="1293" max="1294" width="9.5" bestFit="1" customWidth="1"/>
    <col min="1295" max="1295" width="25.33203125" customWidth="1"/>
    <col min="1296" max="1296" width="13" customWidth="1"/>
    <col min="1297" max="1297" width="8.83203125" customWidth="1"/>
    <col min="1298" max="1298" width="9.5" bestFit="1" customWidth="1"/>
    <col min="1299" max="1299" width="8.83203125" customWidth="1"/>
    <col min="1300" max="1302" width="9.5" bestFit="1" customWidth="1"/>
    <col min="1303" max="1536" width="8.83203125" customWidth="1"/>
    <col min="1537" max="1537" width="18.83203125" customWidth="1"/>
    <col min="1538" max="1538" width="12.33203125" customWidth="1"/>
    <col min="1539" max="1539" width="11.1640625" customWidth="1"/>
    <col min="1540" max="1540" width="10.6640625" customWidth="1"/>
    <col min="1541" max="1543" width="9.5" bestFit="1" customWidth="1"/>
    <col min="1544" max="1544" width="5.1640625" customWidth="1"/>
    <col min="1545" max="1545" width="41" customWidth="1"/>
    <col min="1546" max="1546" width="8.83203125" customWidth="1"/>
    <col min="1547" max="1547" width="9.5" bestFit="1" customWidth="1"/>
    <col min="1548" max="1548" width="8.83203125" customWidth="1"/>
    <col min="1549" max="1550" width="9.5" bestFit="1" customWidth="1"/>
    <col min="1551" max="1551" width="25.33203125" customWidth="1"/>
    <col min="1552" max="1552" width="13" customWidth="1"/>
    <col min="1553" max="1553" width="8.83203125" customWidth="1"/>
    <col min="1554" max="1554" width="9.5" bestFit="1" customWidth="1"/>
    <col min="1555" max="1555" width="8.83203125" customWidth="1"/>
    <col min="1556" max="1558" width="9.5" bestFit="1" customWidth="1"/>
    <col min="1559" max="1792" width="8.83203125" customWidth="1"/>
    <col min="1793" max="1793" width="18.83203125" customWidth="1"/>
    <col min="1794" max="1794" width="12.33203125" customWidth="1"/>
    <col min="1795" max="1795" width="11.1640625" customWidth="1"/>
    <col min="1796" max="1796" width="10.6640625" customWidth="1"/>
    <col min="1797" max="1799" width="9.5" bestFit="1" customWidth="1"/>
    <col min="1800" max="1800" width="5.1640625" customWidth="1"/>
    <col min="1801" max="1801" width="41" customWidth="1"/>
    <col min="1802" max="1802" width="8.83203125" customWidth="1"/>
    <col min="1803" max="1803" width="9.5" bestFit="1" customWidth="1"/>
    <col min="1804" max="1804" width="8.83203125" customWidth="1"/>
    <col min="1805" max="1806" width="9.5" bestFit="1" customWidth="1"/>
    <col min="1807" max="1807" width="25.33203125" customWidth="1"/>
    <col min="1808" max="1808" width="13" customWidth="1"/>
    <col min="1809" max="1809" width="8.83203125" customWidth="1"/>
    <col min="1810" max="1810" width="9.5" bestFit="1" customWidth="1"/>
    <col min="1811" max="1811" width="8.83203125" customWidth="1"/>
    <col min="1812" max="1814" width="9.5" bestFit="1" customWidth="1"/>
    <col min="1815" max="2048" width="8.83203125" customWidth="1"/>
    <col min="2049" max="2049" width="18.83203125" customWidth="1"/>
    <col min="2050" max="2050" width="12.33203125" customWidth="1"/>
    <col min="2051" max="2051" width="11.1640625" customWidth="1"/>
    <col min="2052" max="2052" width="10.6640625" customWidth="1"/>
    <col min="2053" max="2055" width="9.5" bestFit="1" customWidth="1"/>
    <col min="2056" max="2056" width="5.1640625" customWidth="1"/>
    <col min="2057" max="2057" width="41" customWidth="1"/>
    <col min="2058" max="2058" width="8.83203125" customWidth="1"/>
    <col min="2059" max="2059" width="9.5" bestFit="1" customWidth="1"/>
    <col min="2060" max="2060" width="8.83203125" customWidth="1"/>
    <col min="2061" max="2062" width="9.5" bestFit="1" customWidth="1"/>
    <col min="2063" max="2063" width="25.33203125" customWidth="1"/>
    <col min="2064" max="2064" width="13" customWidth="1"/>
    <col min="2065" max="2065" width="8.83203125" customWidth="1"/>
    <col min="2066" max="2066" width="9.5" bestFit="1" customWidth="1"/>
    <col min="2067" max="2067" width="8.83203125" customWidth="1"/>
    <col min="2068" max="2070" width="9.5" bestFit="1" customWidth="1"/>
    <col min="2071" max="2304" width="8.83203125" customWidth="1"/>
    <col min="2305" max="2305" width="18.83203125" customWidth="1"/>
    <col min="2306" max="2306" width="12.33203125" customWidth="1"/>
    <col min="2307" max="2307" width="11.1640625" customWidth="1"/>
    <col min="2308" max="2308" width="10.6640625" customWidth="1"/>
    <col min="2309" max="2311" width="9.5" bestFit="1" customWidth="1"/>
    <col min="2312" max="2312" width="5.1640625" customWidth="1"/>
    <col min="2313" max="2313" width="41" customWidth="1"/>
    <col min="2314" max="2314" width="8.83203125" customWidth="1"/>
    <col min="2315" max="2315" width="9.5" bestFit="1" customWidth="1"/>
    <col min="2316" max="2316" width="8.83203125" customWidth="1"/>
    <col min="2317" max="2318" width="9.5" bestFit="1" customWidth="1"/>
    <col min="2319" max="2319" width="25.33203125" customWidth="1"/>
    <col min="2320" max="2320" width="13" customWidth="1"/>
    <col min="2321" max="2321" width="8.83203125" customWidth="1"/>
    <col min="2322" max="2322" width="9.5" bestFit="1" customWidth="1"/>
    <col min="2323" max="2323" width="8.83203125" customWidth="1"/>
    <col min="2324" max="2326" width="9.5" bestFit="1" customWidth="1"/>
    <col min="2327" max="2560" width="8.83203125" customWidth="1"/>
    <col min="2561" max="2561" width="18.83203125" customWidth="1"/>
    <col min="2562" max="2562" width="12.33203125" customWidth="1"/>
    <col min="2563" max="2563" width="11.1640625" customWidth="1"/>
    <col min="2564" max="2564" width="10.6640625" customWidth="1"/>
    <col min="2565" max="2567" width="9.5" bestFit="1" customWidth="1"/>
    <col min="2568" max="2568" width="5.1640625" customWidth="1"/>
    <col min="2569" max="2569" width="41" customWidth="1"/>
    <col min="2570" max="2570" width="8.83203125" customWidth="1"/>
    <col min="2571" max="2571" width="9.5" bestFit="1" customWidth="1"/>
    <col min="2572" max="2572" width="8.83203125" customWidth="1"/>
    <col min="2573" max="2574" width="9.5" bestFit="1" customWidth="1"/>
    <col min="2575" max="2575" width="25.33203125" customWidth="1"/>
    <col min="2576" max="2576" width="13" customWidth="1"/>
    <col min="2577" max="2577" width="8.83203125" customWidth="1"/>
    <col min="2578" max="2578" width="9.5" bestFit="1" customWidth="1"/>
    <col min="2579" max="2579" width="8.83203125" customWidth="1"/>
    <col min="2580" max="2582" width="9.5" bestFit="1" customWidth="1"/>
    <col min="2583" max="2816" width="8.83203125" customWidth="1"/>
    <col min="2817" max="2817" width="18.83203125" customWidth="1"/>
    <col min="2818" max="2818" width="12.33203125" customWidth="1"/>
    <col min="2819" max="2819" width="11.1640625" customWidth="1"/>
    <col min="2820" max="2820" width="10.6640625" customWidth="1"/>
    <col min="2821" max="2823" width="9.5" bestFit="1" customWidth="1"/>
    <col min="2824" max="2824" width="5.1640625" customWidth="1"/>
    <col min="2825" max="2825" width="41" customWidth="1"/>
    <col min="2826" max="2826" width="8.83203125" customWidth="1"/>
    <col min="2827" max="2827" width="9.5" bestFit="1" customWidth="1"/>
    <col min="2828" max="2828" width="8.83203125" customWidth="1"/>
    <col min="2829" max="2830" width="9.5" bestFit="1" customWidth="1"/>
    <col min="2831" max="2831" width="25.33203125" customWidth="1"/>
    <col min="2832" max="2832" width="13" customWidth="1"/>
    <col min="2833" max="2833" width="8.83203125" customWidth="1"/>
    <col min="2834" max="2834" width="9.5" bestFit="1" customWidth="1"/>
    <col min="2835" max="2835" width="8.83203125" customWidth="1"/>
    <col min="2836" max="2838" width="9.5" bestFit="1" customWidth="1"/>
    <col min="2839" max="3072" width="8.83203125" customWidth="1"/>
    <col min="3073" max="3073" width="18.83203125" customWidth="1"/>
    <col min="3074" max="3074" width="12.33203125" customWidth="1"/>
    <col min="3075" max="3075" width="11.1640625" customWidth="1"/>
    <col min="3076" max="3076" width="10.6640625" customWidth="1"/>
    <col min="3077" max="3079" width="9.5" bestFit="1" customWidth="1"/>
    <col min="3080" max="3080" width="5.1640625" customWidth="1"/>
    <col min="3081" max="3081" width="41" customWidth="1"/>
    <col min="3082" max="3082" width="8.83203125" customWidth="1"/>
    <col min="3083" max="3083" width="9.5" bestFit="1" customWidth="1"/>
    <col min="3084" max="3084" width="8.83203125" customWidth="1"/>
    <col min="3085" max="3086" width="9.5" bestFit="1" customWidth="1"/>
    <col min="3087" max="3087" width="25.33203125" customWidth="1"/>
    <col min="3088" max="3088" width="13" customWidth="1"/>
    <col min="3089" max="3089" width="8.83203125" customWidth="1"/>
    <col min="3090" max="3090" width="9.5" bestFit="1" customWidth="1"/>
    <col min="3091" max="3091" width="8.83203125" customWidth="1"/>
    <col min="3092" max="3094" width="9.5" bestFit="1" customWidth="1"/>
    <col min="3095" max="3328" width="8.83203125" customWidth="1"/>
    <col min="3329" max="3329" width="18.83203125" customWidth="1"/>
    <col min="3330" max="3330" width="12.33203125" customWidth="1"/>
    <col min="3331" max="3331" width="11.1640625" customWidth="1"/>
    <col min="3332" max="3332" width="10.6640625" customWidth="1"/>
    <col min="3333" max="3335" width="9.5" bestFit="1" customWidth="1"/>
    <col min="3336" max="3336" width="5.1640625" customWidth="1"/>
    <col min="3337" max="3337" width="41" customWidth="1"/>
    <col min="3338" max="3338" width="8.83203125" customWidth="1"/>
    <col min="3339" max="3339" width="9.5" bestFit="1" customWidth="1"/>
    <col min="3340" max="3340" width="8.83203125" customWidth="1"/>
    <col min="3341" max="3342" width="9.5" bestFit="1" customWidth="1"/>
    <col min="3343" max="3343" width="25.33203125" customWidth="1"/>
    <col min="3344" max="3344" width="13" customWidth="1"/>
    <col min="3345" max="3345" width="8.83203125" customWidth="1"/>
    <col min="3346" max="3346" width="9.5" bestFit="1" customWidth="1"/>
    <col min="3347" max="3347" width="8.83203125" customWidth="1"/>
    <col min="3348" max="3350" width="9.5" bestFit="1" customWidth="1"/>
    <col min="3351" max="3584" width="8.83203125" customWidth="1"/>
    <col min="3585" max="3585" width="18.83203125" customWidth="1"/>
    <col min="3586" max="3586" width="12.33203125" customWidth="1"/>
    <col min="3587" max="3587" width="11.1640625" customWidth="1"/>
    <col min="3588" max="3588" width="10.6640625" customWidth="1"/>
    <col min="3589" max="3591" width="9.5" bestFit="1" customWidth="1"/>
    <col min="3592" max="3592" width="5.1640625" customWidth="1"/>
    <col min="3593" max="3593" width="41" customWidth="1"/>
    <col min="3594" max="3594" width="8.83203125" customWidth="1"/>
    <col min="3595" max="3595" width="9.5" bestFit="1" customWidth="1"/>
    <col min="3596" max="3596" width="8.83203125" customWidth="1"/>
    <col min="3597" max="3598" width="9.5" bestFit="1" customWidth="1"/>
    <col min="3599" max="3599" width="25.33203125" customWidth="1"/>
    <col min="3600" max="3600" width="13" customWidth="1"/>
    <col min="3601" max="3601" width="8.83203125" customWidth="1"/>
    <col min="3602" max="3602" width="9.5" bestFit="1" customWidth="1"/>
    <col min="3603" max="3603" width="8.83203125" customWidth="1"/>
    <col min="3604" max="3606" width="9.5" bestFit="1" customWidth="1"/>
    <col min="3607" max="3840" width="8.83203125" customWidth="1"/>
    <col min="3841" max="3841" width="18.83203125" customWidth="1"/>
    <col min="3842" max="3842" width="12.33203125" customWidth="1"/>
    <col min="3843" max="3843" width="11.1640625" customWidth="1"/>
    <col min="3844" max="3844" width="10.6640625" customWidth="1"/>
    <col min="3845" max="3847" width="9.5" bestFit="1" customWidth="1"/>
    <col min="3848" max="3848" width="5.1640625" customWidth="1"/>
    <col min="3849" max="3849" width="41" customWidth="1"/>
    <col min="3850" max="3850" width="8.83203125" customWidth="1"/>
    <col min="3851" max="3851" width="9.5" bestFit="1" customWidth="1"/>
    <col min="3852" max="3852" width="8.83203125" customWidth="1"/>
    <col min="3853" max="3854" width="9.5" bestFit="1" customWidth="1"/>
    <col min="3855" max="3855" width="25.33203125" customWidth="1"/>
    <col min="3856" max="3856" width="13" customWidth="1"/>
    <col min="3857" max="3857" width="8.83203125" customWidth="1"/>
    <col min="3858" max="3858" width="9.5" bestFit="1" customWidth="1"/>
    <col min="3859" max="3859" width="8.83203125" customWidth="1"/>
    <col min="3860" max="3862" width="9.5" bestFit="1" customWidth="1"/>
    <col min="3863" max="4096" width="8.83203125" customWidth="1"/>
    <col min="4097" max="4097" width="18.83203125" customWidth="1"/>
    <col min="4098" max="4098" width="12.33203125" customWidth="1"/>
    <col min="4099" max="4099" width="11.1640625" customWidth="1"/>
    <col min="4100" max="4100" width="10.6640625" customWidth="1"/>
    <col min="4101" max="4103" width="9.5" bestFit="1" customWidth="1"/>
    <col min="4104" max="4104" width="5.1640625" customWidth="1"/>
    <col min="4105" max="4105" width="41" customWidth="1"/>
    <col min="4106" max="4106" width="8.83203125" customWidth="1"/>
    <col min="4107" max="4107" width="9.5" bestFit="1" customWidth="1"/>
    <col min="4108" max="4108" width="8.83203125" customWidth="1"/>
    <col min="4109" max="4110" width="9.5" bestFit="1" customWidth="1"/>
    <col min="4111" max="4111" width="25.33203125" customWidth="1"/>
    <col min="4112" max="4112" width="13" customWidth="1"/>
    <col min="4113" max="4113" width="8.83203125" customWidth="1"/>
    <col min="4114" max="4114" width="9.5" bestFit="1" customWidth="1"/>
    <col min="4115" max="4115" width="8.83203125" customWidth="1"/>
    <col min="4116" max="4118" width="9.5" bestFit="1" customWidth="1"/>
    <col min="4119" max="4352" width="8.83203125" customWidth="1"/>
    <col min="4353" max="4353" width="18.83203125" customWidth="1"/>
    <col min="4354" max="4354" width="12.33203125" customWidth="1"/>
    <col min="4355" max="4355" width="11.1640625" customWidth="1"/>
    <col min="4356" max="4356" width="10.6640625" customWidth="1"/>
    <col min="4357" max="4359" width="9.5" bestFit="1" customWidth="1"/>
    <col min="4360" max="4360" width="5.1640625" customWidth="1"/>
    <col min="4361" max="4361" width="41" customWidth="1"/>
    <col min="4362" max="4362" width="8.83203125" customWidth="1"/>
    <col min="4363" max="4363" width="9.5" bestFit="1" customWidth="1"/>
    <col min="4364" max="4364" width="8.83203125" customWidth="1"/>
    <col min="4365" max="4366" width="9.5" bestFit="1" customWidth="1"/>
    <col min="4367" max="4367" width="25.33203125" customWidth="1"/>
    <col min="4368" max="4368" width="13" customWidth="1"/>
    <col min="4369" max="4369" width="8.83203125" customWidth="1"/>
    <col min="4370" max="4370" width="9.5" bestFit="1" customWidth="1"/>
    <col min="4371" max="4371" width="8.83203125" customWidth="1"/>
    <col min="4372" max="4374" width="9.5" bestFit="1" customWidth="1"/>
    <col min="4375" max="4608" width="8.83203125" customWidth="1"/>
    <col min="4609" max="4609" width="18.83203125" customWidth="1"/>
    <col min="4610" max="4610" width="12.33203125" customWidth="1"/>
    <col min="4611" max="4611" width="11.1640625" customWidth="1"/>
    <col min="4612" max="4612" width="10.6640625" customWidth="1"/>
    <col min="4613" max="4615" width="9.5" bestFit="1" customWidth="1"/>
    <col min="4616" max="4616" width="5.1640625" customWidth="1"/>
    <col min="4617" max="4617" width="41" customWidth="1"/>
    <col min="4618" max="4618" width="8.83203125" customWidth="1"/>
    <col min="4619" max="4619" width="9.5" bestFit="1" customWidth="1"/>
    <col min="4620" max="4620" width="8.83203125" customWidth="1"/>
    <col min="4621" max="4622" width="9.5" bestFit="1" customWidth="1"/>
    <col min="4623" max="4623" width="25.33203125" customWidth="1"/>
    <col min="4624" max="4624" width="13" customWidth="1"/>
    <col min="4625" max="4625" width="8.83203125" customWidth="1"/>
    <col min="4626" max="4626" width="9.5" bestFit="1" customWidth="1"/>
    <col min="4627" max="4627" width="8.83203125" customWidth="1"/>
    <col min="4628" max="4630" width="9.5" bestFit="1" customWidth="1"/>
    <col min="4631" max="4864" width="8.83203125" customWidth="1"/>
    <col min="4865" max="4865" width="18.83203125" customWidth="1"/>
    <col min="4866" max="4866" width="12.33203125" customWidth="1"/>
    <col min="4867" max="4867" width="11.1640625" customWidth="1"/>
    <col min="4868" max="4868" width="10.6640625" customWidth="1"/>
    <col min="4869" max="4871" width="9.5" bestFit="1" customWidth="1"/>
    <col min="4872" max="4872" width="5.1640625" customWidth="1"/>
    <col min="4873" max="4873" width="41" customWidth="1"/>
    <col min="4874" max="4874" width="8.83203125" customWidth="1"/>
    <col min="4875" max="4875" width="9.5" bestFit="1" customWidth="1"/>
    <col min="4876" max="4876" width="8.83203125" customWidth="1"/>
    <col min="4877" max="4878" width="9.5" bestFit="1" customWidth="1"/>
    <col min="4879" max="4879" width="25.33203125" customWidth="1"/>
    <col min="4880" max="4880" width="13" customWidth="1"/>
    <col min="4881" max="4881" width="8.83203125" customWidth="1"/>
    <col min="4882" max="4882" width="9.5" bestFit="1" customWidth="1"/>
    <col min="4883" max="4883" width="8.83203125" customWidth="1"/>
    <col min="4884" max="4886" width="9.5" bestFit="1" customWidth="1"/>
    <col min="4887" max="5120" width="8.83203125" customWidth="1"/>
    <col min="5121" max="5121" width="18.83203125" customWidth="1"/>
    <col min="5122" max="5122" width="12.33203125" customWidth="1"/>
    <col min="5123" max="5123" width="11.1640625" customWidth="1"/>
    <col min="5124" max="5124" width="10.6640625" customWidth="1"/>
    <col min="5125" max="5127" width="9.5" bestFit="1" customWidth="1"/>
    <col min="5128" max="5128" width="5.1640625" customWidth="1"/>
    <col min="5129" max="5129" width="41" customWidth="1"/>
    <col min="5130" max="5130" width="8.83203125" customWidth="1"/>
    <col min="5131" max="5131" width="9.5" bestFit="1" customWidth="1"/>
    <col min="5132" max="5132" width="8.83203125" customWidth="1"/>
    <col min="5133" max="5134" width="9.5" bestFit="1" customWidth="1"/>
    <col min="5135" max="5135" width="25.33203125" customWidth="1"/>
    <col min="5136" max="5136" width="13" customWidth="1"/>
    <col min="5137" max="5137" width="8.83203125" customWidth="1"/>
    <col min="5138" max="5138" width="9.5" bestFit="1" customWidth="1"/>
    <col min="5139" max="5139" width="8.83203125" customWidth="1"/>
    <col min="5140" max="5142" width="9.5" bestFit="1" customWidth="1"/>
    <col min="5143" max="5376" width="8.83203125" customWidth="1"/>
    <col min="5377" max="5377" width="18.83203125" customWidth="1"/>
    <col min="5378" max="5378" width="12.33203125" customWidth="1"/>
    <col min="5379" max="5379" width="11.1640625" customWidth="1"/>
    <col min="5380" max="5380" width="10.6640625" customWidth="1"/>
    <col min="5381" max="5383" width="9.5" bestFit="1" customWidth="1"/>
    <col min="5384" max="5384" width="5.1640625" customWidth="1"/>
    <col min="5385" max="5385" width="41" customWidth="1"/>
    <col min="5386" max="5386" width="8.83203125" customWidth="1"/>
    <col min="5387" max="5387" width="9.5" bestFit="1" customWidth="1"/>
    <col min="5388" max="5388" width="8.83203125" customWidth="1"/>
    <col min="5389" max="5390" width="9.5" bestFit="1" customWidth="1"/>
    <col min="5391" max="5391" width="25.33203125" customWidth="1"/>
    <col min="5392" max="5392" width="13" customWidth="1"/>
    <col min="5393" max="5393" width="8.83203125" customWidth="1"/>
    <col min="5394" max="5394" width="9.5" bestFit="1" customWidth="1"/>
    <col min="5395" max="5395" width="8.83203125" customWidth="1"/>
    <col min="5396" max="5398" width="9.5" bestFit="1" customWidth="1"/>
    <col min="5399" max="5632" width="8.83203125" customWidth="1"/>
    <col min="5633" max="5633" width="18.83203125" customWidth="1"/>
    <col min="5634" max="5634" width="12.33203125" customWidth="1"/>
    <col min="5635" max="5635" width="11.1640625" customWidth="1"/>
    <col min="5636" max="5636" width="10.6640625" customWidth="1"/>
    <col min="5637" max="5639" width="9.5" bestFit="1" customWidth="1"/>
    <col min="5640" max="5640" width="5.1640625" customWidth="1"/>
    <col min="5641" max="5641" width="41" customWidth="1"/>
    <col min="5642" max="5642" width="8.83203125" customWidth="1"/>
    <col min="5643" max="5643" width="9.5" bestFit="1" customWidth="1"/>
    <col min="5644" max="5644" width="8.83203125" customWidth="1"/>
    <col min="5645" max="5646" width="9.5" bestFit="1" customWidth="1"/>
    <col min="5647" max="5647" width="25.33203125" customWidth="1"/>
    <col min="5648" max="5648" width="13" customWidth="1"/>
    <col min="5649" max="5649" width="8.83203125" customWidth="1"/>
    <col min="5650" max="5650" width="9.5" bestFit="1" customWidth="1"/>
    <col min="5651" max="5651" width="8.83203125" customWidth="1"/>
    <col min="5652" max="5654" width="9.5" bestFit="1" customWidth="1"/>
    <col min="5655" max="5888" width="8.83203125" customWidth="1"/>
    <col min="5889" max="5889" width="18.83203125" customWidth="1"/>
    <col min="5890" max="5890" width="12.33203125" customWidth="1"/>
    <col min="5891" max="5891" width="11.1640625" customWidth="1"/>
    <col min="5892" max="5892" width="10.6640625" customWidth="1"/>
    <col min="5893" max="5895" width="9.5" bestFit="1" customWidth="1"/>
    <col min="5896" max="5896" width="5.1640625" customWidth="1"/>
    <col min="5897" max="5897" width="41" customWidth="1"/>
    <col min="5898" max="5898" width="8.83203125" customWidth="1"/>
    <col min="5899" max="5899" width="9.5" bestFit="1" customWidth="1"/>
    <col min="5900" max="5900" width="8.83203125" customWidth="1"/>
    <col min="5901" max="5902" width="9.5" bestFit="1" customWidth="1"/>
    <col min="5903" max="5903" width="25.33203125" customWidth="1"/>
    <col min="5904" max="5904" width="13" customWidth="1"/>
    <col min="5905" max="5905" width="8.83203125" customWidth="1"/>
    <col min="5906" max="5906" width="9.5" bestFit="1" customWidth="1"/>
    <col min="5907" max="5907" width="8.83203125" customWidth="1"/>
    <col min="5908" max="5910" width="9.5" bestFit="1" customWidth="1"/>
    <col min="5911" max="6144" width="8.83203125" customWidth="1"/>
    <col min="6145" max="6145" width="18.83203125" customWidth="1"/>
    <col min="6146" max="6146" width="12.33203125" customWidth="1"/>
    <col min="6147" max="6147" width="11.1640625" customWidth="1"/>
    <col min="6148" max="6148" width="10.6640625" customWidth="1"/>
    <col min="6149" max="6151" width="9.5" bestFit="1" customWidth="1"/>
    <col min="6152" max="6152" width="5.1640625" customWidth="1"/>
    <col min="6153" max="6153" width="41" customWidth="1"/>
    <col min="6154" max="6154" width="8.83203125" customWidth="1"/>
    <col min="6155" max="6155" width="9.5" bestFit="1" customWidth="1"/>
    <col min="6156" max="6156" width="8.83203125" customWidth="1"/>
    <col min="6157" max="6158" width="9.5" bestFit="1" customWidth="1"/>
    <col min="6159" max="6159" width="25.33203125" customWidth="1"/>
    <col min="6160" max="6160" width="13" customWidth="1"/>
    <col min="6161" max="6161" width="8.83203125" customWidth="1"/>
    <col min="6162" max="6162" width="9.5" bestFit="1" customWidth="1"/>
    <col min="6163" max="6163" width="8.83203125" customWidth="1"/>
    <col min="6164" max="6166" width="9.5" bestFit="1" customWidth="1"/>
    <col min="6167" max="6400" width="8.83203125" customWidth="1"/>
    <col min="6401" max="6401" width="18.83203125" customWidth="1"/>
    <col min="6402" max="6402" width="12.33203125" customWidth="1"/>
    <col min="6403" max="6403" width="11.1640625" customWidth="1"/>
    <col min="6404" max="6404" width="10.6640625" customWidth="1"/>
    <col min="6405" max="6407" width="9.5" bestFit="1" customWidth="1"/>
    <col min="6408" max="6408" width="5.1640625" customWidth="1"/>
    <col min="6409" max="6409" width="41" customWidth="1"/>
    <col min="6410" max="6410" width="8.83203125" customWidth="1"/>
    <col min="6411" max="6411" width="9.5" bestFit="1" customWidth="1"/>
    <col min="6412" max="6412" width="8.83203125" customWidth="1"/>
    <col min="6413" max="6414" width="9.5" bestFit="1" customWidth="1"/>
    <col min="6415" max="6415" width="25.33203125" customWidth="1"/>
    <col min="6416" max="6416" width="13" customWidth="1"/>
    <col min="6417" max="6417" width="8.83203125" customWidth="1"/>
    <col min="6418" max="6418" width="9.5" bestFit="1" customWidth="1"/>
    <col min="6419" max="6419" width="8.83203125" customWidth="1"/>
    <col min="6420" max="6422" width="9.5" bestFit="1" customWidth="1"/>
    <col min="6423" max="6656" width="8.83203125" customWidth="1"/>
    <col min="6657" max="6657" width="18.83203125" customWidth="1"/>
    <col min="6658" max="6658" width="12.33203125" customWidth="1"/>
    <col min="6659" max="6659" width="11.1640625" customWidth="1"/>
    <col min="6660" max="6660" width="10.6640625" customWidth="1"/>
    <col min="6661" max="6663" width="9.5" bestFit="1" customWidth="1"/>
    <col min="6664" max="6664" width="5.1640625" customWidth="1"/>
    <col min="6665" max="6665" width="41" customWidth="1"/>
    <col min="6666" max="6666" width="8.83203125" customWidth="1"/>
    <col min="6667" max="6667" width="9.5" bestFit="1" customWidth="1"/>
    <col min="6668" max="6668" width="8.83203125" customWidth="1"/>
    <col min="6669" max="6670" width="9.5" bestFit="1" customWidth="1"/>
    <col min="6671" max="6671" width="25.33203125" customWidth="1"/>
    <col min="6672" max="6672" width="13" customWidth="1"/>
    <col min="6673" max="6673" width="8.83203125" customWidth="1"/>
    <col min="6674" max="6674" width="9.5" bestFit="1" customWidth="1"/>
    <col min="6675" max="6675" width="8.83203125" customWidth="1"/>
    <col min="6676" max="6678" width="9.5" bestFit="1" customWidth="1"/>
    <col min="6679" max="6912" width="8.83203125" customWidth="1"/>
    <col min="6913" max="6913" width="18.83203125" customWidth="1"/>
    <col min="6914" max="6914" width="12.33203125" customWidth="1"/>
    <col min="6915" max="6915" width="11.1640625" customWidth="1"/>
    <col min="6916" max="6916" width="10.6640625" customWidth="1"/>
    <col min="6917" max="6919" width="9.5" bestFit="1" customWidth="1"/>
    <col min="6920" max="6920" width="5.1640625" customWidth="1"/>
    <col min="6921" max="6921" width="41" customWidth="1"/>
    <col min="6922" max="6922" width="8.83203125" customWidth="1"/>
    <col min="6923" max="6923" width="9.5" bestFit="1" customWidth="1"/>
    <col min="6924" max="6924" width="8.83203125" customWidth="1"/>
    <col min="6925" max="6926" width="9.5" bestFit="1" customWidth="1"/>
    <col min="6927" max="6927" width="25.33203125" customWidth="1"/>
    <col min="6928" max="6928" width="13" customWidth="1"/>
    <col min="6929" max="6929" width="8.83203125" customWidth="1"/>
    <col min="6930" max="6930" width="9.5" bestFit="1" customWidth="1"/>
    <col min="6931" max="6931" width="8.83203125" customWidth="1"/>
    <col min="6932" max="6934" width="9.5" bestFit="1" customWidth="1"/>
    <col min="6935" max="7168" width="8.83203125" customWidth="1"/>
    <col min="7169" max="7169" width="18.83203125" customWidth="1"/>
    <col min="7170" max="7170" width="12.33203125" customWidth="1"/>
    <col min="7171" max="7171" width="11.1640625" customWidth="1"/>
    <col min="7172" max="7172" width="10.6640625" customWidth="1"/>
    <col min="7173" max="7175" width="9.5" bestFit="1" customWidth="1"/>
    <col min="7176" max="7176" width="5.1640625" customWidth="1"/>
    <col min="7177" max="7177" width="41" customWidth="1"/>
    <col min="7178" max="7178" width="8.83203125" customWidth="1"/>
    <col min="7179" max="7179" width="9.5" bestFit="1" customWidth="1"/>
    <col min="7180" max="7180" width="8.83203125" customWidth="1"/>
    <col min="7181" max="7182" width="9.5" bestFit="1" customWidth="1"/>
    <col min="7183" max="7183" width="25.33203125" customWidth="1"/>
    <col min="7184" max="7184" width="13" customWidth="1"/>
    <col min="7185" max="7185" width="8.83203125" customWidth="1"/>
    <col min="7186" max="7186" width="9.5" bestFit="1" customWidth="1"/>
    <col min="7187" max="7187" width="8.83203125" customWidth="1"/>
    <col min="7188" max="7190" width="9.5" bestFit="1" customWidth="1"/>
    <col min="7191" max="7424" width="8.83203125" customWidth="1"/>
    <col min="7425" max="7425" width="18.83203125" customWidth="1"/>
    <col min="7426" max="7426" width="12.33203125" customWidth="1"/>
    <col min="7427" max="7427" width="11.1640625" customWidth="1"/>
    <col min="7428" max="7428" width="10.6640625" customWidth="1"/>
    <col min="7429" max="7431" width="9.5" bestFit="1" customWidth="1"/>
    <col min="7432" max="7432" width="5.1640625" customWidth="1"/>
    <col min="7433" max="7433" width="41" customWidth="1"/>
    <col min="7434" max="7434" width="8.83203125" customWidth="1"/>
    <col min="7435" max="7435" width="9.5" bestFit="1" customWidth="1"/>
    <col min="7436" max="7436" width="8.83203125" customWidth="1"/>
    <col min="7437" max="7438" width="9.5" bestFit="1" customWidth="1"/>
    <col min="7439" max="7439" width="25.33203125" customWidth="1"/>
    <col min="7440" max="7440" width="13" customWidth="1"/>
    <col min="7441" max="7441" width="8.83203125" customWidth="1"/>
    <col min="7442" max="7442" width="9.5" bestFit="1" customWidth="1"/>
    <col min="7443" max="7443" width="8.83203125" customWidth="1"/>
    <col min="7444" max="7446" width="9.5" bestFit="1" customWidth="1"/>
    <col min="7447" max="7680" width="8.83203125" customWidth="1"/>
    <col min="7681" max="7681" width="18.83203125" customWidth="1"/>
    <col min="7682" max="7682" width="12.33203125" customWidth="1"/>
    <col min="7683" max="7683" width="11.1640625" customWidth="1"/>
    <col min="7684" max="7684" width="10.6640625" customWidth="1"/>
    <col min="7685" max="7687" width="9.5" bestFit="1" customWidth="1"/>
    <col min="7688" max="7688" width="5.1640625" customWidth="1"/>
    <col min="7689" max="7689" width="41" customWidth="1"/>
    <col min="7690" max="7690" width="8.83203125" customWidth="1"/>
    <col min="7691" max="7691" width="9.5" bestFit="1" customWidth="1"/>
    <col min="7692" max="7692" width="8.83203125" customWidth="1"/>
    <col min="7693" max="7694" width="9.5" bestFit="1" customWidth="1"/>
    <col min="7695" max="7695" width="25.33203125" customWidth="1"/>
    <col min="7696" max="7696" width="13" customWidth="1"/>
    <col min="7697" max="7697" width="8.83203125" customWidth="1"/>
    <col min="7698" max="7698" width="9.5" bestFit="1" customWidth="1"/>
    <col min="7699" max="7699" width="8.83203125" customWidth="1"/>
    <col min="7700" max="7702" width="9.5" bestFit="1" customWidth="1"/>
    <col min="7703" max="7936" width="8.83203125" customWidth="1"/>
    <col min="7937" max="7937" width="18.83203125" customWidth="1"/>
    <col min="7938" max="7938" width="12.33203125" customWidth="1"/>
    <col min="7939" max="7939" width="11.1640625" customWidth="1"/>
    <col min="7940" max="7940" width="10.6640625" customWidth="1"/>
    <col min="7941" max="7943" width="9.5" bestFit="1" customWidth="1"/>
    <col min="7944" max="7944" width="5.1640625" customWidth="1"/>
    <col min="7945" max="7945" width="41" customWidth="1"/>
    <col min="7946" max="7946" width="8.83203125" customWidth="1"/>
    <col min="7947" max="7947" width="9.5" bestFit="1" customWidth="1"/>
    <col min="7948" max="7948" width="8.83203125" customWidth="1"/>
    <col min="7949" max="7950" width="9.5" bestFit="1" customWidth="1"/>
    <col min="7951" max="7951" width="25.33203125" customWidth="1"/>
    <col min="7952" max="7952" width="13" customWidth="1"/>
    <col min="7953" max="7953" width="8.83203125" customWidth="1"/>
    <col min="7954" max="7954" width="9.5" bestFit="1" customWidth="1"/>
    <col min="7955" max="7955" width="8.83203125" customWidth="1"/>
    <col min="7956" max="7958" width="9.5" bestFit="1" customWidth="1"/>
    <col min="7959" max="8192" width="8.83203125" customWidth="1"/>
    <col min="8193" max="8193" width="18.83203125" customWidth="1"/>
    <col min="8194" max="8194" width="12.33203125" customWidth="1"/>
    <col min="8195" max="8195" width="11.1640625" customWidth="1"/>
    <col min="8196" max="8196" width="10.6640625" customWidth="1"/>
    <col min="8197" max="8199" width="9.5" bestFit="1" customWidth="1"/>
    <col min="8200" max="8200" width="5.1640625" customWidth="1"/>
    <col min="8201" max="8201" width="41" customWidth="1"/>
    <col min="8202" max="8202" width="8.83203125" customWidth="1"/>
    <col min="8203" max="8203" width="9.5" bestFit="1" customWidth="1"/>
    <col min="8204" max="8204" width="8.83203125" customWidth="1"/>
    <col min="8205" max="8206" width="9.5" bestFit="1" customWidth="1"/>
    <col min="8207" max="8207" width="25.33203125" customWidth="1"/>
    <col min="8208" max="8208" width="13" customWidth="1"/>
    <col min="8209" max="8209" width="8.83203125" customWidth="1"/>
    <col min="8210" max="8210" width="9.5" bestFit="1" customWidth="1"/>
    <col min="8211" max="8211" width="8.83203125" customWidth="1"/>
    <col min="8212" max="8214" width="9.5" bestFit="1" customWidth="1"/>
    <col min="8215" max="8448" width="8.83203125" customWidth="1"/>
    <col min="8449" max="8449" width="18.83203125" customWidth="1"/>
    <col min="8450" max="8450" width="12.33203125" customWidth="1"/>
    <col min="8451" max="8451" width="11.1640625" customWidth="1"/>
    <col min="8452" max="8452" width="10.6640625" customWidth="1"/>
    <col min="8453" max="8455" width="9.5" bestFit="1" customWidth="1"/>
    <col min="8456" max="8456" width="5.1640625" customWidth="1"/>
    <col min="8457" max="8457" width="41" customWidth="1"/>
    <col min="8458" max="8458" width="8.83203125" customWidth="1"/>
    <col min="8459" max="8459" width="9.5" bestFit="1" customWidth="1"/>
    <col min="8460" max="8460" width="8.83203125" customWidth="1"/>
    <col min="8461" max="8462" width="9.5" bestFit="1" customWidth="1"/>
    <col min="8463" max="8463" width="25.33203125" customWidth="1"/>
    <col min="8464" max="8464" width="13" customWidth="1"/>
    <col min="8465" max="8465" width="8.83203125" customWidth="1"/>
    <col min="8466" max="8466" width="9.5" bestFit="1" customWidth="1"/>
    <col min="8467" max="8467" width="8.83203125" customWidth="1"/>
    <col min="8468" max="8470" width="9.5" bestFit="1" customWidth="1"/>
    <col min="8471" max="8704" width="8.83203125" customWidth="1"/>
    <col min="8705" max="8705" width="18.83203125" customWidth="1"/>
    <col min="8706" max="8706" width="12.33203125" customWidth="1"/>
    <col min="8707" max="8707" width="11.1640625" customWidth="1"/>
    <col min="8708" max="8708" width="10.6640625" customWidth="1"/>
    <col min="8709" max="8711" width="9.5" bestFit="1" customWidth="1"/>
    <col min="8712" max="8712" width="5.1640625" customWidth="1"/>
    <col min="8713" max="8713" width="41" customWidth="1"/>
    <col min="8714" max="8714" width="8.83203125" customWidth="1"/>
    <col min="8715" max="8715" width="9.5" bestFit="1" customWidth="1"/>
    <col min="8716" max="8716" width="8.83203125" customWidth="1"/>
    <col min="8717" max="8718" width="9.5" bestFit="1" customWidth="1"/>
    <col min="8719" max="8719" width="25.33203125" customWidth="1"/>
    <col min="8720" max="8720" width="13" customWidth="1"/>
    <col min="8721" max="8721" width="8.83203125" customWidth="1"/>
    <col min="8722" max="8722" width="9.5" bestFit="1" customWidth="1"/>
    <col min="8723" max="8723" width="8.83203125" customWidth="1"/>
    <col min="8724" max="8726" width="9.5" bestFit="1" customWidth="1"/>
    <col min="8727" max="8960" width="8.83203125" customWidth="1"/>
    <col min="8961" max="8961" width="18.83203125" customWidth="1"/>
    <col min="8962" max="8962" width="12.33203125" customWidth="1"/>
    <col min="8963" max="8963" width="11.1640625" customWidth="1"/>
    <col min="8964" max="8964" width="10.6640625" customWidth="1"/>
    <col min="8965" max="8967" width="9.5" bestFit="1" customWidth="1"/>
    <col min="8968" max="8968" width="5.1640625" customWidth="1"/>
    <col min="8969" max="8969" width="41" customWidth="1"/>
    <col min="8970" max="8970" width="8.83203125" customWidth="1"/>
    <col min="8971" max="8971" width="9.5" bestFit="1" customWidth="1"/>
    <col min="8972" max="8972" width="8.83203125" customWidth="1"/>
    <col min="8973" max="8974" width="9.5" bestFit="1" customWidth="1"/>
    <col min="8975" max="8975" width="25.33203125" customWidth="1"/>
    <col min="8976" max="8976" width="13" customWidth="1"/>
    <col min="8977" max="8977" width="8.83203125" customWidth="1"/>
    <col min="8978" max="8978" width="9.5" bestFit="1" customWidth="1"/>
    <col min="8979" max="8979" width="8.83203125" customWidth="1"/>
    <col min="8980" max="8982" width="9.5" bestFit="1" customWidth="1"/>
    <col min="8983" max="9216" width="8.83203125" customWidth="1"/>
    <col min="9217" max="9217" width="18.83203125" customWidth="1"/>
    <col min="9218" max="9218" width="12.33203125" customWidth="1"/>
    <col min="9219" max="9219" width="11.1640625" customWidth="1"/>
    <col min="9220" max="9220" width="10.6640625" customWidth="1"/>
    <col min="9221" max="9223" width="9.5" bestFit="1" customWidth="1"/>
    <col min="9224" max="9224" width="5.1640625" customWidth="1"/>
    <col min="9225" max="9225" width="41" customWidth="1"/>
    <col min="9226" max="9226" width="8.83203125" customWidth="1"/>
    <col min="9227" max="9227" width="9.5" bestFit="1" customWidth="1"/>
    <col min="9228" max="9228" width="8.83203125" customWidth="1"/>
    <col min="9229" max="9230" width="9.5" bestFit="1" customWidth="1"/>
    <col min="9231" max="9231" width="25.33203125" customWidth="1"/>
    <col min="9232" max="9232" width="13" customWidth="1"/>
    <col min="9233" max="9233" width="8.83203125" customWidth="1"/>
    <col min="9234" max="9234" width="9.5" bestFit="1" customWidth="1"/>
    <col min="9235" max="9235" width="8.83203125" customWidth="1"/>
    <col min="9236" max="9238" width="9.5" bestFit="1" customWidth="1"/>
    <col min="9239" max="9472" width="8.83203125" customWidth="1"/>
    <col min="9473" max="9473" width="18.83203125" customWidth="1"/>
    <col min="9474" max="9474" width="12.33203125" customWidth="1"/>
    <col min="9475" max="9475" width="11.1640625" customWidth="1"/>
    <col min="9476" max="9476" width="10.6640625" customWidth="1"/>
    <col min="9477" max="9479" width="9.5" bestFit="1" customWidth="1"/>
    <col min="9480" max="9480" width="5.1640625" customWidth="1"/>
    <col min="9481" max="9481" width="41" customWidth="1"/>
    <col min="9482" max="9482" width="8.83203125" customWidth="1"/>
    <col min="9483" max="9483" width="9.5" bestFit="1" customWidth="1"/>
    <col min="9484" max="9484" width="8.83203125" customWidth="1"/>
    <col min="9485" max="9486" width="9.5" bestFit="1" customWidth="1"/>
    <col min="9487" max="9487" width="25.33203125" customWidth="1"/>
    <col min="9488" max="9488" width="13" customWidth="1"/>
    <col min="9489" max="9489" width="8.83203125" customWidth="1"/>
    <col min="9490" max="9490" width="9.5" bestFit="1" customWidth="1"/>
    <col min="9491" max="9491" width="8.83203125" customWidth="1"/>
    <col min="9492" max="9494" width="9.5" bestFit="1" customWidth="1"/>
    <col min="9495" max="9728" width="8.83203125" customWidth="1"/>
    <col min="9729" max="9729" width="18.83203125" customWidth="1"/>
    <col min="9730" max="9730" width="12.33203125" customWidth="1"/>
    <col min="9731" max="9731" width="11.1640625" customWidth="1"/>
    <col min="9732" max="9732" width="10.6640625" customWidth="1"/>
    <col min="9733" max="9735" width="9.5" bestFit="1" customWidth="1"/>
    <col min="9736" max="9736" width="5.1640625" customWidth="1"/>
    <col min="9737" max="9737" width="41" customWidth="1"/>
    <col min="9738" max="9738" width="8.83203125" customWidth="1"/>
    <col min="9739" max="9739" width="9.5" bestFit="1" customWidth="1"/>
    <col min="9740" max="9740" width="8.83203125" customWidth="1"/>
    <col min="9741" max="9742" width="9.5" bestFit="1" customWidth="1"/>
    <col min="9743" max="9743" width="25.33203125" customWidth="1"/>
    <col min="9744" max="9744" width="13" customWidth="1"/>
    <col min="9745" max="9745" width="8.83203125" customWidth="1"/>
    <col min="9746" max="9746" width="9.5" bestFit="1" customWidth="1"/>
    <col min="9747" max="9747" width="8.83203125" customWidth="1"/>
    <col min="9748" max="9750" width="9.5" bestFit="1" customWidth="1"/>
    <col min="9751" max="9984" width="8.83203125" customWidth="1"/>
    <col min="9985" max="9985" width="18.83203125" customWidth="1"/>
    <col min="9986" max="9986" width="12.33203125" customWidth="1"/>
    <col min="9987" max="9987" width="11.1640625" customWidth="1"/>
    <col min="9988" max="9988" width="10.6640625" customWidth="1"/>
    <col min="9989" max="9991" width="9.5" bestFit="1" customWidth="1"/>
    <col min="9992" max="9992" width="5.1640625" customWidth="1"/>
    <col min="9993" max="9993" width="41" customWidth="1"/>
    <col min="9994" max="9994" width="8.83203125" customWidth="1"/>
    <col min="9995" max="9995" width="9.5" bestFit="1" customWidth="1"/>
    <col min="9996" max="9996" width="8.83203125" customWidth="1"/>
    <col min="9997" max="9998" width="9.5" bestFit="1" customWidth="1"/>
    <col min="9999" max="9999" width="25.33203125" customWidth="1"/>
    <col min="10000" max="10000" width="13" customWidth="1"/>
    <col min="10001" max="10001" width="8.83203125" customWidth="1"/>
    <col min="10002" max="10002" width="9.5" bestFit="1" customWidth="1"/>
    <col min="10003" max="10003" width="8.83203125" customWidth="1"/>
    <col min="10004" max="10006" width="9.5" bestFit="1" customWidth="1"/>
    <col min="10007" max="10240" width="8.83203125" customWidth="1"/>
    <col min="10241" max="10241" width="18.83203125" customWidth="1"/>
    <col min="10242" max="10242" width="12.33203125" customWidth="1"/>
    <col min="10243" max="10243" width="11.1640625" customWidth="1"/>
    <col min="10244" max="10244" width="10.6640625" customWidth="1"/>
    <col min="10245" max="10247" width="9.5" bestFit="1" customWidth="1"/>
    <col min="10248" max="10248" width="5.1640625" customWidth="1"/>
    <col min="10249" max="10249" width="41" customWidth="1"/>
    <col min="10250" max="10250" width="8.83203125" customWidth="1"/>
    <col min="10251" max="10251" width="9.5" bestFit="1" customWidth="1"/>
    <col min="10252" max="10252" width="8.83203125" customWidth="1"/>
    <col min="10253" max="10254" width="9.5" bestFit="1" customWidth="1"/>
    <col min="10255" max="10255" width="25.33203125" customWidth="1"/>
    <col min="10256" max="10256" width="13" customWidth="1"/>
    <col min="10257" max="10257" width="8.83203125" customWidth="1"/>
    <col min="10258" max="10258" width="9.5" bestFit="1" customWidth="1"/>
    <col min="10259" max="10259" width="8.83203125" customWidth="1"/>
    <col min="10260" max="10262" width="9.5" bestFit="1" customWidth="1"/>
    <col min="10263" max="10496" width="8.83203125" customWidth="1"/>
    <col min="10497" max="10497" width="18.83203125" customWidth="1"/>
    <col min="10498" max="10498" width="12.33203125" customWidth="1"/>
    <col min="10499" max="10499" width="11.1640625" customWidth="1"/>
    <col min="10500" max="10500" width="10.6640625" customWidth="1"/>
    <col min="10501" max="10503" width="9.5" bestFit="1" customWidth="1"/>
    <col min="10504" max="10504" width="5.1640625" customWidth="1"/>
    <col min="10505" max="10505" width="41" customWidth="1"/>
    <col min="10506" max="10506" width="8.83203125" customWidth="1"/>
    <col min="10507" max="10507" width="9.5" bestFit="1" customWidth="1"/>
    <col min="10508" max="10508" width="8.83203125" customWidth="1"/>
    <col min="10509" max="10510" width="9.5" bestFit="1" customWidth="1"/>
    <col min="10511" max="10511" width="25.33203125" customWidth="1"/>
    <col min="10512" max="10512" width="13" customWidth="1"/>
    <col min="10513" max="10513" width="8.83203125" customWidth="1"/>
    <col min="10514" max="10514" width="9.5" bestFit="1" customWidth="1"/>
    <col min="10515" max="10515" width="8.83203125" customWidth="1"/>
    <col min="10516" max="10518" width="9.5" bestFit="1" customWidth="1"/>
    <col min="10519" max="10752" width="8.83203125" customWidth="1"/>
    <col min="10753" max="10753" width="18.83203125" customWidth="1"/>
    <col min="10754" max="10754" width="12.33203125" customWidth="1"/>
    <col min="10755" max="10755" width="11.1640625" customWidth="1"/>
    <col min="10756" max="10756" width="10.6640625" customWidth="1"/>
    <col min="10757" max="10759" width="9.5" bestFit="1" customWidth="1"/>
    <col min="10760" max="10760" width="5.1640625" customWidth="1"/>
    <col min="10761" max="10761" width="41" customWidth="1"/>
    <col min="10762" max="10762" width="8.83203125" customWidth="1"/>
    <col min="10763" max="10763" width="9.5" bestFit="1" customWidth="1"/>
    <col min="10764" max="10764" width="8.83203125" customWidth="1"/>
    <col min="10765" max="10766" width="9.5" bestFit="1" customWidth="1"/>
    <col min="10767" max="10767" width="25.33203125" customWidth="1"/>
    <col min="10768" max="10768" width="13" customWidth="1"/>
    <col min="10769" max="10769" width="8.83203125" customWidth="1"/>
    <col min="10770" max="10770" width="9.5" bestFit="1" customWidth="1"/>
    <col min="10771" max="10771" width="8.83203125" customWidth="1"/>
    <col min="10772" max="10774" width="9.5" bestFit="1" customWidth="1"/>
    <col min="10775" max="11008" width="8.83203125" customWidth="1"/>
    <col min="11009" max="11009" width="18.83203125" customWidth="1"/>
    <col min="11010" max="11010" width="12.33203125" customWidth="1"/>
    <col min="11011" max="11011" width="11.1640625" customWidth="1"/>
    <col min="11012" max="11012" width="10.6640625" customWidth="1"/>
    <col min="11013" max="11015" width="9.5" bestFit="1" customWidth="1"/>
    <col min="11016" max="11016" width="5.1640625" customWidth="1"/>
    <col min="11017" max="11017" width="41" customWidth="1"/>
    <col min="11018" max="11018" width="8.83203125" customWidth="1"/>
    <col min="11019" max="11019" width="9.5" bestFit="1" customWidth="1"/>
    <col min="11020" max="11020" width="8.83203125" customWidth="1"/>
    <col min="11021" max="11022" width="9.5" bestFit="1" customWidth="1"/>
    <col min="11023" max="11023" width="25.33203125" customWidth="1"/>
    <col min="11024" max="11024" width="13" customWidth="1"/>
    <col min="11025" max="11025" width="8.83203125" customWidth="1"/>
    <col min="11026" max="11026" width="9.5" bestFit="1" customWidth="1"/>
    <col min="11027" max="11027" width="8.83203125" customWidth="1"/>
    <col min="11028" max="11030" width="9.5" bestFit="1" customWidth="1"/>
    <col min="11031" max="11264" width="8.83203125" customWidth="1"/>
    <col min="11265" max="11265" width="18.83203125" customWidth="1"/>
    <col min="11266" max="11266" width="12.33203125" customWidth="1"/>
    <col min="11267" max="11267" width="11.1640625" customWidth="1"/>
    <col min="11268" max="11268" width="10.6640625" customWidth="1"/>
    <col min="11269" max="11271" width="9.5" bestFit="1" customWidth="1"/>
    <col min="11272" max="11272" width="5.1640625" customWidth="1"/>
    <col min="11273" max="11273" width="41" customWidth="1"/>
    <col min="11274" max="11274" width="8.83203125" customWidth="1"/>
    <col min="11275" max="11275" width="9.5" bestFit="1" customWidth="1"/>
    <col min="11276" max="11276" width="8.83203125" customWidth="1"/>
    <col min="11277" max="11278" width="9.5" bestFit="1" customWidth="1"/>
    <col min="11279" max="11279" width="25.33203125" customWidth="1"/>
    <col min="11280" max="11280" width="13" customWidth="1"/>
    <col min="11281" max="11281" width="8.83203125" customWidth="1"/>
    <col min="11282" max="11282" width="9.5" bestFit="1" customWidth="1"/>
    <col min="11283" max="11283" width="8.83203125" customWidth="1"/>
    <col min="11284" max="11286" width="9.5" bestFit="1" customWidth="1"/>
    <col min="11287" max="11520" width="8.83203125" customWidth="1"/>
    <col min="11521" max="11521" width="18.83203125" customWidth="1"/>
    <col min="11522" max="11522" width="12.33203125" customWidth="1"/>
    <col min="11523" max="11523" width="11.1640625" customWidth="1"/>
    <col min="11524" max="11524" width="10.6640625" customWidth="1"/>
    <col min="11525" max="11527" width="9.5" bestFit="1" customWidth="1"/>
    <col min="11528" max="11528" width="5.1640625" customWidth="1"/>
    <col min="11529" max="11529" width="41" customWidth="1"/>
    <col min="11530" max="11530" width="8.83203125" customWidth="1"/>
    <col min="11531" max="11531" width="9.5" bestFit="1" customWidth="1"/>
    <col min="11532" max="11532" width="8.83203125" customWidth="1"/>
    <col min="11533" max="11534" width="9.5" bestFit="1" customWidth="1"/>
    <col min="11535" max="11535" width="25.33203125" customWidth="1"/>
    <col min="11536" max="11536" width="13" customWidth="1"/>
    <col min="11537" max="11537" width="8.83203125" customWidth="1"/>
    <col min="11538" max="11538" width="9.5" bestFit="1" customWidth="1"/>
    <col min="11539" max="11539" width="8.83203125" customWidth="1"/>
    <col min="11540" max="11542" width="9.5" bestFit="1" customWidth="1"/>
    <col min="11543" max="11776" width="8.83203125" customWidth="1"/>
    <col min="11777" max="11777" width="18.83203125" customWidth="1"/>
    <col min="11778" max="11778" width="12.33203125" customWidth="1"/>
    <col min="11779" max="11779" width="11.1640625" customWidth="1"/>
    <col min="11780" max="11780" width="10.6640625" customWidth="1"/>
    <col min="11781" max="11783" width="9.5" bestFit="1" customWidth="1"/>
    <col min="11784" max="11784" width="5.1640625" customWidth="1"/>
    <col min="11785" max="11785" width="41" customWidth="1"/>
    <col min="11786" max="11786" width="8.83203125" customWidth="1"/>
    <col min="11787" max="11787" width="9.5" bestFit="1" customWidth="1"/>
    <col min="11788" max="11788" width="8.83203125" customWidth="1"/>
    <col min="11789" max="11790" width="9.5" bestFit="1" customWidth="1"/>
    <col min="11791" max="11791" width="25.33203125" customWidth="1"/>
    <col min="11792" max="11792" width="13" customWidth="1"/>
    <col min="11793" max="11793" width="8.83203125" customWidth="1"/>
    <col min="11794" max="11794" width="9.5" bestFit="1" customWidth="1"/>
    <col min="11795" max="11795" width="8.83203125" customWidth="1"/>
    <col min="11796" max="11798" width="9.5" bestFit="1" customWidth="1"/>
    <col min="11799" max="12032" width="8.83203125" customWidth="1"/>
    <col min="12033" max="12033" width="18.83203125" customWidth="1"/>
    <col min="12034" max="12034" width="12.33203125" customWidth="1"/>
    <col min="12035" max="12035" width="11.1640625" customWidth="1"/>
    <col min="12036" max="12036" width="10.6640625" customWidth="1"/>
    <col min="12037" max="12039" width="9.5" bestFit="1" customWidth="1"/>
    <col min="12040" max="12040" width="5.1640625" customWidth="1"/>
    <col min="12041" max="12041" width="41" customWidth="1"/>
    <col min="12042" max="12042" width="8.83203125" customWidth="1"/>
    <col min="12043" max="12043" width="9.5" bestFit="1" customWidth="1"/>
    <col min="12044" max="12044" width="8.83203125" customWidth="1"/>
    <col min="12045" max="12046" width="9.5" bestFit="1" customWidth="1"/>
    <col min="12047" max="12047" width="25.33203125" customWidth="1"/>
    <col min="12048" max="12048" width="13" customWidth="1"/>
    <col min="12049" max="12049" width="8.83203125" customWidth="1"/>
    <col min="12050" max="12050" width="9.5" bestFit="1" customWidth="1"/>
    <col min="12051" max="12051" width="8.83203125" customWidth="1"/>
    <col min="12052" max="12054" width="9.5" bestFit="1" customWidth="1"/>
    <col min="12055" max="12288" width="8.83203125" customWidth="1"/>
    <col min="12289" max="12289" width="18.83203125" customWidth="1"/>
    <col min="12290" max="12290" width="12.33203125" customWidth="1"/>
    <col min="12291" max="12291" width="11.1640625" customWidth="1"/>
    <col min="12292" max="12292" width="10.6640625" customWidth="1"/>
    <col min="12293" max="12295" width="9.5" bestFit="1" customWidth="1"/>
    <col min="12296" max="12296" width="5.1640625" customWidth="1"/>
    <col min="12297" max="12297" width="41" customWidth="1"/>
    <col min="12298" max="12298" width="8.83203125" customWidth="1"/>
    <col min="12299" max="12299" width="9.5" bestFit="1" customWidth="1"/>
    <col min="12300" max="12300" width="8.83203125" customWidth="1"/>
    <col min="12301" max="12302" width="9.5" bestFit="1" customWidth="1"/>
    <col min="12303" max="12303" width="25.33203125" customWidth="1"/>
    <col min="12304" max="12304" width="13" customWidth="1"/>
    <col min="12305" max="12305" width="8.83203125" customWidth="1"/>
    <col min="12306" max="12306" width="9.5" bestFit="1" customWidth="1"/>
    <col min="12307" max="12307" width="8.83203125" customWidth="1"/>
    <col min="12308" max="12310" width="9.5" bestFit="1" customWidth="1"/>
    <col min="12311" max="12544" width="8.83203125" customWidth="1"/>
    <col min="12545" max="12545" width="18.83203125" customWidth="1"/>
    <col min="12546" max="12546" width="12.33203125" customWidth="1"/>
    <col min="12547" max="12547" width="11.1640625" customWidth="1"/>
    <col min="12548" max="12548" width="10.6640625" customWidth="1"/>
    <col min="12549" max="12551" width="9.5" bestFit="1" customWidth="1"/>
    <col min="12552" max="12552" width="5.1640625" customWidth="1"/>
    <col min="12553" max="12553" width="41" customWidth="1"/>
    <col min="12554" max="12554" width="8.83203125" customWidth="1"/>
    <col min="12555" max="12555" width="9.5" bestFit="1" customWidth="1"/>
    <col min="12556" max="12556" width="8.83203125" customWidth="1"/>
    <col min="12557" max="12558" width="9.5" bestFit="1" customWidth="1"/>
    <col min="12559" max="12559" width="25.33203125" customWidth="1"/>
    <col min="12560" max="12560" width="13" customWidth="1"/>
    <col min="12561" max="12561" width="8.83203125" customWidth="1"/>
    <col min="12562" max="12562" width="9.5" bestFit="1" customWidth="1"/>
    <col min="12563" max="12563" width="8.83203125" customWidth="1"/>
    <col min="12564" max="12566" width="9.5" bestFit="1" customWidth="1"/>
    <col min="12567" max="12800" width="8.83203125" customWidth="1"/>
    <col min="12801" max="12801" width="18.83203125" customWidth="1"/>
    <col min="12802" max="12802" width="12.33203125" customWidth="1"/>
    <col min="12803" max="12803" width="11.1640625" customWidth="1"/>
    <col min="12804" max="12804" width="10.6640625" customWidth="1"/>
    <col min="12805" max="12807" width="9.5" bestFit="1" customWidth="1"/>
    <col min="12808" max="12808" width="5.1640625" customWidth="1"/>
    <col min="12809" max="12809" width="41" customWidth="1"/>
    <col min="12810" max="12810" width="8.83203125" customWidth="1"/>
    <col min="12811" max="12811" width="9.5" bestFit="1" customWidth="1"/>
    <col min="12812" max="12812" width="8.83203125" customWidth="1"/>
    <col min="12813" max="12814" width="9.5" bestFit="1" customWidth="1"/>
    <col min="12815" max="12815" width="25.33203125" customWidth="1"/>
    <col min="12816" max="12816" width="13" customWidth="1"/>
    <col min="12817" max="12817" width="8.83203125" customWidth="1"/>
    <col min="12818" max="12818" width="9.5" bestFit="1" customWidth="1"/>
    <col min="12819" max="12819" width="8.83203125" customWidth="1"/>
    <col min="12820" max="12822" width="9.5" bestFit="1" customWidth="1"/>
    <col min="12823" max="13056" width="8.83203125" customWidth="1"/>
    <col min="13057" max="13057" width="18.83203125" customWidth="1"/>
    <col min="13058" max="13058" width="12.33203125" customWidth="1"/>
    <col min="13059" max="13059" width="11.1640625" customWidth="1"/>
    <col min="13060" max="13060" width="10.6640625" customWidth="1"/>
    <col min="13061" max="13063" width="9.5" bestFit="1" customWidth="1"/>
    <col min="13064" max="13064" width="5.1640625" customWidth="1"/>
    <col min="13065" max="13065" width="41" customWidth="1"/>
    <col min="13066" max="13066" width="8.83203125" customWidth="1"/>
    <col min="13067" max="13067" width="9.5" bestFit="1" customWidth="1"/>
    <col min="13068" max="13068" width="8.83203125" customWidth="1"/>
    <col min="13069" max="13070" width="9.5" bestFit="1" customWidth="1"/>
    <col min="13071" max="13071" width="25.33203125" customWidth="1"/>
    <col min="13072" max="13072" width="13" customWidth="1"/>
    <col min="13073" max="13073" width="8.83203125" customWidth="1"/>
    <col min="13074" max="13074" width="9.5" bestFit="1" customWidth="1"/>
    <col min="13075" max="13075" width="8.83203125" customWidth="1"/>
    <col min="13076" max="13078" width="9.5" bestFit="1" customWidth="1"/>
    <col min="13079" max="13312" width="8.83203125" customWidth="1"/>
    <col min="13313" max="13313" width="18.83203125" customWidth="1"/>
    <col min="13314" max="13314" width="12.33203125" customWidth="1"/>
    <col min="13315" max="13315" width="11.1640625" customWidth="1"/>
    <col min="13316" max="13316" width="10.6640625" customWidth="1"/>
    <col min="13317" max="13319" width="9.5" bestFit="1" customWidth="1"/>
    <col min="13320" max="13320" width="5.1640625" customWidth="1"/>
    <col min="13321" max="13321" width="41" customWidth="1"/>
    <col min="13322" max="13322" width="8.83203125" customWidth="1"/>
    <col min="13323" max="13323" width="9.5" bestFit="1" customWidth="1"/>
    <col min="13324" max="13324" width="8.83203125" customWidth="1"/>
    <col min="13325" max="13326" width="9.5" bestFit="1" customWidth="1"/>
    <col min="13327" max="13327" width="25.33203125" customWidth="1"/>
    <col min="13328" max="13328" width="13" customWidth="1"/>
    <col min="13329" max="13329" width="8.83203125" customWidth="1"/>
    <col min="13330" max="13330" width="9.5" bestFit="1" customWidth="1"/>
    <col min="13331" max="13331" width="8.83203125" customWidth="1"/>
    <col min="13332" max="13334" width="9.5" bestFit="1" customWidth="1"/>
    <col min="13335" max="13568" width="8.83203125" customWidth="1"/>
    <col min="13569" max="13569" width="18.83203125" customWidth="1"/>
    <col min="13570" max="13570" width="12.33203125" customWidth="1"/>
    <col min="13571" max="13571" width="11.1640625" customWidth="1"/>
    <col min="13572" max="13572" width="10.6640625" customWidth="1"/>
    <col min="13573" max="13575" width="9.5" bestFit="1" customWidth="1"/>
    <col min="13576" max="13576" width="5.1640625" customWidth="1"/>
    <col min="13577" max="13577" width="41" customWidth="1"/>
    <col min="13578" max="13578" width="8.83203125" customWidth="1"/>
    <col min="13579" max="13579" width="9.5" bestFit="1" customWidth="1"/>
    <col min="13580" max="13580" width="8.83203125" customWidth="1"/>
    <col min="13581" max="13582" width="9.5" bestFit="1" customWidth="1"/>
    <col min="13583" max="13583" width="25.33203125" customWidth="1"/>
    <col min="13584" max="13584" width="13" customWidth="1"/>
    <col min="13585" max="13585" width="8.83203125" customWidth="1"/>
    <col min="13586" max="13586" width="9.5" bestFit="1" customWidth="1"/>
    <col min="13587" max="13587" width="8.83203125" customWidth="1"/>
    <col min="13588" max="13590" width="9.5" bestFit="1" customWidth="1"/>
    <col min="13591" max="13824" width="8.83203125" customWidth="1"/>
    <col min="13825" max="13825" width="18.83203125" customWidth="1"/>
    <col min="13826" max="13826" width="12.33203125" customWidth="1"/>
    <col min="13827" max="13827" width="11.1640625" customWidth="1"/>
    <col min="13828" max="13828" width="10.6640625" customWidth="1"/>
    <col min="13829" max="13831" width="9.5" bestFit="1" customWidth="1"/>
    <col min="13832" max="13832" width="5.1640625" customWidth="1"/>
    <col min="13833" max="13833" width="41" customWidth="1"/>
    <col min="13834" max="13834" width="8.83203125" customWidth="1"/>
    <col min="13835" max="13835" width="9.5" bestFit="1" customWidth="1"/>
    <col min="13836" max="13836" width="8.83203125" customWidth="1"/>
    <col min="13837" max="13838" width="9.5" bestFit="1" customWidth="1"/>
    <col min="13839" max="13839" width="25.33203125" customWidth="1"/>
    <col min="13840" max="13840" width="13" customWidth="1"/>
    <col min="13841" max="13841" width="8.83203125" customWidth="1"/>
    <col min="13842" max="13842" width="9.5" bestFit="1" customWidth="1"/>
    <col min="13843" max="13843" width="8.83203125" customWidth="1"/>
    <col min="13844" max="13846" width="9.5" bestFit="1" customWidth="1"/>
    <col min="13847" max="14080" width="8.83203125" customWidth="1"/>
    <col min="14081" max="14081" width="18.83203125" customWidth="1"/>
    <col min="14082" max="14082" width="12.33203125" customWidth="1"/>
    <col min="14083" max="14083" width="11.1640625" customWidth="1"/>
    <col min="14084" max="14084" width="10.6640625" customWidth="1"/>
    <col min="14085" max="14087" width="9.5" bestFit="1" customWidth="1"/>
    <col min="14088" max="14088" width="5.1640625" customWidth="1"/>
    <col min="14089" max="14089" width="41" customWidth="1"/>
    <col min="14090" max="14090" width="8.83203125" customWidth="1"/>
    <col min="14091" max="14091" width="9.5" bestFit="1" customWidth="1"/>
    <col min="14092" max="14092" width="8.83203125" customWidth="1"/>
    <col min="14093" max="14094" width="9.5" bestFit="1" customWidth="1"/>
    <col min="14095" max="14095" width="25.33203125" customWidth="1"/>
    <col min="14096" max="14096" width="13" customWidth="1"/>
    <col min="14097" max="14097" width="8.83203125" customWidth="1"/>
    <col min="14098" max="14098" width="9.5" bestFit="1" customWidth="1"/>
    <col min="14099" max="14099" width="8.83203125" customWidth="1"/>
    <col min="14100" max="14102" width="9.5" bestFit="1" customWidth="1"/>
    <col min="14103" max="14336" width="8.83203125" customWidth="1"/>
    <col min="14337" max="14337" width="18.83203125" customWidth="1"/>
    <col min="14338" max="14338" width="12.33203125" customWidth="1"/>
    <col min="14339" max="14339" width="11.1640625" customWidth="1"/>
    <col min="14340" max="14340" width="10.6640625" customWidth="1"/>
    <col min="14341" max="14343" width="9.5" bestFit="1" customWidth="1"/>
    <col min="14344" max="14344" width="5.1640625" customWidth="1"/>
    <col min="14345" max="14345" width="41" customWidth="1"/>
    <col min="14346" max="14346" width="8.83203125" customWidth="1"/>
    <col min="14347" max="14347" width="9.5" bestFit="1" customWidth="1"/>
    <col min="14348" max="14348" width="8.83203125" customWidth="1"/>
    <col min="14349" max="14350" width="9.5" bestFit="1" customWidth="1"/>
    <col min="14351" max="14351" width="25.33203125" customWidth="1"/>
    <col min="14352" max="14352" width="13" customWidth="1"/>
    <col min="14353" max="14353" width="8.83203125" customWidth="1"/>
    <col min="14354" max="14354" width="9.5" bestFit="1" customWidth="1"/>
    <col min="14355" max="14355" width="8.83203125" customWidth="1"/>
    <col min="14356" max="14358" width="9.5" bestFit="1" customWidth="1"/>
    <col min="14359" max="14592" width="8.83203125" customWidth="1"/>
    <col min="14593" max="14593" width="18.83203125" customWidth="1"/>
    <col min="14594" max="14594" width="12.33203125" customWidth="1"/>
    <col min="14595" max="14595" width="11.1640625" customWidth="1"/>
    <col min="14596" max="14596" width="10.6640625" customWidth="1"/>
    <col min="14597" max="14599" width="9.5" bestFit="1" customWidth="1"/>
    <col min="14600" max="14600" width="5.1640625" customWidth="1"/>
    <col min="14601" max="14601" width="41" customWidth="1"/>
    <col min="14602" max="14602" width="8.83203125" customWidth="1"/>
    <col min="14603" max="14603" width="9.5" bestFit="1" customWidth="1"/>
    <col min="14604" max="14604" width="8.83203125" customWidth="1"/>
    <col min="14605" max="14606" width="9.5" bestFit="1" customWidth="1"/>
    <col min="14607" max="14607" width="25.33203125" customWidth="1"/>
    <col min="14608" max="14608" width="13" customWidth="1"/>
    <col min="14609" max="14609" width="8.83203125" customWidth="1"/>
    <col min="14610" max="14610" width="9.5" bestFit="1" customWidth="1"/>
    <col min="14611" max="14611" width="8.83203125" customWidth="1"/>
    <col min="14612" max="14614" width="9.5" bestFit="1" customWidth="1"/>
    <col min="14615" max="14848" width="8.83203125" customWidth="1"/>
    <col min="14849" max="14849" width="18.83203125" customWidth="1"/>
    <col min="14850" max="14850" width="12.33203125" customWidth="1"/>
    <col min="14851" max="14851" width="11.1640625" customWidth="1"/>
    <col min="14852" max="14852" width="10.6640625" customWidth="1"/>
    <col min="14853" max="14855" width="9.5" bestFit="1" customWidth="1"/>
    <col min="14856" max="14856" width="5.1640625" customWidth="1"/>
    <col min="14857" max="14857" width="41" customWidth="1"/>
    <col min="14858" max="14858" width="8.83203125" customWidth="1"/>
    <col min="14859" max="14859" width="9.5" bestFit="1" customWidth="1"/>
    <col min="14860" max="14860" width="8.83203125" customWidth="1"/>
    <col min="14861" max="14862" width="9.5" bestFit="1" customWidth="1"/>
    <col min="14863" max="14863" width="25.33203125" customWidth="1"/>
    <col min="14864" max="14864" width="13" customWidth="1"/>
    <col min="14865" max="14865" width="8.83203125" customWidth="1"/>
    <col min="14866" max="14866" width="9.5" bestFit="1" customWidth="1"/>
    <col min="14867" max="14867" width="8.83203125" customWidth="1"/>
    <col min="14868" max="14870" width="9.5" bestFit="1" customWidth="1"/>
    <col min="14871" max="15104" width="8.83203125" customWidth="1"/>
    <col min="15105" max="15105" width="18.83203125" customWidth="1"/>
    <col min="15106" max="15106" width="12.33203125" customWidth="1"/>
    <col min="15107" max="15107" width="11.1640625" customWidth="1"/>
    <col min="15108" max="15108" width="10.6640625" customWidth="1"/>
    <col min="15109" max="15111" width="9.5" bestFit="1" customWidth="1"/>
    <col min="15112" max="15112" width="5.1640625" customWidth="1"/>
    <col min="15113" max="15113" width="41" customWidth="1"/>
    <col min="15114" max="15114" width="8.83203125" customWidth="1"/>
    <col min="15115" max="15115" width="9.5" bestFit="1" customWidth="1"/>
    <col min="15116" max="15116" width="8.83203125" customWidth="1"/>
    <col min="15117" max="15118" width="9.5" bestFit="1" customWidth="1"/>
    <col min="15119" max="15119" width="25.33203125" customWidth="1"/>
    <col min="15120" max="15120" width="13" customWidth="1"/>
    <col min="15121" max="15121" width="8.83203125" customWidth="1"/>
    <col min="15122" max="15122" width="9.5" bestFit="1" customWidth="1"/>
    <col min="15123" max="15123" width="8.83203125" customWidth="1"/>
    <col min="15124" max="15126" width="9.5" bestFit="1" customWidth="1"/>
    <col min="15127" max="15360" width="8.83203125" customWidth="1"/>
    <col min="15361" max="15361" width="18.83203125" customWidth="1"/>
    <col min="15362" max="15362" width="12.33203125" customWidth="1"/>
    <col min="15363" max="15363" width="11.1640625" customWidth="1"/>
    <col min="15364" max="15364" width="10.6640625" customWidth="1"/>
    <col min="15365" max="15367" width="9.5" bestFit="1" customWidth="1"/>
    <col min="15368" max="15368" width="5.1640625" customWidth="1"/>
    <col min="15369" max="15369" width="41" customWidth="1"/>
    <col min="15370" max="15370" width="8.83203125" customWidth="1"/>
    <col min="15371" max="15371" width="9.5" bestFit="1" customWidth="1"/>
    <col min="15372" max="15372" width="8.83203125" customWidth="1"/>
    <col min="15373" max="15374" width="9.5" bestFit="1" customWidth="1"/>
    <col min="15375" max="15375" width="25.33203125" customWidth="1"/>
    <col min="15376" max="15376" width="13" customWidth="1"/>
    <col min="15377" max="15377" width="8.83203125" customWidth="1"/>
    <col min="15378" max="15378" width="9.5" bestFit="1" customWidth="1"/>
    <col min="15379" max="15379" width="8.83203125" customWidth="1"/>
    <col min="15380" max="15382" width="9.5" bestFit="1" customWidth="1"/>
    <col min="15383" max="15616" width="8.83203125" customWidth="1"/>
    <col min="15617" max="15617" width="18.83203125" customWidth="1"/>
    <col min="15618" max="15618" width="12.33203125" customWidth="1"/>
    <col min="15619" max="15619" width="11.1640625" customWidth="1"/>
    <col min="15620" max="15620" width="10.6640625" customWidth="1"/>
    <col min="15621" max="15623" width="9.5" bestFit="1" customWidth="1"/>
    <col min="15624" max="15624" width="5.1640625" customWidth="1"/>
    <col min="15625" max="15625" width="41" customWidth="1"/>
    <col min="15626" max="15626" width="8.83203125" customWidth="1"/>
    <col min="15627" max="15627" width="9.5" bestFit="1" customWidth="1"/>
    <col min="15628" max="15628" width="8.83203125" customWidth="1"/>
    <col min="15629" max="15630" width="9.5" bestFit="1" customWidth="1"/>
    <col min="15631" max="15631" width="25.33203125" customWidth="1"/>
    <col min="15632" max="15632" width="13" customWidth="1"/>
    <col min="15633" max="15633" width="8.83203125" customWidth="1"/>
    <col min="15634" max="15634" width="9.5" bestFit="1" customWidth="1"/>
    <col min="15635" max="15635" width="8.83203125" customWidth="1"/>
    <col min="15636" max="15638" width="9.5" bestFit="1" customWidth="1"/>
    <col min="15639" max="15872" width="8.83203125" customWidth="1"/>
    <col min="15873" max="15873" width="18.83203125" customWidth="1"/>
    <col min="15874" max="15874" width="12.33203125" customWidth="1"/>
    <col min="15875" max="15875" width="11.1640625" customWidth="1"/>
    <col min="15876" max="15876" width="10.6640625" customWidth="1"/>
    <col min="15877" max="15879" width="9.5" bestFit="1" customWidth="1"/>
    <col min="15880" max="15880" width="5.1640625" customWidth="1"/>
    <col min="15881" max="15881" width="41" customWidth="1"/>
    <col min="15882" max="15882" width="8.83203125" customWidth="1"/>
    <col min="15883" max="15883" width="9.5" bestFit="1" customWidth="1"/>
    <col min="15884" max="15884" width="8.83203125" customWidth="1"/>
    <col min="15885" max="15886" width="9.5" bestFit="1" customWidth="1"/>
    <col min="15887" max="15887" width="25.33203125" customWidth="1"/>
    <col min="15888" max="15888" width="13" customWidth="1"/>
    <col min="15889" max="15889" width="8.83203125" customWidth="1"/>
    <col min="15890" max="15890" width="9.5" bestFit="1" customWidth="1"/>
    <col min="15891" max="15891" width="8.83203125" customWidth="1"/>
    <col min="15892" max="15894" width="9.5" bestFit="1" customWidth="1"/>
    <col min="15895" max="16128" width="8.83203125" customWidth="1"/>
    <col min="16129" max="16129" width="18.83203125" customWidth="1"/>
    <col min="16130" max="16130" width="12.33203125" customWidth="1"/>
    <col min="16131" max="16131" width="11.1640625" customWidth="1"/>
    <col min="16132" max="16132" width="10.6640625" customWidth="1"/>
    <col min="16133" max="16135" width="9.5" bestFit="1" customWidth="1"/>
    <col min="16136" max="16136" width="5.1640625" customWidth="1"/>
    <col min="16137" max="16137" width="41" customWidth="1"/>
    <col min="16138" max="16138" width="8.83203125" customWidth="1"/>
    <col min="16139" max="16139" width="9.5" bestFit="1" customWidth="1"/>
    <col min="16140" max="16140" width="8.83203125" customWidth="1"/>
    <col min="16141" max="16142" width="9.5" bestFit="1" customWidth="1"/>
    <col min="16143" max="16143" width="25.33203125" customWidth="1"/>
    <col min="16144" max="16144" width="13" customWidth="1"/>
    <col min="16145" max="16145" width="8.83203125" customWidth="1"/>
    <col min="16146" max="16146" width="9.5" bestFit="1" customWidth="1"/>
    <col min="16147" max="16147" width="8.83203125" customWidth="1"/>
    <col min="16148" max="16150" width="9.5" bestFit="1" customWidth="1"/>
    <col min="16151" max="16384" width="8.83203125" customWidth="1"/>
  </cols>
  <sheetData>
    <row r="1" spans="1:26" ht="19" x14ac:dyDescent="0.25">
      <c r="A1" s="30" t="s">
        <v>46</v>
      </c>
      <c r="B1" s="30"/>
      <c r="C1" s="30"/>
      <c r="D1" s="30"/>
      <c r="E1" s="30"/>
      <c r="F1" s="30"/>
      <c r="G1" s="30"/>
      <c r="H1" s="30"/>
      <c r="I1" s="30"/>
    </row>
    <row r="2" spans="1:26" x14ac:dyDescent="0.2">
      <c r="A2" t="s">
        <v>47</v>
      </c>
    </row>
    <row r="3" spans="1:26" x14ac:dyDescent="0.2">
      <c r="A3" s="1" t="s">
        <v>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6" ht="15" customHeight="1" x14ac:dyDescent="0.2">
      <c r="A4" s="53" t="s">
        <v>49</v>
      </c>
      <c r="B4" s="53"/>
      <c r="C4" s="53"/>
      <c r="D4" s="53"/>
      <c r="E4" s="53"/>
      <c r="F4" s="53"/>
      <c r="G4" s="53"/>
      <c r="H4" s="33"/>
      <c r="I4" s="33"/>
      <c r="J4" s="33"/>
      <c r="K4" s="33"/>
      <c r="L4" s="33"/>
      <c r="M4" s="33"/>
      <c r="N4" s="3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50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51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">
      <c r="A7" s="61" t="s">
        <v>52</v>
      </c>
      <c r="B7" s="54"/>
      <c r="C7" s="54"/>
      <c r="D7" s="54"/>
      <c r="E7" s="54"/>
      <c r="F7" s="54"/>
      <c r="G7" s="54"/>
      <c r="H7" s="33"/>
      <c r="I7" s="33"/>
      <c r="J7" s="33"/>
      <c r="K7" s="33"/>
      <c r="L7" s="33"/>
      <c r="M7" s="33"/>
      <c r="N7" s="3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">
      <c r="A8" s="55"/>
      <c r="B8" s="55"/>
      <c r="C8" s="55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32"/>
      <c r="J11" s="32"/>
      <c r="K11" s="32"/>
      <c r="L11" s="32"/>
      <c r="M11" s="32"/>
      <c r="N11" s="3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x14ac:dyDescent="0.2">
      <c r="A12" s="23" t="s">
        <v>7</v>
      </c>
      <c r="B12" s="23"/>
      <c r="C12" s="23"/>
      <c r="D12" s="24"/>
      <c r="E12" s="1"/>
      <c r="F12" s="1"/>
      <c r="G12" s="1"/>
      <c r="H12" s="1"/>
      <c r="I12" s="1"/>
      <c r="J12" s="1"/>
      <c r="K12" s="1"/>
      <c r="L12" s="1"/>
    </row>
    <row r="13" spans="1:26" ht="19" x14ac:dyDescent="0.25">
      <c r="A13" s="50" t="s">
        <v>53</v>
      </c>
      <c r="B13" s="51"/>
      <c r="C13" s="51"/>
      <c r="D13" s="51"/>
      <c r="E13" s="51"/>
      <c r="F13" s="51"/>
      <c r="G13" s="52"/>
    </row>
    <row r="14" spans="1:26" ht="32" x14ac:dyDescent="0.2">
      <c r="A14" s="2" t="s">
        <v>0</v>
      </c>
      <c r="B14" s="39" t="s">
        <v>1</v>
      </c>
      <c r="C14" s="39" t="s">
        <v>2</v>
      </c>
      <c r="D14" s="39" t="s">
        <v>3</v>
      </c>
      <c r="E14" s="39" t="s">
        <v>4</v>
      </c>
      <c r="F14" s="40" t="s">
        <v>5</v>
      </c>
      <c r="G14" s="5" t="s">
        <v>6</v>
      </c>
      <c r="H14" s="6"/>
      <c r="I14" s="6"/>
      <c r="J14" s="6"/>
      <c r="K14" s="6"/>
      <c r="L14" s="6"/>
      <c r="M14" s="6"/>
      <c r="N14" s="6"/>
      <c r="O14" s="6"/>
    </row>
    <row r="15" spans="1:26" x14ac:dyDescent="0.2">
      <c r="A15" s="7" t="s">
        <v>15</v>
      </c>
      <c r="B15" s="6">
        <v>45</v>
      </c>
      <c r="C15" s="41">
        <f>B15*400</f>
        <v>18000</v>
      </c>
      <c r="D15" s="6">
        <v>2.5</v>
      </c>
      <c r="E15" s="41">
        <f>C15*D15</f>
        <v>45000</v>
      </c>
      <c r="F15" s="42">
        <f>AVERAGE(E15:E17)</f>
        <v>44333.333333333336</v>
      </c>
      <c r="G15" s="11">
        <f>_xlfn.STDEV.S(E15:E17)</f>
        <v>3055.0504633038931</v>
      </c>
      <c r="H15" s="6"/>
      <c r="I15" s="6"/>
      <c r="J15" s="6"/>
      <c r="K15" s="6"/>
      <c r="L15" s="6"/>
      <c r="M15" s="6"/>
      <c r="N15" s="6"/>
      <c r="O15" s="6"/>
    </row>
    <row r="16" spans="1:26" x14ac:dyDescent="0.2">
      <c r="A16" s="7" t="s">
        <v>14</v>
      </c>
      <c r="B16" s="6">
        <v>41</v>
      </c>
      <c r="C16" s="41">
        <f>B16*400</f>
        <v>16400</v>
      </c>
      <c r="D16" s="6">
        <v>2.5</v>
      </c>
      <c r="E16" s="41">
        <f>C16*D16</f>
        <v>41000</v>
      </c>
      <c r="F16" s="41"/>
      <c r="G16" s="12"/>
      <c r="H16" s="6"/>
      <c r="I16" s="6"/>
      <c r="J16" s="6"/>
      <c r="K16" s="6"/>
      <c r="L16" s="6"/>
      <c r="M16" s="6"/>
      <c r="N16" s="6"/>
      <c r="O16" s="6"/>
    </row>
    <row r="17" spans="1:15" x14ac:dyDescent="0.2">
      <c r="A17" s="13" t="s">
        <v>16</v>
      </c>
      <c r="B17" s="14">
        <v>47</v>
      </c>
      <c r="C17" s="15">
        <f>B17*400</f>
        <v>18800</v>
      </c>
      <c r="D17" s="14">
        <v>2.5</v>
      </c>
      <c r="E17" s="15">
        <f>C17*D17</f>
        <v>47000</v>
      </c>
      <c r="F17" s="15"/>
      <c r="G17" s="16"/>
      <c r="H17" s="6"/>
      <c r="I17" s="6"/>
      <c r="J17" s="6"/>
      <c r="K17" s="6"/>
      <c r="L17" s="6"/>
      <c r="M17" s="6"/>
      <c r="N17" s="6"/>
      <c r="O17" s="6"/>
    </row>
    <row r="18" spans="1:15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9" x14ac:dyDescent="0.25">
      <c r="A19" s="50" t="s">
        <v>54</v>
      </c>
      <c r="B19" s="51"/>
      <c r="C19" s="51"/>
      <c r="D19" s="51"/>
      <c r="E19" s="51"/>
      <c r="F19" s="51"/>
      <c r="G19" s="52"/>
    </row>
    <row r="20" spans="1:15" ht="32" x14ac:dyDescent="0.2">
      <c r="A20" s="17" t="s">
        <v>0</v>
      </c>
      <c r="B20" s="18" t="s">
        <v>1</v>
      </c>
      <c r="C20" s="18" t="s">
        <v>2</v>
      </c>
      <c r="D20" s="18" t="s">
        <v>3</v>
      </c>
      <c r="E20" s="18" t="s">
        <v>4</v>
      </c>
      <c r="F20" s="19" t="s">
        <v>5</v>
      </c>
      <c r="G20" s="20" t="s">
        <v>6</v>
      </c>
    </row>
    <row r="21" spans="1:15" x14ac:dyDescent="0.2">
      <c r="A21" s="7" t="s">
        <v>17</v>
      </c>
      <c r="B21" s="6">
        <v>1691</v>
      </c>
      <c r="C21" s="41">
        <f>B21*400</f>
        <v>676400</v>
      </c>
      <c r="D21" s="6">
        <v>2.5</v>
      </c>
      <c r="E21" s="41">
        <f>C21*D21</f>
        <v>1691000</v>
      </c>
      <c r="F21" s="42">
        <f>AVERAGE(E21:E23)</f>
        <v>1708000</v>
      </c>
      <c r="G21" s="11">
        <f>_xlfn.STDEV.S(E21:E23)</f>
        <v>18083.141320025123</v>
      </c>
    </row>
    <row r="22" spans="1:15" x14ac:dyDescent="0.2">
      <c r="A22" s="7" t="s">
        <v>19</v>
      </c>
      <c r="B22" s="6">
        <v>1706</v>
      </c>
      <c r="C22" s="41">
        <f>B22*400</f>
        <v>682400</v>
      </c>
      <c r="D22" s="6">
        <v>2.5</v>
      </c>
      <c r="E22" s="41">
        <f>C22*D22</f>
        <v>1706000</v>
      </c>
      <c r="F22" s="41"/>
      <c r="G22" s="12"/>
    </row>
    <row r="23" spans="1:15" x14ac:dyDescent="0.2">
      <c r="A23" s="13" t="s">
        <v>20</v>
      </c>
      <c r="B23" s="14">
        <v>1727</v>
      </c>
      <c r="C23" s="15">
        <f>B23*400</f>
        <v>690800</v>
      </c>
      <c r="D23" s="14">
        <v>2.5</v>
      </c>
      <c r="E23" s="15">
        <f>C23*D23</f>
        <v>1727000</v>
      </c>
      <c r="F23" s="15"/>
      <c r="G23" s="16"/>
    </row>
    <row r="24" spans="1:15" x14ac:dyDescent="0.2">
      <c r="A24" s="58" t="s">
        <v>55</v>
      </c>
      <c r="B24" s="59"/>
      <c r="C24" s="41"/>
      <c r="D24" s="6"/>
      <c r="E24" s="41"/>
      <c r="F24" s="41"/>
      <c r="G24" s="41"/>
      <c r="H24" s="43"/>
      <c r="I24" s="6"/>
      <c r="J24" s="41"/>
      <c r="K24" s="6"/>
      <c r="L24" s="41"/>
      <c r="M24" s="41"/>
      <c r="N24" s="41"/>
    </row>
    <row r="25" spans="1:15" x14ac:dyDescent="0.2">
      <c r="A25" s="7"/>
      <c r="B25" s="6"/>
      <c r="C25" s="41"/>
      <c r="D25" s="6"/>
      <c r="E25" s="41"/>
      <c r="F25" s="41"/>
      <c r="G25" s="41"/>
      <c r="H25" s="43"/>
      <c r="I25" s="6"/>
      <c r="J25" s="41"/>
      <c r="K25" s="6"/>
      <c r="L25" s="41"/>
      <c r="M25" s="41"/>
      <c r="N25" s="41"/>
    </row>
    <row r="26" spans="1:15" ht="19" x14ac:dyDescent="0.25">
      <c r="A26" s="50" t="s">
        <v>56</v>
      </c>
      <c r="B26" s="51"/>
      <c r="C26" s="51"/>
      <c r="D26" s="51"/>
      <c r="E26" s="51"/>
      <c r="F26" s="51"/>
      <c r="G26" s="52"/>
      <c r="H26" s="43"/>
      <c r="I26" s="6"/>
      <c r="J26" s="41"/>
      <c r="K26" s="6"/>
      <c r="L26" s="41"/>
      <c r="M26" s="41"/>
      <c r="N26" s="41"/>
    </row>
    <row r="27" spans="1:15" ht="32" x14ac:dyDescent="0.2">
      <c r="A27" s="17" t="s">
        <v>0</v>
      </c>
      <c r="B27" s="18" t="s">
        <v>1</v>
      </c>
      <c r="C27" s="18" t="s">
        <v>2</v>
      </c>
      <c r="D27" s="18" t="s">
        <v>3</v>
      </c>
      <c r="E27" s="18" t="s">
        <v>4</v>
      </c>
      <c r="F27" s="19" t="s">
        <v>5</v>
      </c>
      <c r="G27" s="20" t="s">
        <v>6</v>
      </c>
      <c r="H27" s="43"/>
      <c r="I27" s="41"/>
      <c r="J27" s="41"/>
      <c r="K27" s="6"/>
      <c r="L27" s="41"/>
      <c r="M27" s="41"/>
      <c r="N27" s="41"/>
    </row>
    <row r="28" spans="1:15" x14ac:dyDescent="0.2">
      <c r="A28" s="7" t="s">
        <v>57</v>
      </c>
      <c r="B28" s="6">
        <v>5862</v>
      </c>
      <c r="C28" s="41">
        <f>B28*400</f>
        <v>2344800</v>
      </c>
      <c r="D28" s="6">
        <v>2.5</v>
      </c>
      <c r="E28" s="41">
        <f>C28*D28</f>
        <v>5862000</v>
      </c>
      <c r="F28" s="42">
        <f>AVERAGE(E28:E30)</f>
        <v>5827000</v>
      </c>
      <c r="G28" s="11">
        <f>_xlfn.STDEV.S(E28:E30)</f>
        <v>105929.22165295089</v>
      </c>
      <c r="H28" s="43"/>
      <c r="I28" s="41"/>
      <c r="J28" s="41"/>
      <c r="K28" s="6"/>
      <c r="L28" s="41"/>
      <c r="M28" s="41"/>
      <c r="N28" s="41"/>
    </row>
    <row r="29" spans="1:15" x14ac:dyDescent="0.2">
      <c r="A29" s="7" t="s">
        <v>58</v>
      </c>
      <c r="B29" s="6">
        <v>5911</v>
      </c>
      <c r="C29" s="41">
        <f>B29*400</f>
        <v>2364400</v>
      </c>
      <c r="D29" s="6">
        <v>2.5</v>
      </c>
      <c r="E29" s="41">
        <f>C29*D29</f>
        <v>5911000</v>
      </c>
      <c r="F29" s="41"/>
      <c r="G29" s="12"/>
      <c r="H29" s="43"/>
      <c r="I29" s="6"/>
      <c r="J29" s="41"/>
      <c r="K29" s="6"/>
      <c r="L29" s="41"/>
      <c r="M29" s="41"/>
      <c r="N29" s="41"/>
    </row>
    <row r="30" spans="1:15" x14ac:dyDescent="0.2">
      <c r="A30" s="13" t="s">
        <v>59</v>
      </c>
      <c r="B30" s="14">
        <v>5708</v>
      </c>
      <c r="C30" s="15">
        <f>B30*400</f>
        <v>2283200</v>
      </c>
      <c r="D30" s="14">
        <v>2.5</v>
      </c>
      <c r="E30" s="15">
        <f>C30*D30</f>
        <v>5708000</v>
      </c>
      <c r="F30" s="15"/>
      <c r="G30" s="16"/>
      <c r="H30" s="43"/>
      <c r="I30" s="6"/>
      <c r="J30" s="41"/>
      <c r="K30" s="6"/>
      <c r="L30" s="41"/>
      <c r="M30" s="41"/>
      <c r="N30" s="41"/>
    </row>
    <row r="31" spans="1:15" x14ac:dyDescent="0.2">
      <c r="A31" s="58" t="s">
        <v>60</v>
      </c>
      <c r="B31" s="59"/>
      <c r="C31" s="41"/>
      <c r="D31" s="6"/>
      <c r="E31" s="41"/>
      <c r="F31" s="41"/>
      <c r="G31" s="41"/>
      <c r="H31" s="43"/>
      <c r="I31" s="6"/>
      <c r="J31" s="41"/>
      <c r="K31" s="6"/>
      <c r="L31" s="41"/>
      <c r="M31" s="41"/>
      <c r="N31" s="41"/>
    </row>
    <row r="32" spans="1:15" x14ac:dyDescent="0.2">
      <c r="A32" s="7"/>
      <c r="B32" s="6"/>
      <c r="C32" s="41"/>
      <c r="D32" s="6"/>
      <c r="E32" s="41"/>
      <c r="F32" s="41"/>
      <c r="G32" s="41"/>
    </row>
    <row r="33" spans="1:15" ht="19" x14ac:dyDescent="0.25">
      <c r="A33" s="50" t="s">
        <v>61</v>
      </c>
      <c r="B33" s="51"/>
      <c r="C33" s="51"/>
      <c r="D33" s="51"/>
      <c r="E33" s="51"/>
      <c r="F33" s="51"/>
      <c r="G33" s="52"/>
      <c r="H33" s="44"/>
      <c r="I33" s="44"/>
      <c r="J33" s="44"/>
      <c r="K33" s="44"/>
      <c r="L33" s="44"/>
      <c r="M33" s="44"/>
      <c r="N33" s="44"/>
      <c r="O33" s="44"/>
    </row>
    <row r="34" spans="1:15" ht="32" x14ac:dyDescent="0.2">
      <c r="A34" s="17" t="s">
        <v>32</v>
      </c>
      <c r="B34" s="18" t="s">
        <v>1</v>
      </c>
      <c r="C34" s="18" t="s">
        <v>2</v>
      </c>
      <c r="D34" s="18" t="s">
        <v>3</v>
      </c>
      <c r="E34" s="18" t="s">
        <v>4</v>
      </c>
      <c r="F34" s="19" t="s">
        <v>5</v>
      </c>
      <c r="G34" s="20" t="s">
        <v>6</v>
      </c>
      <c r="H34" s="6"/>
    </row>
    <row r="35" spans="1:15" x14ac:dyDescent="0.2">
      <c r="A35" s="7" t="s">
        <v>22</v>
      </c>
      <c r="B35" s="6">
        <v>9514</v>
      </c>
      <c r="C35" s="41">
        <f>B35*400</f>
        <v>3805600</v>
      </c>
      <c r="D35" s="6">
        <v>2.5</v>
      </c>
      <c r="E35" s="41">
        <f>C35*D35</f>
        <v>9514000</v>
      </c>
      <c r="F35" s="42">
        <f>AVERAGE(E35:E37)</f>
        <v>9002333.333333334</v>
      </c>
      <c r="G35" s="11">
        <f>_xlfn.STDEV.S(E35:E37)</f>
        <v>479608.52091401932</v>
      </c>
      <c r="H35" s="6"/>
    </row>
    <row r="36" spans="1:15" x14ac:dyDescent="0.2">
      <c r="A36" s="7" t="s">
        <v>23</v>
      </c>
      <c r="B36" s="6">
        <v>8563</v>
      </c>
      <c r="C36" s="41">
        <f>B36*400</f>
        <v>3425200</v>
      </c>
      <c r="D36" s="6">
        <v>2.5</v>
      </c>
      <c r="E36" s="41">
        <f>C36*D36</f>
        <v>8563000</v>
      </c>
      <c r="F36" s="41"/>
      <c r="G36" s="12"/>
      <c r="H36" s="6"/>
    </row>
    <row r="37" spans="1:15" x14ac:dyDescent="0.2">
      <c r="A37" s="13" t="s">
        <v>24</v>
      </c>
      <c r="B37" s="14">
        <v>8930</v>
      </c>
      <c r="C37" s="15">
        <f>B37*400</f>
        <v>3572000</v>
      </c>
      <c r="D37" s="14">
        <v>2.5</v>
      </c>
      <c r="E37" s="15">
        <f>C37*D37</f>
        <v>8930000</v>
      </c>
      <c r="F37" s="15"/>
      <c r="G37" s="16"/>
      <c r="H37" s="6"/>
    </row>
    <row r="38" spans="1:15" x14ac:dyDescent="0.2">
      <c r="A38" s="45" t="s">
        <v>62</v>
      </c>
      <c r="B38" s="46"/>
      <c r="C38" s="46"/>
      <c r="D38" s="6"/>
      <c r="E38" s="41"/>
      <c r="F38" s="41"/>
      <c r="G38" s="41"/>
      <c r="H38" s="6"/>
      <c r="I38" s="43"/>
      <c r="J38" s="6"/>
      <c r="K38" s="41"/>
      <c r="L38" s="6"/>
      <c r="M38" s="41"/>
      <c r="N38" s="41"/>
      <c r="O38" s="41"/>
    </row>
    <row r="39" spans="1:15" x14ac:dyDescent="0.2">
      <c r="A39" s="60"/>
      <c r="B39" s="60"/>
      <c r="C39" s="60"/>
      <c r="D39" s="60"/>
      <c r="E39" s="60"/>
      <c r="F39" s="60"/>
      <c r="G39" s="60"/>
      <c r="H39" s="6"/>
      <c r="I39" s="43"/>
      <c r="J39" s="6"/>
      <c r="K39" s="41"/>
      <c r="L39" s="6"/>
      <c r="M39" s="41"/>
      <c r="N39" s="41"/>
      <c r="O39" s="41"/>
    </row>
    <row r="40" spans="1:15" ht="15.75" customHeight="1" x14ac:dyDescent="0.2">
      <c r="A40" s="60"/>
      <c r="B40" s="60"/>
      <c r="C40" s="60"/>
      <c r="D40" s="60"/>
      <c r="E40" s="60"/>
      <c r="F40" s="60"/>
      <c r="G40" s="60"/>
    </row>
    <row r="45" spans="1:15" ht="49.5" customHeight="1" x14ac:dyDescent="0.2">
      <c r="A45" s="47"/>
    </row>
    <row r="46" spans="1:15" x14ac:dyDescent="0.2">
      <c r="A46" s="48"/>
    </row>
    <row r="48" spans="1:15" x14ac:dyDescent="0.2">
      <c r="A48" s="43"/>
      <c r="B48" s="6"/>
      <c r="C48" s="41"/>
      <c r="D48" s="6"/>
      <c r="E48" s="41"/>
      <c r="F48" s="41"/>
      <c r="G48" s="41"/>
    </row>
    <row r="55" ht="15.75" customHeight="1" x14ac:dyDescent="0.2"/>
  </sheetData>
  <mergeCells count="10">
    <mergeCell ref="A26:G26"/>
    <mergeCell ref="A31:B31"/>
    <mergeCell ref="A33:G33"/>
    <mergeCell ref="A39:G40"/>
    <mergeCell ref="A4:G4"/>
    <mergeCell ref="A7:G7"/>
    <mergeCell ref="A8:C8"/>
    <mergeCell ref="A13:G13"/>
    <mergeCell ref="A19:G19"/>
    <mergeCell ref="A24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D7CF-53F7-8C4B-A303-0C86EF2406DF}">
  <dimension ref="A1:Z55"/>
  <sheetViews>
    <sheetView tabSelected="1" workbookViewId="0">
      <selection activeCell="I28" sqref="I28"/>
    </sheetView>
  </sheetViews>
  <sheetFormatPr baseColWidth="10" defaultRowHeight="15" x14ac:dyDescent="0.2"/>
  <cols>
    <col min="1" max="1" width="18.83203125" customWidth="1"/>
    <col min="2" max="2" width="12.33203125" customWidth="1"/>
    <col min="3" max="3" width="11.1640625" customWidth="1"/>
    <col min="4" max="4" width="10.6640625" customWidth="1"/>
    <col min="5" max="7" width="9.5" bestFit="1" customWidth="1"/>
    <col min="8" max="8" width="5.1640625" customWidth="1"/>
    <col min="9" max="9" width="41" customWidth="1"/>
    <col min="10" max="10" width="8.83203125" customWidth="1"/>
    <col min="11" max="11" width="9.5" bestFit="1" customWidth="1"/>
    <col min="12" max="12" width="8.83203125" customWidth="1"/>
    <col min="13" max="14" width="9.5" bestFit="1" customWidth="1"/>
    <col min="15" max="15" width="25.33203125" customWidth="1"/>
    <col min="16" max="16" width="13" customWidth="1"/>
    <col min="17" max="17" width="8.83203125" customWidth="1"/>
    <col min="18" max="18" width="9.5" bestFit="1" customWidth="1"/>
    <col min="19" max="19" width="8.83203125" customWidth="1"/>
    <col min="20" max="22" width="9.5" bestFit="1" customWidth="1"/>
    <col min="23" max="256" width="8.83203125" customWidth="1"/>
    <col min="257" max="257" width="18.83203125" customWidth="1"/>
    <col min="258" max="258" width="12.33203125" customWidth="1"/>
    <col min="259" max="259" width="11.1640625" customWidth="1"/>
    <col min="260" max="260" width="10.6640625" customWidth="1"/>
    <col min="261" max="263" width="9.5" bestFit="1" customWidth="1"/>
    <col min="264" max="264" width="5.1640625" customWidth="1"/>
    <col min="265" max="265" width="41" customWidth="1"/>
    <col min="266" max="266" width="8.83203125" customWidth="1"/>
    <col min="267" max="267" width="9.5" bestFit="1" customWidth="1"/>
    <col min="268" max="268" width="8.83203125" customWidth="1"/>
    <col min="269" max="270" width="9.5" bestFit="1" customWidth="1"/>
    <col min="271" max="271" width="25.33203125" customWidth="1"/>
    <col min="272" max="272" width="13" customWidth="1"/>
    <col min="273" max="273" width="8.83203125" customWidth="1"/>
    <col min="274" max="274" width="9.5" bestFit="1" customWidth="1"/>
    <col min="275" max="275" width="8.83203125" customWidth="1"/>
    <col min="276" max="278" width="9.5" bestFit="1" customWidth="1"/>
    <col min="279" max="512" width="8.83203125" customWidth="1"/>
    <col min="513" max="513" width="18.83203125" customWidth="1"/>
    <col min="514" max="514" width="12.33203125" customWidth="1"/>
    <col min="515" max="515" width="11.1640625" customWidth="1"/>
    <col min="516" max="516" width="10.6640625" customWidth="1"/>
    <col min="517" max="519" width="9.5" bestFit="1" customWidth="1"/>
    <col min="520" max="520" width="5.1640625" customWidth="1"/>
    <col min="521" max="521" width="41" customWidth="1"/>
    <col min="522" max="522" width="8.83203125" customWidth="1"/>
    <col min="523" max="523" width="9.5" bestFit="1" customWidth="1"/>
    <col min="524" max="524" width="8.83203125" customWidth="1"/>
    <col min="525" max="526" width="9.5" bestFit="1" customWidth="1"/>
    <col min="527" max="527" width="25.33203125" customWidth="1"/>
    <col min="528" max="528" width="13" customWidth="1"/>
    <col min="529" max="529" width="8.83203125" customWidth="1"/>
    <col min="530" max="530" width="9.5" bestFit="1" customWidth="1"/>
    <col min="531" max="531" width="8.83203125" customWidth="1"/>
    <col min="532" max="534" width="9.5" bestFit="1" customWidth="1"/>
    <col min="535" max="768" width="8.83203125" customWidth="1"/>
    <col min="769" max="769" width="18.83203125" customWidth="1"/>
    <col min="770" max="770" width="12.33203125" customWidth="1"/>
    <col min="771" max="771" width="11.1640625" customWidth="1"/>
    <col min="772" max="772" width="10.6640625" customWidth="1"/>
    <col min="773" max="775" width="9.5" bestFit="1" customWidth="1"/>
    <col min="776" max="776" width="5.1640625" customWidth="1"/>
    <col min="777" max="777" width="41" customWidth="1"/>
    <col min="778" max="778" width="8.83203125" customWidth="1"/>
    <col min="779" max="779" width="9.5" bestFit="1" customWidth="1"/>
    <col min="780" max="780" width="8.83203125" customWidth="1"/>
    <col min="781" max="782" width="9.5" bestFit="1" customWidth="1"/>
    <col min="783" max="783" width="25.33203125" customWidth="1"/>
    <col min="784" max="784" width="13" customWidth="1"/>
    <col min="785" max="785" width="8.83203125" customWidth="1"/>
    <col min="786" max="786" width="9.5" bestFit="1" customWidth="1"/>
    <col min="787" max="787" width="8.83203125" customWidth="1"/>
    <col min="788" max="790" width="9.5" bestFit="1" customWidth="1"/>
    <col min="791" max="1024" width="8.83203125" customWidth="1"/>
    <col min="1025" max="1025" width="18.83203125" customWidth="1"/>
    <col min="1026" max="1026" width="12.33203125" customWidth="1"/>
    <col min="1027" max="1027" width="11.1640625" customWidth="1"/>
    <col min="1028" max="1028" width="10.6640625" customWidth="1"/>
    <col min="1029" max="1031" width="9.5" bestFit="1" customWidth="1"/>
    <col min="1032" max="1032" width="5.1640625" customWidth="1"/>
    <col min="1033" max="1033" width="41" customWidth="1"/>
    <col min="1034" max="1034" width="8.83203125" customWidth="1"/>
    <col min="1035" max="1035" width="9.5" bestFit="1" customWidth="1"/>
    <col min="1036" max="1036" width="8.83203125" customWidth="1"/>
    <col min="1037" max="1038" width="9.5" bestFit="1" customWidth="1"/>
    <col min="1039" max="1039" width="25.33203125" customWidth="1"/>
    <col min="1040" max="1040" width="13" customWidth="1"/>
    <col min="1041" max="1041" width="8.83203125" customWidth="1"/>
    <col min="1042" max="1042" width="9.5" bestFit="1" customWidth="1"/>
    <col min="1043" max="1043" width="8.83203125" customWidth="1"/>
    <col min="1044" max="1046" width="9.5" bestFit="1" customWidth="1"/>
    <col min="1047" max="1280" width="8.83203125" customWidth="1"/>
    <col min="1281" max="1281" width="18.83203125" customWidth="1"/>
    <col min="1282" max="1282" width="12.33203125" customWidth="1"/>
    <col min="1283" max="1283" width="11.1640625" customWidth="1"/>
    <col min="1284" max="1284" width="10.6640625" customWidth="1"/>
    <col min="1285" max="1287" width="9.5" bestFit="1" customWidth="1"/>
    <col min="1288" max="1288" width="5.1640625" customWidth="1"/>
    <col min="1289" max="1289" width="41" customWidth="1"/>
    <col min="1290" max="1290" width="8.83203125" customWidth="1"/>
    <col min="1291" max="1291" width="9.5" bestFit="1" customWidth="1"/>
    <col min="1292" max="1292" width="8.83203125" customWidth="1"/>
    <col min="1293" max="1294" width="9.5" bestFit="1" customWidth="1"/>
    <col min="1295" max="1295" width="25.33203125" customWidth="1"/>
    <col min="1296" max="1296" width="13" customWidth="1"/>
    <col min="1297" max="1297" width="8.83203125" customWidth="1"/>
    <col min="1298" max="1298" width="9.5" bestFit="1" customWidth="1"/>
    <col min="1299" max="1299" width="8.83203125" customWidth="1"/>
    <col min="1300" max="1302" width="9.5" bestFit="1" customWidth="1"/>
    <col min="1303" max="1536" width="8.83203125" customWidth="1"/>
    <col min="1537" max="1537" width="18.83203125" customWidth="1"/>
    <col min="1538" max="1538" width="12.33203125" customWidth="1"/>
    <col min="1539" max="1539" width="11.1640625" customWidth="1"/>
    <col min="1540" max="1540" width="10.6640625" customWidth="1"/>
    <col min="1541" max="1543" width="9.5" bestFit="1" customWidth="1"/>
    <col min="1544" max="1544" width="5.1640625" customWidth="1"/>
    <col min="1545" max="1545" width="41" customWidth="1"/>
    <col min="1546" max="1546" width="8.83203125" customWidth="1"/>
    <col min="1547" max="1547" width="9.5" bestFit="1" customWidth="1"/>
    <col min="1548" max="1548" width="8.83203125" customWidth="1"/>
    <col min="1549" max="1550" width="9.5" bestFit="1" customWidth="1"/>
    <col min="1551" max="1551" width="25.33203125" customWidth="1"/>
    <col min="1552" max="1552" width="13" customWidth="1"/>
    <col min="1553" max="1553" width="8.83203125" customWidth="1"/>
    <col min="1554" max="1554" width="9.5" bestFit="1" customWidth="1"/>
    <col min="1555" max="1555" width="8.83203125" customWidth="1"/>
    <col min="1556" max="1558" width="9.5" bestFit="1" customWidth="1"/>
    <col min="1559" max="1792" width="8.83203125" customWidth="1"/>
    <col min="1793" max="1793" width="18.83203125" customWidth="1"/>
    <col min="1794" max="1794" width="12.33203125" customWidth="1"/>
    <col min="1795" max="1795" width="11.1640625" customWidth="1"/>
    <col min="1796" max="1796" width="10.6640625" customWidth="1"/>
    <col min="1797" max="1799" width="9.5" bestFit="1" customWidth="1"/>
    <col min="1800" max="1800" width="5.1640625" customWidth="1"/>
    <col min="1801" max="1801" width="41" customWidth="1"/>
    <col min="1802" max="1802" width="8.83203125" customWidth="1"/>
    <col min="1803" max="1803" width="9.5" bestFit="1" customWidth="1"/>
    <col min="1804" max="1804" width="8.83203125" customWidth="1"/>
    <col min="1805" max="1806" width="9.5" bestFit="1" customWidth="1"/>
    <col min="1807" max="1807" width="25.33203125" customWidth="1"/>
    <col min="1808" max="1808" width="13" customWidth="1"/>
    <col min="1809" max="1809" width="8.83203125" customWidth="1"/>
    <col min="1810" max="1810" width="9.5" bestFit="1" customWidth="1"/>
    <col min="1811" max="1811" width="8.83203125" customWidth="1"/>
    <col min="1812" max="1814" width="9.5" bestFit="1" customWidth="1"/>
    <col min="1815" max="2048" width="8.83203125" customWidth="1"/>
    <col min="2049" max="2049" width="18.83203125" customWidth="1"/>
    <col min="2050" max="2050" width="12.33203125" customWidth="1"/>
    <col min="2051" max="2051" width="11.1640625" customWidth="1"/>
    <col min="2052" max="2052" width="10.6640625" customWidth="1"/>
    <col min="2053" max="2055" width="9.5" bestFit="1" customWidth="1"/>
    <col min="2056" max="2056" width="5.1640625" customWidth="1"/>
    <col min="2057" max="2057" width="41" customWidth="1"/>
    <col min="2058" max="2058" width="8.83203125" customWidth="1"/>
    <col min="2059" max="2059" width="9.5" bestFit="1" customWidth="1"/>
    <col min="2060" max="2060" width="8.83203125" customWidth="1"/>
    <col min="2061" max="2062" width="9.5" bestFit="1" customWidth="1"/>
    <col min="2063" max="2063" width="25.33203125" customWidth="1"/>
    <col min="2064" max="2064" width="13" customWidth="1"/>
    <col min="2065" max="2065" width="8.83203125" customWidth="1"/>
    <col min="2066" max="2066" width="9.5" bestFit="1" customWidth="1"/>
    <col min="2067" max="2067" width="8.83203125" customWidth="1"/>
    <col min="2068" max="2070" width="9.5" bestFit="1" customWidth="1"/>
    <col min="2071" max="2304" width="8.83203125" customWidth="1"/>
    <col min="2305" max="2305" width="18.83203125" customWidth="1"/>
    <col min="2306" max="2306" width="12.33203125" customWidth="1"/>
    <col min="2307" max="2307" width="11.1640625" customWidth="1"/>
    <col min="2308" max="2308" width="10.6640625" customWidth="1"/>
    <col min="2309" max="2311" width="9.5" bestFit="1" customWidth="1"/>
    <col min="2312" max="2312" width="5.1640625" customWidth="1"/>
    <col min="2313" max="2313" width="41" customWidth="1"/>
    <col min="2314" max="2314" width="8.83203125" customWidth="1"/>
    <col min="2315" max="2315" width="9.5" bestFit="1" customWidth="1"/>
    <col min="2316" max="2316" width="8.83203125" customWidth="1"/>
    <col min="2317" max="2318" width="9.5" bestFit="1" customWidth="1"/>
    <col min="2319" max="2319" width="25.33203125" customWidth="1"/>
    <col min="2320" max="2320" width="13" customWidth="1"/>
    <col min="2321" max="2321" width="8.83203125" customWidth="1"/>
    <col min="2322" max="2322" width="9.5" bestFit="1" customWidth="1"/>
    <col min="2323" max="2323" width="8.83203125" customWidth="1"/>
    <col min="2324" max="2326" width="9.5" bestFit="1" customWidth="1"/>
    <col min="2327" max="2560" width="8.83203125" customWidth="1"/>
    <col min="2561" max="2561" width="18.83203125" customWidth="1"/>
    <col min="2562" max="2562" width="12.33203125" customWidth="1"/>
    <col min="2563" max="2563" width="11.1640625" customWidth="1"/>
    <col min="2564" max="2564" width="10.6640625" customWidth="1"/>
    <col min="2565" max="2567" width="9.5" bestFit="1" customWidth="1"/>
    <col min="2568" max="2568" width="5.1640625" customWidth="1"/>
    <col min="2569" max="2569" width="41" customWidth="1"/>
    <col min="2570" max="2570" width="8.83203125" customWidth="1"/>
    <col min="2571" max="2571" width="9.5" bestFit="1" customWidth="1"/>
    <col min="2572" max="2572" width="8.83203125" customWidth="1"/>
    <col min="2573" max="2574" width="9.5" bestFit="1" customWidth="1"/>
    <col min="2575" max="2575" width="25.33203125" customWidth="1"/>
    <col min="2576" max="2576" width="13" customWidth="1"/>
    <col min="2577" max="2577" width="8.83203125" customWidth="1"/>
    <col min="2578" max="2578" width="9.5" bestFit="1" customWidth="1"/>
    <col min="2579" max="2579" width="8.83203125" customWidth="1"/>
    <col min="2580" max="2582" width="9.5" bestFit="1" customWidth="1"/>
    <col min="2583" max="2816" width="8.83203125" customWidth="1"/>
    <col min="2817" max="2817" width="18.83203125" customWidth="1"/>
    <col min="2818" max="2818" width="12.33203125" customWidth="1"/>
    <col min="2819" max="2819" width="11.1640625" customWidth="1"/>
    <col min="2820" max="2820" width="10.6640625" customWidth="1"/>
    <col min="2821" max="2823" width="9.5" bestFit="1" customWidth="1"/>
    <col min="2824" max="2824" width="5.1640625" customWidth="1"/>
    <col min="2825" max="2825" width="41" customWidth="1"/>
    <col min="2826" max="2826" width="8.83203125" customWidth="1"/>
    <col min="2827" max="2827" width="9.5" bestFit="1" customWidth="1"/>
    <col min="2828" max="2828" width="8.83203125" customWidth="1"/>
    <col min="2829" max="2830" width="9.5" bestFit="1" customWidth="1"/>
    <col min="2831" max="2831" width="25.33203125" customWidth="1"/>
    <col min="2832" max="2832" width="13" customWidth="1"/>
    <col min="2833" max="2833" width="8.83203125" customWidth="1"/>
    <col min="2834" max="2834" width="9.5" bestFit="1" customWidth="1"/>
    <col min="2835" max="2835" width="8.83203125" customWidth="1"/>
    <col min="2836" max="2838" width="9.5" bestFit="1" customWidth="1"/>
    <col min="2839" max="3072" width="8.83203125" customWidth="1"/>
    <col min="3073" max="3073" width="18.83203125" customWidth="1"/>
    <col min="3074" max="3074" width="12.33203125" customWidth="1"/>
    <col min="3075" max="3075" width="11.1640625" customWidth="1"/>
    <col min="3076" max="3076" width="10.6640625" customWidth="1"/>
    <col min="3077" max="3079" width="9.5" bestFit="1" customWidth="1"/>
    <col min="3080" max="3080" width="5.1640625" customWidth="1"/>
    <col min="3081" max="3081" width="41" customWidth="1"/>
    <col min="3082" max="3082" width="8.83203125" customWidth="1"/>
    <col min="3083" max="3083" width="9.5" bestFit="1" customWidth="1"/>
    <col min="3084" max="3084" width="8.83203125" customWidth="1"/>
    <col min="3085" max="3086" width="9.5" bestFit="1" customWidth="1"/>
    <col min="3087" max="3087" width="25.33203125" customWidth="1"/>
    <col min="3088" max="3088" width="13" customWidth="1"/>
    <col min="3089" max="3089" width="8.83203125" customWidth="1"/>
    <col min="3090" max="3090" width="9.5" bestFit="1" customWidth="1"/>
    <col min="3091" max="3091" width="8.83203125" customWidth="1"/>
    <col min="3092" max="3094" width="9.5" bestFit="1" customWidth="1"/>
    <col min="3095" max="3328" width="8.83203125" customWidth="1"/>
    <col min="3329" max="3329" width="18.83203125" customWidth="1"/>
    <col min="3330" max="3330" width="12.33203125" customWidth="1"/>
    <col min="3331" max="3331" width="11.1640625" customWidth="1"/>
    <col min="3332" max="3332" width="10.6640625" customWidth="1"/>
    <col min="3333" max="3335" width="9.5" bestFit="1" customWidth="1"/>
    <col min="3336" max="3336" width="5.1640625" customWidth="1"/>
    <col min="3337" max="3337" width="41" customWidth="1"/>
    <col min="3338" max="3338" width="8.83203125" customWidth="1"/>
    <col min="3339" max="3339" width="9.5" bestFit="1" customWidth="1"/>
    <col min="3340" max="3340" width="8.83203125" customWidth="1"/>
    <col min="3341" max="3342" width="9.5" bestFit="1" customWidth="1"/>
    <col min="3343" max="3343" width="25.33203125" customWidth="1"/>
    <col min="3344" max="3344" width="13" customWidth="1"/>
    <col min="3345" max="3345" width="8.83203125" customWidth="1"/>
    <col min="3346" max="3346" width="9.5" bestFit="1" customWidth="1"/>
    <col min="3347" max="3347" width="8.83203125" customWidth="1"/>
    <col min="3348" max="3350" width="9.5" bestFit="1" customWidth="1"/>
    <col min="3351" max="3584" width="8.83203125" customWidth="1"/>
    <col min="3585" max="3585" width="18.83203125" customWidth="1"/>
    <col min="3586" max="3586" width="12.33203125" customWidth="1"/>
    <col min="3587" max="3587" width="11.1640625" customWidth="1"/>
    <col min="3588" max="3588" width="10.6640625" customWidth="1"/>
    <col min="3589" max="3591" width="9.5" bestFit="1" customWidth="1"/>
    <col min="3592" max="3592" width="5.1640625" customWidth="1"/>
    <col min="3593" max="3593" width="41" customWidth="1"/>
    <col min="3594" max="3594" width="8.83203125" customWidth="1"/>
    <col min="3595" max="3595" width="9.5" bestFit="1" customWidth="1"/>
    <col min="3596" max="3596" width="8.83203125" customWidth="1"/>
    <col min="3597" max="3598" width="9.5" bestFit="1" customWidth="1"/>
    <col min="3599" max="3599" width="25.33203125" customWidth="1"/>
    <col min="3600" max="3600" width="13" customWidth="1"/>
    <col min="3601" max="3601" width="8.83203125" customWidth="1"/>
    <col min="3602" max="3602" width="9.5" bestFit="1" customWidth="1"/>
    <col min="3603" max="3603" width="8.83203125" customWidth="1"/>
    <col min="3604" max="3606" width="9.5" bestFit="1" customWidth="1"/>
    <col min="3607" max="3840" width="8.83203125" customWidth="1"/>
    <col min="3841" max="3841" width="18.83203125" customWidth="1"/>
    <col min="3842" max="3842" width="12.33203125" customWidth="1"/>
    <col min="3843" max="3843" width="11.1640625" customWidth="1"/>
    <col min="3844" max="3844" width="10.6640625" customWidth="1"/>
    <col min="3845" max="3847" width="9.5" bestFit="1" customWidth="1"/>
    <col min="3848" max="3848" width="5.1640625" customWidth="1"/>
    <col min="3849" max="3849" width="41" customWidth="1"/>
    <col min="3850" max="3850" width="8.83203125" customWidth="1"/>
    <col min="3851" max="3851" width="9.5" bestFit="1" customWidth="1"/>
    <col min="3852" max="3852" width="8.83203125" customWidth="1"/>
    <col min="3853" max="3854" width="9.5" bestFit="1" customWidth="1"/>
    <col min="3855" max="3855" width="25.33203125" customWidth="1"/>
    <col min="3856" max="3856" width="13" customWidth="1"/>
    <col min="3857" max="3857" width="8.83203125" customWidth="1"/>
    <col min="3858" max="3858" width="9.5" bestFit="1" customWidth="1"/>
    <col min="3859" max="3859" width="8.83203125" customWidth="1"/>
    <col min="3860" max="3862" width="9.5" bestFit="1" customWidth="1"/>
    <col min="3863" max="4096" width="8.83203125" customWidth="1"/>
    <col min="4097" max="4097" width="18.83203125" customWidth="1"/>
    <col min="4098" max="4098" width="12.33203125" customWidth="1"/>
    <col min="4099" max="4099" width="11.1640625" customWidth="1"/>
    <col min="4100" max="4100" width="10.6640625" customWidth="1"/>
    <col min="4101" max="4103" width="9.5" bestFit="1" customWidth="1"/>
    <col min="4104" max="4104" width="5.1640625" customWidth="1"/>
    <col min="4105" max="4105" width="41" customWidth="1"/>
    <col min="4106" max="4106" width="8.83203125" customWidth="1"/>
    <col min="4107" max="4107" width="9.5" bestFit="1" customWidth="1"/>
    <col min="4108" max="4108" width="8.83203125" customWidth="1"/>
    <col min="4109" max="4110" width="9.5" bestFit="1" customWidth="1"/>
    <col min="4111" max="4111" width="25.33203125" customWidth="1"/>
    <col min="4112" max="4112" width="13" customWidth="1"/>
    <col min="4113" max="4113" width="8.83203125" customWidth="1"/>
    <col min="4114" max="4114" width="9.5" bestFit="1" customWidth="1"/>
    <col min="4115" max="4115" width="8.83203125" customWidth="1"/>
    <col min="4116" max="4118" width="9.5" bestFit="1" customWidth="1"/>
    <col min="4119" max="4352" width="8.83203125" customWidth="1"/>
    <col min="4353" max="4353" width="18.83203125" customWidth="1"/>
    <col min="4354" max="4354" width="12.33203125" customWidth="1"/>
    <col min="4355" max="4355" width="11.1640625" customWidth="1"/>
    <col min="4356" max="4356" width="10.6640625" customWidth="1"/>
    <col min="4357" max="4359" width="9.5" bestFit="1" customWidth="1"/>
    <col min="4360" max="4360" width="5.1640625" customWidth="1"/>
    <col min="4361" max="4361" width="41" customWidth="1"/>
    <col min="4362" max="4362" width="8.83203125" customWidth="1"/>
    <col min="4363" max="4363" width="9.5" bestFit="1" customWidth="1"/>
    <col min="4364" max="4364" width="8.83203125" customWidth="1"/>
    <col min="4365" max="4366" width="9.5" bestFit="1" customWidth="1"/>
    <col min="4367" max="4367" width="25.33203125" customWidth="1"/>
    <col min="4368" max="4368" width="13" customWidth="1"/>
    <col min="4369" max="4369" width="8.83203125" customWidth="1"/>
    <col min="4370" max="4370" width="9.5" bestFit="1" customWidth="1"/>
    <col min="4371" max="4371" width="8.83203125" customWidth="1"/>
    <col min="4372" max="4374" width="9.5" bestFit="1" customWidth="1"/>
    <col min="4375" max="4608" width="8.83203125" customWidth="1"/>
    <col min="4609" max="4609" width="18.83203125" customWidth="1"/>
    <col min="4610" max="4610" width="12.33203125" customWidth="1"/>
    <col min="4611" max="4611" width="11.1640625" customWidth="1"/>
    <col min="4612" max="4612" width="10.6640625" customWidth="1"/>
    <col min="4613" max="4615" width="9.5" bestFit="1" customWidth="1"/>
    <col min="4616" max="4616" width="5.1640625" customWidth="1"/>
    <col min="4617" max="4617" width="41" customWidth="1"/>
    <col min="4618" max="4618" width="8.83203125" customWidth="1"/>
    <col min="4619" max="4619" width="9.5" bestFit="1" customWidth="1"/>
    <col min="4620" max="4620" width="8.83203125" customWidth="1"/>
    <col min="4621" max="4622" width="9.5" bestFit="1" customWidth="1"/>
    <col min="4623" max="4623" width="25.33203125" customWidth="1"/>
    <col min="4624" max="4624" width="13" customWidth="1"/>
    <col min="4625" max="4625" width="8.83203125" customWidth="1"/>
    <col min="4626" max="4626" width="9.5" bestFit="1" customWidth="1"/>
    <col min="4627" max="4627" width="8.83203125" customWidth="1"/>
    <col min="4628" max="4630" width="9.5" bestFit="1" customWidth="1"/>
    <col min="4631" max="4864" width="8.83203125" customWidth="1"/>
    <col min="4865" max="4865" width="18.83203125" customWidth="1"/>
    <col min="4866" max="4866" width="12.33203125" customWidth="1"/>
    <col min="4867" max="4867" width="11.1640625" customWidth="1"/>
    <col min="4868" max="4868" width="10.6640625" customWidth="1"/>
    <col min="4869" max="4871" width="9.5" bestFit="1" customWidth="1"/>
    <col min="4872" max="4872" width="5.1640625" customWidth="1"/>
    <col min="4873" max="4873" width="41" customWidth="1"/>
    <col min="4874" max="4874" width="8.83203125" customWidth="1"/>
    <col min="4875" max="4875" width="9.5" bestFit="1" customWidth="1"/>
    <col min="4876" max="4876" width="8.83203125" customWidth="1"/>
    <col min="4877" max="4878" width="9.5" bestFit="1" customWidth="1"/>
    <col min="4879" max="4879" width="25.33203125" customWidth="1"/>
    <col min="4880" max="4880" width="13" customWidth="1"/>
    <col min="4881" max="4881" width="8.83203125" customWidth="1"/>
    <col min="4882" max="4882" width="9.5" bestFit="1" customWidth="1"/>
    <col min="4883" max="4883" width="8.83203125" customWidth="1"/>
    <col min="4884" max="4886" width="9.5" bestFit="1" customWidth="1"/>
    <col min="4887" max="5120" width="8.83203125" customWidth="1"/>
    <col min="5121" max="5121" width="18.83203125" customWidth="1"/>
    <col min="5122" max="5122" width="12.33203125" customWidth="1"/>
    <col min="5123" max="5123" width="11.1640625" customWidth="1"/>
    <col min="5124" max="5124" width="10.6640625" customWidth="1"/>
    <col min="5125" max="5127" width="9.5" bestFit="1" customWidth="1"/>
    <col min="5128" max="5128" width="5.1640625" customWidth="1"/>
    <col min="5129" max="5129" width="41" customWidth="1"/>
    <col min="5130" max="5130" width="8.83203125" customWidth="1"/>
    <col min="5131" max="5131" width="9.5" bestFit="1" customWidth="1"/>
    <col min="5132" max="5132" width="8.83203125" customWidth="1"/>
    <col min="5133" max="5134" width="9.5" bestFit="1" customWidth="1"/>
    <col min="5135" max="5135" width="25.33203125" customWidth="1"/>
    <col min="5136" max="5136" width="13" customWidth="1"/>
    <col min="5137" max="5137" width="8.83203125" customWidth="1"/>
    <col min="5138" max="5138" width="9.5" bestFit="1" customWidth="1"/>
    <col min="5139" max="5139" width="8.83203125" customWidth="1"/>
    <col min="5140" max="5142" width="9.5" bestFit="1" customWidth="1"/>
    <col min="5143" max="5376" width="8.83203125" customWidth="1"/>
    <col min="5377" max="5377" width="18.83203125" customWidth="1"/>
    <col min="5378" max="5378" width="12.33203125" customWidth="1"/>
    <col min="5379" max="5379" width="11.1640625" customWidth="1"/>
    <col min="5380" max="5380" width="10.6640625" customWidth="1"/>
    <col min="5381" max="5383" width="9.5" bestFit="1" customWidth="1"/>
    <col min="5384" max="5384" width="5.1640625" customWidth="1"/>
    <col min="5385" max="5385" width="41" customWidth="1"/>
    <col min="5386" max="5386" width="8.83203125" customWidth="1"/>
    <col min="5387" max="5387" width="9.5" bestFit="1" customWidth="1"/>
    <col min="5388" max="5388" width="8.83203125" customWidth="1"/>
    <col min="5389" max="5390" width="9.5" bestFit="1" customWidth="1"/>
    <col min="5391" max="5391" width="25.33203125" customWidth="1"/>
    <col min="5392" max="5392" width="13" customWidth="1"/>
    <col min="5393" max="5393" width="8.83203125" customWidth="1"/>
    <col min="5394" max="5394" width="9.5" bestFit="1" customWidth="1"/>
    <col min="5395" max="5395" width="8.83203125" customWidth="1"/>
    <col min="5396" max="5398" width="9.5" bestFit="1" customWidth="1"/>
    <col min="5399" max="5632" width="8.83203125" customWidth="1"/>
    <col min="5633" max="5633" width="18.83203125" customWidth="1"/>
    <col min="5634" max="5634" width="12.33203125" customWidth="1"/>
    <col min="5635" max="5635" width="11.1640625" customWidth="1"/>
    <col min="5636" max="5636" width="10.6640625" customWidth="1"/>
    <col min="5637" max="5639" width="9.5" bestFit="1" customWidth="1"/>
    <col min="5640" max="5640" width="5.1640625" customWidth="1"/>
    <col min="5641" max="5641" width="41" customWidth="1"/>
    <col min="5642" max="5642" width="8.83203125" customWidth="1"/>
    <col min="5643" max="5643" width="9.5" bestFit="1" customWidth="1"/>
    <col min="5644" max="5644" width="8.83203125" customWidth="1"/>
    <col min="5645" max="5646" width="9.5" bestFit="1" customWidth="1"/>
    <col min="5647" max="5647" width="25.33203125" customWidth="1"/>
    <col min="5648" max="5648" width="13" customWidth="1"/>
    <col min="5649" max="5649" width="8.83203125" customWidth="1"/>
    <col min="5650" max="5650" width="9.5" bestFit="1" customWidth="1"/>
    <col min="5651" max="5651" width="8.83203125" customWidth="1"/>
    <col min="5652" max="5654" width="9.5" bestFit="1" customWidth="1"/>
    <col min="5655" max="5888" width="8.83203125" customWidth="1"/>
    <col min="5889" max="5889" width="18.83203125" customWidth="1"/>
    <col min="5890" max="5890" width="12.33203125" customWidth="1"/>
    <col min="5891" max="5891" width="11.1640625" customWidth="1"/>
    <col min="5892" max="5892" width="10.6640625" customWidth="1"/>
    <col min="5893" max="5895" width="9.5" bestFit="1" customWidth="1"/>
    <col min="5896" max="5896" width="5.1640625" customWidth="1"/>
    <col min="5897" max="5897" width="41" customWidth="1"/>
    <col min="5898" max="5898" width="8.83203125" customWidth="1"/>
    <col min="5899" max="5899" width="9.5" bestFit="1" customWidth="1"/>
    <col min="5900" max="5900" width="8.83203125" customWidth="1"/>
    <col min="5901" max="5902" width="9.5" bestFit="1" customWidth="1"/>
    <col min="5903" max="5903" width="25.33203125" customWidth="1"/>
    <col min="5904" max="5904" width="13" customWidth="1"/>
    <col min="5905" max="5905" width="8.83203125" customWidth="1"/>
    <col min="5906" max="5906" width="9.5" bestFit="1" customWidth="1"/>
    <col min="5907" max="5907" width="8.83203125" customWidth="1"/>
    <col min="5908" max="5910" width="9.5" bestFit="1" customWidth="1"/>
    <col min="5911" max="6144" width="8.83203125" customWidth="1"/>
    <col min="6145" max="6145" width="18.83203125" customWidth="1"/>
    <col min="6146" max="6146" width="12.33203125" customWidth="1"/>
    <col min="6147" max="6147" width="11.1640625" customWidth="1"/>
    <col min="6148" max="6148" width="10.6640625" customWidth="1"/>
    <col min="6149" max="6151" width="9.5" bestFit="1" customWidth="1"/>
    <col min="6152" max="6152" width="5.1640625" customWidth="1"/>
    <col min="6153" max="6153" width="41" customWidth="1"/>
    <col min="6154" max="6154" width="8.83203125" customWidth="1"/>
    <col min="6155" max="6155" width="9.5" bestFit="1" customWidth="1"/>
    <col min="6156" max="6156" width="8.83203125" customWidth="1"/>
    <col min="6157" max="6158" width="9.5" bestFit="1" customWidth="1"/>
    <col min="6159" max="6159" width="25.33203125" customWidth="1"/>
    <col min="6160" max="6160" width="13" customWidth="1"/>
    <col min="6161" max="6161" width="8.83203125" customWidth="1"/>
    <col min="6162" max="6162" width="9.5" bestFit="1" customWidth="1"/>
    <col min="6163" max="6163" width="8.83203125" customWidth="1"/>
    <col min="6164" max="6166" width="9.5" bestFit="1" customWidth="1"/>
    <col min="6167" max="6400" width="8.83203125" customWidth="1"/>
    <col min="6401" max="6401" width="18.83203125" customWidth="1"/>
    <col min="6402" max="6402" width="12.33203125" customWidth="1"/>
    <col min="6403" max="6403" width="11.1640625" customWidth="1"/>
    <col min="6404" max="6404" width="10.6640625" customWidth="1"/>
    <col min="6405" max="6407" width="9.5" bestFit="1" customWidth="1"/>
    <col min="6408" max="6408" width="5.1640625" customWidth="1"/>
    <col min="6409" max="6409" width="41" customWidth="1"/>
    <col min="6410" max="6410" width="8.83203125" customWidth="1"/>
    <col min="6411" max="6411" width="9.5" bestFit="1" customWidth="1"/>
    <col min="6412" max="6412" width="8.83203125" customWidth="1"/>
    <col min="6413" max="6414" width="9.5" bestFit="1" customWidth="1"/>
    <col min="6415" max="6415" width="25.33203125" customWidth="1"/>
    <col min="6416" max="6416" width="13" customWidth="1"/>
    <col min="6417" max="6417" width="8.83203125" customWidth="1"/>
    <col min="6418" max="6418" width="9.5" bestFit="1" customWidth="1"/>
    <col min="6419" max="6419" width="8.83203125" customWidth="1"/>
    <col min="6420" max="6422" width="9.5" bestFit="1" customWidth="1"/>
    <col min="6423" max="6656" width="8.83203125" customWidth="1"/>
    <col min="6657" max="6657" width="18.83203125" customWidth="1"/>
    <col min="6658" max="6658" width="12.33203125" customWidth="1"/>
    <col min="6659" max="6659" width="11.1640625" customWidth="1"/>
    <col min="6660" max="6660" width="10.6640625" customWidth="1"/>
    <col min="6661" max="6663" width="9.5" bestFit="1" customWidth="1"/>
    <col min="6664" max="6664" width="5.1640625" customWidth="1"/>
    <col min="6665" max="6665" width="41" customWidth="1"/>
    <col min="6666" max="6666" width="8.83203125" customWidth="1"/>
    <col min="6667" max="6667" width="9.5" bestFit="1" customWidth="1"/>
    <col min="6668" max="6668" width="8.83203125" customWidth="1"/>
    <col min="6669" max="6670" width="9.5" bestFit="1" customWidth="1"/>
    <col min="6671" max="6671" width="25.33203125" customWidth="1"/>
    <col min="6672" max="6672" width="13" customWidth="1"/>
    <col min="6673" max="6673" width="8.83203125" customWidth="1"/>
    <col min="6674" max="6674" width="9.5" bestFit="1" customWidth="1"/>
    <col min="6675" max="6675" width="8.83203125" customWidth="1"/>
    <col min="6676" max="6678" width="9.5" bestFit="1" customWidth="1"/>
    <col min="6679" max="6912" width="8.83203125" customWidth="1"/>
    <col min="6913" max="6913" width="18.83203125" customWidth="1"/>
    <col min="6914" max="6914" width="12.33203125" customWidth="1"/>
    <col min="6915" max="6915" width="11.1640625" customWidth="1"/>
    <col min="6916" max="6916" width="10.6640625" customWidth="1"/>
    <col min="6917" max="6919" width="9.5" bestFit="1" customWidth="1"/>
    <col min="6920" max="6920" width="5.1640625" customWidth="1"/>
    <col min="6921" max="6921" width="41" customWidth="1"/>
    <col min="6922" max="6922" width="8.83203125" customWidth="1"/>
    <col min="6923" max="6923" width="9.5" bestFit="1" customWidth="1"/>
    <col min="6924" max="6924" width="8.83203125" customWidth="1"/>
    <col min="6925" max="6926" width="9.5" bestFit="1" customWidth="1"/>
    <col min="6927" max="6927" width="25.33203125" customWidth="1"/>
    <col min="6928" max="6928" width="13" customWidth="1"/>
    <col min="6929" max="6929" width="8.83203125" customWidth="1"/>
    <col min="6930" max="6930" width="9.5" bestFit="1" customWidth="1"/>
    <col min="6931" max="6931" width="8.83203125" customWidth="1"/>
    <col min="6932" max="6934" width="9.5" bestFit="1" customWidth="1"/>
    <col min="6935" max="7168" width="8.83203125" customWidth="1"/>
    <col min="7169" max="7169" width="18.83203125" customWidth="1"/>
    <col min="7170" max="7170" width="12.33203125" customWidth="1"/>
    <col min="7171" max="7171" width="11.1640625" customWidth="1"/>
    <col min="7172" max="7172" width="10.6640625" customWidth="1"/>
    <col min="7173" max="7175" width="9.5" bestFit="1" customWidth="1"/>
    <col min="7176" max="7176" width="5.1640625" customWidth="1"/>
    <col min="7177" max="7177" width="41" customWidth="1"/>
    <col min="7178" max="7178" width="8.83203125" customWidth="1"/>
    <col min="7179" max="7179" width="9.5" bestFit="1" customWidth="1"/>
    <col min="7180" max="7180" width="8.83203125" customWidth="1"/>
    <col min="7181" max="7182" width="9.5" bestFit="1" customWidth="1"/>
    <col min="7183" max="7183" width="25.33203125" customWidth="1"/>
    <col min="7184" max="7184" width="13" customWidth="1"/>
    <col min="7185" max="7185" width="8.83203125" customWidth="1"/>
    <col min="7186" max="7186" width="9.5" bestFit="1" customWidth="1"/>
    <col min="7187" max="7187" width="8.83203125" customWidth="1"/>
    <col min="7188" max="7190" width="9.5" bestFit="1" customWidth="1"/>
    <col min="7191" max="7424" width="8.83203125" customWidth="1"/>
    <col min="7425" max="7425" width="18.83203125" customWidth="1"/>
    <col min="7426" max="7426" width="12.33203125" customWidth="1"/>
    <col min="7427" max="7427" width="11.1640625" customWidth="1"/>
    <col min="7428" max="7428" width="10.6640625" customWidth="1"/>
    <col min="7429" max="7431" width="9.5" bestFit="1" customWidth="1"/>
    <col min="7432" max="7432" width="5.1640625" customWidth="1"/>
    <col min="7433" max="7433" width="41" customWidth="1"/>
    <col min="7434" max="7434" width="8.83203125" customWidth="1"/>
    <col min="7435" max="7435" width="9.5" bestFit="1" customWidth="1"/>
    <col min="7436" max="7436" width="8.83203125" customWidth="1"/>
    <col min="7437" max="7438" width="9.5" bestFit="1" customWidth="1"/>
    <col min="7439" max="7439" width="25.33203125" customWidth="1"/>
    <col min="7440" max="7440" width="13" customWidth="1"/>
    <col min="7441" max="7441" width="8.83203125" customWidth="1"/>
    <col min="7442" max="7442" width="9.5" bestFit="1" customWidth="1"/>
    <col min="7443" max="7443" width="8.83203125" customWidth="1"/>
    <col min="7444" max="7446" width="9.5" bestFit="1" customWidth="1"/>
    <col min="7447" max="7680" width="8.83203125" customWidth="1"/>
    <col min="7681" max="7681" width="18.83203125" customWidth="1"/>
    <col min="7682" max="7682" width="12.33203125" customWidth="1"/>
    <col min="7683" max="7683" width="11.1640625" customWidth="1"/>
    <col min="7684" max="7684" width="10.6640625" customWidth="1"/>
    <col min="7685" max="7687" width="9.5" bestFit="1" customWidth="1"/>
    <col min="7688" max="7688" width="5.1640625" customWidth="1"/>
    <col min="7689" max="7689" width="41" customWidth="1"/>
    <col min="7690" max="7690" width="8.83203125" customWidth="1"/>
    <col min="7691" max="7691" width="9.5" bestFit="1" customWidth="1"/>
    <col min="7692" max="7692" width="8.83203125" customWidth="1"/>
    <col min="7693" max="7694" width="9.5" bestFit="1" customWidth="1"/>
    <col min="7695" max="7695" width="25.33203125" customWidth="1"/>
    <col min="7696" max="7696" width="13" customWidth="1"/>
    <col min="7697" max="7697" width="8.83203125" customWidth="1"/>
    <col min="7698" max="7698" width="9.5" bestFit="1" customWidth="1"/>
    <col min="7699" max="7699" width="8.83203125" customWidth="1"/>
    <col min="7700" max="7702" width="9.5" bestFit="1" customWidth="1"/>
    <col min="7703" max="7936" width="8.83203125" customWidth="1"/>
    <col min="7937" max="7937" width="18.83203125" customWidth="1"/>
    <col min="7938" max="7938" width="12.33203125" customWidth="1"/>
    <col min="7939" max="7939" width="11.1640625" customWidth="1"/>
    <col min="7940" max="7940" width="10.6640625" customWidth="1"/>
    <col min="7941" max="7943" width="9.5" bestFit="1" customWidth="1"/>
    <col min="7944" max="7944" width="5.1640625" customWidth="1"/>
    <col min="7945" max="7945" width="41" customWidth="1"/>
    <col min="7946" max="7946" width="8.83203125" customWidth="1"/>
    <col min="7947" max="7947" width="9.5" bestFit="1" customWidth="1"/>
    <col min="7948" max="7948" width="8.83203125" customWidth="1"/>
    <col min="7949" max="7950" width="9.5" bestFit="1" customWidth="1"/>
    <col min="7951" max="7951" width="25.33203125" customWidth="1"/>
    <col min="7952" max="7952" width="13" customWidth="1"/>
    <col min="7953" max="7953" width="8.83203125" customWidth="1"/>
    <col min="7954" max="7954" width="9.5" bestFit="1" customWidth="1"/>
    <col min="7955" max="7955" width="8.83203125" customWidth="1"/>
    <col min="7956" max="7958" width="9.5" bestFit="1" customWidth="1"/>
    <col min="7959" max="8192" width="8.83203125" customWidth="1"/>
    <col min="8193" max="8193" width="18.83203125" customWidth="1"/>
    <col min="8194" max="8194" width="12.33203125" customWidth="1"/>
    <col min="8195" max="8195" width="11.1640625" customWidth="1"/>
    <col min="8196" max="8196" width="10.6640625" customWidth="1"/>
    <col min="8197" max="8199" width="9.5" bestFit="1" customWidth="1"/>
    <col min="8200" max="8200" width="5.1640625" customWidth="1"/>
    <col min="8201" max="8201" width="41" customWidth="1"/>
    <col min="8202" max="8202" width="8.83203125" customWidth="1"/>
    <col min="8203" max="8203" width="9.5" bestFit="1" customWidth="1"/>
    <col min="8204" max="8204" width="8.83203125" customWidth="1"/>
    <col min="8205" max="8206" width="9.5" bestFit="1" customWidth="1"/>
    <col min="8207" max="8207" width="25.33203125" customWidth="1"/>
    <col min="8208" max="8208" width="13" customWidth="1"/>
    <col min="8209" max="8209" width="8.83203125" customWidth="1"/>
    <col min="8210" max="8210" width="9.5" bestFit="1" customWidth="1"/>
    <col min="8211" max="8211" width="8.83203125" customWidth="1"/>
    <col min="8212" max="8214" width="9.5" bestFit="1" customWidth="1"/>
    <col min="8215" max="8448" width="8.83203125" customWidth="1"/>
    <col min="8449" max="8449" width="18.83203125" customWidth="1"/>
    <col min="8450" max="8450" width="12.33203125" customWidth="1"/>
    <col min="8451" max="8451" width="11.1640625" customWidth="1"/>
    <col min="8452" max="8452" width="10.6640625" customWidth="1"/>
    <col min="8453" max="8455" width="9.5" bestFit="1" customWidth="1"/>
    <col min="8456" max="8456" width="5.1640625" customWidth="1"/>
    <col min="8457" max="8457" width="41" customWidth="1"/>
    <col min="8458" max="8458" width="8.83203125" customWidth="1"/>
    <col min="8459" max="8459" width="9.5" bestFit="1" customWidth="1"/>
    <col min="8460" max="8460" width="8.83203125" customWidth="1"/>
    <col min="8461" max="8462" width="9.5" bestFit="1" customWidth="1"/>
    <col min="8463" max="8463" width="25.33203125" customWidth="1"/>
    <col min="8464" max="8464" width="13" customWidth="1"/>
    <col min="8465" max="8465" width="8.83203125" customWidth="1"/>
    <col min="8466" max="8466" width="9.5" bestFit="1" customWidth="1"/>
    <col min="8467" max="8467" width="8.83203125" customWidth="1"/>
    <col min="8468" max="8470" width="9.5" bestFit="1" customWidth="1"/>
    <col min="8471" max="8704" width="8.83203125" customWidth="1"/>
    <col min="8705" max="8705" width="18.83203125" customWidth="1"/>
    <col min="8706" max="8706" width="12.33203125" customWidth="1"/>
    <col min="8707" max="8707" width="11.1640625" customWidth="1"/>
    <col min="8708" max="8708" width="10.6640625" customWidth="1"/>
    <col min="8709" max="8711" width="9.5" bestFit="1" customWidth="1"/>
    <col min="8712" max="8712" width="5.1640625" customWidth="1"/>
    <col min="8713" max="8713" width="41" customWidth="1"/>
    <col min="8714" max="8714" width="8.83203125" customWidth="1"/>
    <col min="8715" max="8715" width="9.5" bestFit="1" customWidth="1"/>
    <col min="8716" max="8716" width="8.83203125" customWidth="1"/>
    <col min="8717" max="8718" width="9.5" bestFit="1" customWidth="1"/>
    <col min="8719" max="8719" width="25.33203125" customWidth="1"/>
    <col min="8720" max="8720" width="13" customWidth="1"/>
    <col min="8721" max="8721" width="8.83203125" customWidth="1"/>
    <col min="8722" max="8722" width="9.5" bestFit="1" customWidth="1"/>
    <col min="8723" max="8723" width="8.83203125" customWidth="1"/>
    <col min="8724" max="8726" width="9.5" bestFit="1" customWidth="1"/>
    <col min="8727" max="8960" width="8.83203125" customWidth="1"/>
    <col min="8961" max="8961" width="18.83203125" customWidth="1"/>
    <col min="8962" max="8962" width="12.33203125" customWidth="1"/>
    <col min="8963" max="8963" width="11.1640625" customWidth="1"/>
    <col min="8964" max="8964" width="10.6640625" customWidth="1"/>
    <col min="8965" max="8967" width="9.5" bestFit="1" customWidth="1"/>
    <col min="8968" max="8968" width="5.1640625" customWidth="1"/>
    <col min="8969" max="8969" width="41" customWidth="1"/>
    <col min="8970" max="8970" width="8.83203125" customWidth="1"/>
    <col min="8971" max="8971" width="9.5" bestFit="1" customWidth="1"/>
    <col min="8972" max="8972" width="8.83203125" customWidth="1"/>
    <col min="8973" max="8974" width="9.5" bestFit="1" customWidth="1"/>
    <col min="8975" max="8975" width="25.33203125" customWidth="1"/>
    <col min="8976" max="8976" width="13" customWidth="1"/>
    <col min="8977" max="8977" width="8.83203125" customWidth="1"/>
    <col min="8978" max="8978" width="9.5" bestFit="1" customWidth="1"/>
    <col min="8979" max="8979" width="8.83203125" customWidth="1"/>
    <col min="8980" max="8982" width="9.5" bestFit="1" customWidth="1"/>
    <col min="8983" max="9216" width="8.83203125" customWidth="1"/>
    <col min="9217" max="9217" width="18.83203125" customWidth="1"/>
    <col min="9218" max="9218" width="12.33203125" customWidth="1"/>
    <col min="9219" max="9219" width="11.1640625" customWidth="1"/>
    <col min="9220" max="9220" width="10.6640625" customWidth="1"/>
    <col min="9221" max="9223" width="9.5" bestFit="1" customWidth="1"/>
    <col min="9224" max="9224" width="5.1640625" customWidth="1"/>
    <col min="9225" max="9225" width="41" customWidth="1"/>
    <col min="9226" max="9226" width="8.83203125" customWidth="1"/>
    <col min="9227" max="9227" width="9.5" bestFit="1" customWidth="1"/>
    <col min="9228" max="9228" width="8.83203125" customWidth="1"/>
    <col min="9229" max="9230" width="9.5" bestFit="1" customWidth="1"/>
    <col min="9231" max="9231" width="25.33203125" customWidth="1"/>
    <col min="9232" max="9232" width="13" customWidth="1"/>
    <col min="9233" max="9233" width="8.83203125" customWidth="1"/>
    <col min="9234" max="9234" width="9.5" bestFit="1" customWidth="1"/>
    <col min="9235" max="9235" width="8.83203125" customWidth="1"/>
    <col min="9236" max="9238" width="9.5" bestFit="1" customWidth="1"/>
    <col min="9239" max="9472" width="8.83203125" customWidth="1"/>
    <col min="9473" max="9473" width="18.83203125" customWidth="1"/>
    <col min="9474" max="9474" width="12.33203125" customWidth="1"/>
    <col min="9475" max="9475" width="11.1640625" customWidth="1"/>
    <col min="9476" max="9476" width="10.6640625" customWidth="1"/>
    <col min="9477" max="9479" width="9.5" bestFit="1" customWidth="1"/>
    <col min="9480" max="9480" width="5.1640625" customWidth="1"/>
    <col min="9481" max="9481" width="41" customWidth="1"/>
    <col min="9482" max="9482" width="8.83203125" customWidth="1"/>
    <col min="9483" max="9483" width="9.5" bestFit="1" customWidth="1"/>
    <col min="9484" max="9484" width="8.83203125" customWidth="1"/>
    <col min="9485" max="9486" width="9.5" bestFit="1" customWidth="1"/>
    <col min="9487" max="9487" width="25.33203125" customWidth="1"/>
    <col min="9488" max="9488" width="13" customWidth="1"/>
    <col min="9489" max="9489" width="8.83203125" customWidth="1"/>
    <col min="9490" max="9490" width="9.5" bestFit="1" customWidth="1"/>
    <col min="9491" max="9491" width="8.83203125" customWidth="1"/>
    <col min="9492" max="9494" width="9.5" bestFit="1" customWidth="1"/>
    <col min="9495" max="9728" width="8.83203125" customWidth="1"/>
    <col min="9729" max="9729" width="18.83203125" customWidth="1"/>
    <col min="9730" max="9730" width="12.33203125" customWidth="1"/>
    <col min="9731" max="9731" width="11.1640625" customWidth="1"/>
    <col min="9732" max="9732" width="10.6640625" customWidth="1"/>
    <col min="9733" max="9735" width="9.5" bestFit="1" customWidth="1"/>
    <col min="9736" max="9736" width="5.1640625" customWidth="1"/>
    <col min="9737" max="9737" width="41" customWidth="1"/>
    <col min="9738" max="9738" width="8.83203125" customWidth="1"/>
    <col min="9739" max="9739" width="9.5" bestFit="1" customWidth="1"/>
    <col min="9740" max="9740" width="8.83203125" customWidth="1"/>
    <col min="9741" max="9742" width="9.5" bestFit="1" customWidth="1"/>
    <col min="9743" max="9743" width="25.33203125" customWidth="1"/>
    <col min="9744" max="9744" width="13" customWidth="1"/>
    <col min="9745" max="9745" width="8.83203125" customWidth="1"/>
    <col min="9746" max="9746" width="9.5" bestFit="1" customWidth="1"/>
    <col min="9747" max="9747" width="8.83203125" customWidth="1"/>
    <col min="9748" max="9750" width="9.5" bestFit="1" customWidth="1"/>
    <col min="9751" max="9984" width="8.83203125" customWidth="1"/>
    <col min="9985" max="9985" width="18.83203125" customWidth="1"/>
    <col min="9986" max="9986" width="12.33203125" customWidth="1"/>
    <col min="9987" max="9987" width="11.1640625" customWidth="1"/>
    <col min="9988" max="9988" width="10.6640625" customWidth="1"/>
    <col min="9989" max="9991" width="9.5" bestFit="1" customWidth="1"/>
    <col min="9992" max="9992" width="5.1640625" customWidth="1"/>
    <col min="9993" max="9993" width="41" customWidth="1"/>
    <col min="9994" max="9994" width="8.83203125" customWidth="1"/>
    <col min="9995" max="9995" width="9.5" bestFit="1" customWidth="1"/>
    <col min="9996" max="9996" width="8.83203125" customWidth="1"/>
    <col min="9997" max="9998" width="9.5" bestFit="1" customWidth="1"/>
    <col min="9999" max="9999" width="25.33203125" customWidth="1"/>
    <col min="10000" max="10000" width="13" customWidth="1"/>
    <col min="10001" max="10001" width="8.83203125" customWidth="1"/>
    <col min="10002" max="10002" width="9.5" bestFit="1" customWidth="1"/>
    <col min="10003" max="10003" width="8.83203125" customWidth="1"/>
    <col min="10004" max="10006" width="9.5" bestFit="1" customWidth="1"/>
    <col min="10007" max="10240" width="8.83203125" customWidth="1"/>
    <col min="10241" max="10241" width="18.83203125" customWidth="1"/>
    <col min="10242" max="10242" width="12.33203125" customWidth="1"/>
    <col min="10243" max="10243" width="11.1640625" customWidth="1"/>
    <col min="10244" max="10244" width="10.6640625" customWidth="1"/>
    <col min="10245" max="10247" width="9.5" bestFit="1" customWidth="1"/>
    <col min="10248" max="10248" width="5.1640625" customWidth="1"/>
    <col min="10249" max="10249" width="41" customWidth="1"/>
    <col min="10250" max="10250" width="8.83203125" customWidth="1"/>
    <col min="10251" max="10251" width="9.5" bestFit="1" customWidth="1"/>
    <col min="10252" max="10252" width="8.83203125" customWidth="1"/>
    <col min="10253" max="10254" width="9.5" bestFit="1" customWidth="1"/>
    <col min="10255" max="10255" width="25.33203125" customWidth="1"/>
    <col min="10256" max="10256" width="13" customWidth="1"/>
    <col min="10257" max="10257" width="8.83203125" customWidth="1"/>
    <col min="10258" max="10258" width="9.5" bestFit="1" customWidth="1"/>
    <col min="10259" max="10259" width="8.83203125" customWidth="1"/>
    <col min="10260" max="10262" width="9.5" bestFit="1" customWidth="1"/>
    <col min="10263" max="10496" width="8.83203125" customWidth="1"/>
    <col min="10497" max="10497" width="18.83203125" customWidth="1"/>
    <col min="10498" max="10498" width="12.33203125" customWidth="1"/>
    <col min="10499" max="10499" width="11.1640625" customWidth="1"/>
    <col min="10500" max="10500" width="10.6640625" customWidth="1"/>
    <col min="10501" max="10503" width="9.5" bestFit="1" customWidth="1"/>
    <col min="10504" max="10504" width="5.1640625" customWidth="1"/>
    <col min="10505" max="10505" width="41" customWidth="1"/>
    <col min="10506" max="10506" width="8.83203125" customWidth="1"/>
    <col min="10507" max="10507" width="9.5" bestFit="1" customWidth="1"/>
    <col min="10508" max="10508" width="8.83203125" customWidth="1"/>
    <col min="10509" max="10510" width="9.5" bestFit="1" customWidth="1"/>
    <col min="10511" max="10511" width="25.33203125" customWidth="1"/>
    <col min="10512" max="10512" width="13" customWidth="1"/>
    <col min="10513" max="10513" width="8.83203125" customWidth="1"/>
    <col min="10514" max="10514" width="9.5" bestFit="1" customWidth="1"/>
    <col min="10515" max="10515" width="8.83203125" customWidth="1"/>
    <col min="10516" max="10518" width="9.5" bestFit="1" customWidth="1"/>
    <col min="10519" max="10752" width="8.83203125" customWidth="1"/>
    <col min="10753" max="10753" width="18.83203125" customWidth="1"/>
    <col min="10754" max="10754" width="12.33203125" customWidth="1"/>
    <col min="10755" max="10755" width="11.1640625" customWidth="1"/>
    <col min="10756" max="10756" width="10.6640625" customWidth="1"/>
    <col min="10757" max="10759" width="9.5" bestFit="1" customWidth="1"/>
    <col min="10760" max="10760" width="5.1640625" customWidth="1"/>
    <col min="10761" max="10761" width="41" customWidth="1"/>
    <col min="10762" max="10762" width="8.83203125" customWidth="1"/>
    <col min="10763" max="10763" width="9.5" bestFit="1" customWidth="1"/>
    <col min="10764" max="10764" width="8.83203125" customWidth="1"/>
    <col min="10765" max="10766" width="9.5" bestFit="1" customWidth="1"/>
    <col min="10767" max="10767" width="25.33203125" customWidth="1"/>
    <col min="10768" max="10768" width="13" customWidth="1"/>
    <col min="10769" max="10769" width="8.83203125" customWidth="1"/>
    <col min="10770" max="10770" width="9.5" bestFit="1" customWidth="1"/>
    <col min="10771" max="10771" width="8.83203125" customWidth="1"/>
    <col min="10772" max="10774" width="9.5" bestFit="1" customWidth="1"/>
    <col min="10775" max="11008" width="8.83203125" customWidth="1"/>
    <col min="11009" max="11009" width="18.83203125" customWidth="1"/>
    <col min="11010" max="11010" width="12.33203125" customWidth="1"/>
    <col min="11011" max="11011" width="11.1640625" customWidth="1"/>
    <col min="11012" max="11012" width="10.6640625" customWidth="1"/>
    <col min="11013" max="11015" width="9.5" bestFit="1" customWidth="1"/>
    <col min="11016" max="11016" width="5.1640625" customWidth="1"/>
    <col min="11017" max="11017" width="41" customWidth="1"/>
    <col min="11018" max="11018" width="8.83203125" customWidth="1"/>
    <col min="11019" max="11019" width="9.5" bestFit="1" customWidth="1"/>
    <col min="11020" max="11020" width="8.83203125" customWidth="1"/>
    <col min="11021" max="11022" width="9.5" bestFit="1" customWidth="1"/>
    <col min="11023" max="11023" width="25.33203125" customWidth="1"/>
    <col min="11024" max="11024" width="13" customWidth="1"/>
    <col min="11025" max="11025" width="8.83203125" customWidth="1"/>
    <col min="11026" max="11026" width="9.5" bestFit="1" customWidth="1"/>
    <col min="11027" max="11027" width="8.83203125" customWidth="1"/>
    <col min="11028" max="11030" width="9.5" bestFit="1" customWidth="1"/>
    <col min="11031" max="11264" width="8.83203125" customWidth="1"/>
    <col min="11265" max="11265" width="18.83203125" customWidth="1"/>
    <col min="11266" max="11266" width="12.33203125" customWidth="1"/>
    <col min="11267" max="11267" width="11.1640625" customWidth="1"/>
    <col min="11268" max="11268" width="10.6640625" customWidth="1"/>
    <col min="11269" max="11271" width="9.5" bestFit="1" customWidth="1"/>
    <col min="11272" max="11272" width="5.1640625" customWidth="1"/>
    <col min="11273" max="11273" width="41" customWidth="1"/>
    <col min="11274" max="11274" width="8.83203125" customWidth="1"/>
    <col min="11275" max="11275" width="9.5" bestFit="1" customWidth="1"/>
    <col min="11276" max="11276" width="8.83203125" customWidth="1"/>
    <col min="11277" max="11278" width="9.5" bestFit="1" customWidth="1"/>
    <col min="11279" max="11279" width="25.33203125" customWidth="1"/>
    <col min="11280" max="11280" width="13" customWidth="1"/>
    <col min="11281" max="11281" width="8.83203125" customWidth="1"/>
    <col min="11282" max="11282" width="9.5" bestFit="1" customWidth="1"/>
    <col min="11283" max="11283" width="8.83203125" customWidth="1"/>
    <col min="11284" max="11286" width="9.5" bestFit="1" customWidth="1"/>
    <col min="11287" max="11520" width="8.83203125" customWidth="1"/>
    <col min="11521" max="11521" width="18.83203125" customWidth="1"/>
    <col min="11522" max="11522" width="12.33203125" customWidth="1"/>
    <col min="11523" max="11523" width="11.1640625" customWidth="1"/>
    <col min="11524" max="11524" width="10.6640625" customWidth="1"/>
    <col min="11525" max="11527" width="9.5" bestFit="1" customWidth="1"/>
    <col min="11528" max="11528" width="5.1640625" customWidth="1"/>
    <col min="11529" max="11529" width="41" customWidth="1"/>
    <col min="11530" max="11530" width="8.83203125" customWidth="1"/>
    <col min="11531" max="11531" width="9.5" bestFit="1" customWidth="1"/>
    <col min="11532" max="11532" width="8.83203125" customWidth="1"/>
    <col min="11533" max="11534" width="9.5" bestFit="1" customWidth="1"/>
    <col min="11535" max="11535" width="25.33203125" customWidth="1"/>
    <col min="11536" max="11536" width="13" customWidth="1"/>
    <col min="11537" max="11537" width="8.83203125" customWidth="1"/>
    <col min="11538" max="11538" width="9.5" bestFit="1" customWidth="1"/>
    <col min="11539" max="11539" width="8.83203125" customWidth="1"/>
    <col min="11540" max="11542" width="9.5" bestFit="1" customWidth="1"/>
    <col min="11543" max="11776" width="8.83203125" customWidth="1"/>
    <col min="11777" max="11777" width="18.83203125" customWidth="1"/>
    <col min="11778" max="11778" width="12.33203125" customWidth="1"/>
    <col min="11779" max="11779" width="11.1640625" customWidth="1"/>
    <col min="11780" max="11780" width="10.6640625" customWidth="1"/>
    <col min="11781" max="11783" width="9.5" bestFit="1" customWidth="1"/>
    <col min="11784" max="11784" width="5.1640625" customWidth="1"/>
    <col min="11785" max="11785" width="41" customWidth="1"/>
    <col min="11786" max="11786" width="8.83203125" customWidth="1"/>
    <col min="11787" max="11787" width="9.5" bestFit="1" customWidth="1"/>
    <col min="11788" max="11788" width="8.83203125" customWidth="1"/>
    <col min="11789" max="11790" width="9.5" bestFit="1" customWidth="1"/>
    <col min="11791" max="11791" width="25.33203125" customWidth="1"/>
    <col min="11792" max="11792" width="13" customWidth="1"/>
    <col min="11793" max="11793" width="8.83203125" customWidth="1"/>
    <col min="11794" max="11794" width="9.5" bestFit="1" customWidth="1"/>
    <col min="11795" max="11795" width="8.83203125" customWidth="1"/>
    <col min="11796" max="11798" width="9.5" bestFit="1" customWidth="1"/>
    <col min="11799" max="12032" width="8.83203125" customWidth="1"/>
    <col min="12033" max="12033" width="18.83203125" customWidth="1"/>
    <col min="12034" max="12034" width="12.33203125" customWidth="1"/>
    <col min="12035" max="12035" width="11.1640625" customWidth="1"/>
    <col min="12036" max="12036" width="10.6640625" customWidth="1"/>
    <col min="12037" max="12039" width="9.5" bestFit="1" customWidth="1"/>
    <col min="12040" max="12040" width="5.1640625" customWidth="1"/>
    <col min="12041" max="12041" width="41" customWidth="1"/>
    <col min="12042" max="12042" width="8.83203125" customWidth="1"/>
    <col min="12043" max="12043" width="9.5" bestFit="1" customWidth="1"/>
    <col min="12044" max="12044" width="8.83203125" customWidth="1"/>
    <col min="12045" max="12046" width="9.5" bestFit="1" customWidth="1"/>
    <col min="12047" max="12047" width="25.33203125" customWidth="1"/>
    <col min="12048" max="12048" width="13" customWidth="1"/>
    <col min="12049" max="12049" width="8.83203125" customWidth="1"/>
    <col min="12050" max="12050" width="9.5" bestFit="1" customWidth="1"/>
    <col min="12051" max="12051" width="8.83203125" customWidth="1"/>
    <col min="12052" max="12054" width="9.5" bestFit="1" customWidth="1"/>
    <col min="12055" max="12288" width="8.83203125" customWidth="1"/>
    <col min="12289" max="12289" width="18.83203125" customWidth="1"/>
    <col min="12290" max="12290" width="12.33203125" customWidth="1"/>
    <col min="12291" max="12291" width="11.1640625" customWidth="1"/>
    <col min="12292" max="12292" width="10.6640625" customWidth="1"/>
    <col min="12293" max="12295" width="9.5" bestFit="1" customWidth="1"/>
    <col min="12296" max="12296" width="5.1640625" customWidth="1"/>
    <col min="12297" max="12297" width="41" customWidth="1"/>
    <col min="12298" max="12298" width="8.83203125" customWidth="1"/>
    <col min="12299" max="12299" width="9.5" bestFit="1" customWidth="1"/>
    <col min="12300" max="12300" width="8.83203125" customWidth="1"/>
    <col min="12301" max="12302" width="9.5" bestFit="1" customWidth="1"/>
    <col min="12303" max="12303" width="25.33203125" customWidth="1"/>
    <col min="12304" max="12304" width="13" customWidth="1"/>
    <col min="12305" max="12305" width="8.83203125" customWidth="1"/>
    <col min="12306" max="12306" width="9.5" bestFit="1" customWidth="1"/>
    <col min="12307" max="12307" width="8.83203125" customWidth="1"/>
    <col min="12308" max="12310" width="9.5" bestFit="1" customWidth="1"/>
    <col min="12311" max="12544" width="8.83203125" customWidth="1"/>
    <col min="12545" max="12545" width="18.83203125" customWidth="1"/>
    <col min="12546" max="12546" width="12.33203125" customWidth="1"/>
    <col min="12547" max="12547" width="11.1640625" customWidth="1"/>
    <col min="12548" max="12548" width="10.6640625" customWidth="1"/>
    <col min="12549" max="12551" width="9.5" bestFit="1" customWidth="1"/>
    <col min="12552" max="12552" width="5.1640625" customWidth="1"/>
    <col min="12553" max="12553" width="41" customWidth="1"/>
    <col min="12554" max="12554" width="8.83203125" customWidth="1"/>
    <col min="12555" max="12555" width="9.5" bestFit="1" customWidth="1"/>
    <col min="12556" max="12556" width="8.83203125" customWidth="1"/>
    <col min="12557" max="12558" width="9.5" bestFit="1" customWidth="1"/>
    <col min="12559" max="12559" width="25.33203125" customWidth="1"/>
    <col min="12560" max="12560" width="13" customWidth="1"/>
    <col min="12561" max="12561" width="8.83203125" customWidth="1"/>
    <col min="12562" max="12562" width="9.5" bestFit="1" customWidth="1"/>
    <col min="12563" max="12563" width="8.83203125" customWidth="1"/>
    <col min="12564" max="12566" width="9.5" bestFit="1" customWidth="1"/>
    <col min="12567" max="12800" width="8.83203125" customWidth="1"/>
    <col min="12801" max="12801" width="18.83203125" customWidth="1"/>
    <col min="12802" max="12802" width="12.33203125" customWidth="1"/>
    <col min="12803" max="12803" width="11.1640625" customWidth="1"/>
    <col min="12804" max="12804" width="10.6640625" customWidth="1"/>
    <col min="12805" max="12807" width="9.5" bestFit="1" customWidth="1"/>
    <col min="12808" max="12808" width="5.1640625" customWidth="1"/>
    <col min="12809" max="12809" width="41" customWidth="1"/>
    <col min="12810" max="12810" width="8.83203125" customWidth="1"/>
    <col min="12811" max="12811" width="9.5" bestFit="1" customWidth="1"/>
    <col min="12812" max="12812" width="8.83203125" customWidth="1"/>
    <col min="12813" max="12814" width="9.5" bestFit="1" customWidth="1"/>
    <col min="12815" max="12815" width="25.33203125" customWidth="1"/>
    <col min="12816" max="12816" width="13" customWidth="1"/>
    <col min="12817" max="12817" width="8.83203125" customWidth="1"/>
    <col min="12818" max="12818" width="9.5" bestFit="1" customWidth="1"/>
    <col min="12819" max="12819" width="8.83203125" customWidth="1"/>
    <col min="12820" max="12822" width="9.5" bestFit="1" customWidth="1"/>
    <col min="12823" max="13056" width="8.83203125" customWidth="1"/>
    <col min="13057" max="13057" width="18.83203125" customWidth="1"/>
    <col min="13058" max="13058" width="12.33203125" customWidth="1"/>
    <col min="13059" max="13059" width="11.1640625" customWidth="1"/>
    <col min="13060" max="13060" width="10.6640625" customWidth="1"/>
    <col min="13061" max="13063" width="9.5" bestFit="1" customWidth="1"/>
    <col min="13064" max="13064" width="5.1640625" customWidth="1"/>
    <col min="13065" max="13065" width="41" customWidth="1"/>
    <col min="13066" max="13066" width="8.83203125" customWidth="1"/>
    <col min="13067" max="13067" width="9.5" bestFit="1" customWidth="1"/>
    <col min="13068" max="13068" width="8.83203125" customWidth="1"/>
    <col min="13069" max="13070" width="9.5" bestFit="1" customWidth="1"/>
    <col min="13071" max="13071" width="25.33203125" customWidth="1"/>
    <col min="13072" max="13072" width="13" customWidth="1"/>
    <col min="13073" max="13073" width="8.83203125" customWidth="1"/>
    <col min="13074" max="13074" width="9.5" bestFit="1" customWidth="1"/>
    <col min="13075" max="13075" width="8.83203125" customWidth="1"/>
    <col min="13076" max="13078" width="9.5" bestFit="1" customWidth="1"/>
    <col min="13079" max="13312" width="8.83203125" customWidth="1"/>
    <col min="13313" max="13313" width="18.83203125" customWidth="1"/>
    <col min="13314" max="13314" width="12.33203125" customWidth="1"/>
    <col min="13315" max="13315" width="11.1640625" customWidth="1"/>
    <col min="13316" max="13316" width="10.6640625" customWidth="1"/>
    <col min="13317" max="13319" width="9.5" bestFit="1" customWidth="1"/>
    <col min="13320" max="13320" width="5.1640625" customWidth="1"/>
    <col min="13321" max="13321" width="41" customWidth="1"/>
    <col min="13322" max="13322" width="8.83203125" customWidth="1"/>
    <col min="13323" max="13323" width="9.5" bestFit="1" customWidth="1"/>
    <col min="13324" max="13324" width="8.83203125" customWidth="1"/>
    <col min="13325" max="13326" width="9.5" bestFit="1" customWidth="1"/>
    <col min="13327" max="13327" width="25.33203125" customWidth="1"/>
    <col min="13328" max="13328" width="13" customWidth="1"/>
    <col min="13329" max="13329" width="8.83203125" customWidth="1"/>
    <col min="13330" max="13330" width="9.5" bestFit="1" customWidth="1"/>
    <col min="13331" max="13331" width="8.83203125" customWidth="1"/>
    <col min="13332" max="13334" width="9.5" bestFit="1" customWidth="1"/>
    <col min="13335" max="13568" width="8.83203125" customWidth="1"/>
    <col min="13569" max="13569" width="18.83203125" customWidth="1"/>
    <col min="13570" max="13570" width="12.33203125" customWidth="1"/>
    <col min="13571" max="13571" width="11.1640625" customWidth="1"/>
    <col min="13572" max="13572" width="10.6640625" customWidth="1"/>
    <col min="13573" max="13575" width="9.5" bestFit="1" customWidth="1"/>
    <col min="13576" max="13576" width="5.1640625" customWidth="1"/>
    <col min="13577" max="13577" width="41" customWidth="1"/>
    <col min="13578" max="13578" width="8.83203125" customWidth="1"/>
    <col min="13579" max="13579" width="9.5" bestFit="1" customWidth="1"/>
    <col min="13580" max="13580" width="8.83203125" customWidth="1"/>
    <col min="13581" max="13582" width="9.5" bestFit="1" customWidth="1"/>
    <col min="13583" max="13583" width="25.33203125" customWidth="1"/>
    <col min="13584" max="13584" width="13" customWidth="1"/>
    <col min="13585" max="13585" width="8.83203125" customWidth="1"/>
    <col min="13586" max="13586" width="9.5" bestFit="1" customWidth="1"/>
    <col min="13587" max="13587" width="8.83203125" customWidth="1"/>
    <col min="13588" max="13590" width="9.5" bestFit="1" customWidth="1"/>
    <col min="13591" max="13824" width="8.83203125" customWidth="1"/>
    <col min="13825" max="13825" width="18.83203125" customWidth="1"/>
    <col min="13826" max="13826" width="12.33203125" customWidth="1"/>
    <col min="13827" max="13827" width="11.1640625" customWidth="1"/>
    <col min="13828" max="13828" width="10.6640625" customWidth="1"/>
    <col min="13829" max="13831" width="9.5" bestFit="1" customWidth="1"/>
    <col min="13832" max="13832" width="5.1640625" customWidth="1"/>
    <col min="13833" max="13833" width="41" customWidth="1"/>
    <col min="13834" max="13834" width="8.83203125" customWidth="1"/>
    <col min="13835" max="13835" width="9.5" bestFit="1" customWidth="1"/>
    <col min="13836" max="13836" width="8.83203125" customWidth="1"/>
    <col min="13837" max="13838" width="9.5" bestFit="1" customWidth="1"/>
    <col min="13839" max="13839" width="25.33203125" customWidth="1"/>
    <col min="13840" max="13840" width="13" customWidth="1"/>
    <col min="13841" max="13841" width="8.83203125" customWidth="1"/>
    <col min="13842" max="13842" width="9.5" bestFit="1" customWidth="1"/>
    <col min="13843" max="13843" width="8.83203125" customWidth="1"/>
    <col min="13844" max="13846" width="9.5" bestFit="1" customWidth="1"/>
    <col min="13847" max="14080" width="8.83203125" customWidth="1"/>
    <col min="14081" max="14081" width="18.83203125" customWidth="1"/>
    <col min="14082" max="14082" width="12.33203125" customWidth="1"/>
    <col min="14083" max="14083" width="11.1640625" customWidth="1"/>
    <col min="14084" max="14084" width="10.6640625" customWidth="1"/>
    <col min="14085" max="14087" width="9.5" bestFit="1" customWidth="1"/>
    <col min="14088" max="14088" width="5.1640625" customWidth="1"/>
    <col min="14089" max="14089" width="41" customWidth="1"/>
    <col min="14090" max="14090" width="8.83203125" customWidth="1"/>
    <col min="14091" max="14091" width="9.5" bestFit="1" customWidth="1"/>
    <col min="14092" max="14092" width="8.83203125" customWidth="1"/>
    <col min="14093" max="14094" width="9.5" bestFit="1" customWidth="1"/>
    <col min="14095" max="14095" width="25.33203125" customWidth="1"/>
    <col min="14096" max="14096" width="13" customWidth="1"/>
    <col min="14097" max="14097" width="8.83203125" customWidth="1"/>
    <col min="14098" max="14098" width="9.5" bestFit="1" customWidth="1"/>
    <col min="14099" max="14099" width="8.83203125" customWidth="1"/>
    <col min="14100" max="14102" width="9.5" bestFit="1" customWidth="1"/>
    <col min="14103" max="14336" width="8.83203125" customWidth="1"/>
    <col min="14337" max="14337" width="18.83203125" customWidth="1"/>
    <col min="14338" max="14338" width="12.33203125" customWidth="1"/>
    <col min="14339" max="14339" width="11.1640625" customWidth="1"/>
    <col min="14340" max="14340" width="10.6640625" customWidth="1"/>
    <col min="14341" max="14343" width="9.5" bestFit="1" customWidth="1"/>
    <col min="14344" max="14344" width="5.1640625" customWidth="1"/>
    <col min="14345" max="14345" width="41" customWidth="1"/>
    <col min="14346" max="14346" width="8.83203125" customWidth="1"/>
    <col min="14347" max="14347" width="9.5" bestFit="1" customWidth="1"/>
    <col min="14348" max="14348" width="8.83203125" customWidth="1"/>
    <col min="14349" max="14350" width="9.5" bestFit="1" customWidth="1"/>
    <col min="14351" max="14351" width="25.33203125" customWidth="1"/>
    <col min="14352" max="14352" width="13" customWidth="1"/>
    <col min="14353" max="14353" width="8.83203125" customWidth="1"/>
    <col min="14354" max="14354" width="9.5" bestFit="1" customWidth="1"/>
    <col min="14355" max="14355" width="8.83203125" customWidth="1"/>
    <col min="14356" max="14358" width="9.5" bestFit="1" customWidth="1"/>
    <col min="14359" max="14592" width="8.83203125" customWidth="1"/>
    <col min="14593" max="14593" width="18.83203125" customWidth="1"/>
    <col min="14594" max="14594" width="12.33203125" customWidth="1"/>
    <col min="14595" max="14595" width="11.1640625" customWidth="1"/>
    <col min="14596" max="14596" width="10.6640625" customWidth="1"/>
    <col min="14597" max="14599" width="9.5" bestFit="1" customWidth="1"/>
    <col min="14600" max="14600" width="5.1640625" customWidth="1"/>
    <col min="14601" max="14601" width="41" customWidth="1"/>
    <col min="14602" max="14602" width="8.83203125" customWidth="1"/>
    <col min="14603" max="14603" width="9.5" bestFit="1" customWidth="1"/>
    <col min="14604" max="14604" width="8.83203125" customWidth="1"/>
    <col min="14605" max="14606" width="9.5" bestFit="1" customWidth="1"/>
    <col min="14607" max="14607" width="25.33203125" customWidth="1"/>
    <col min="14608" max="14608" width="13" customWidth="1"/>
    <col min="14609" max="14609" width="8.83203125" customWidth="1"/>
    <col min="14610" max="14610" width="9.5" bestFit="1" customWidth="1"/>
    <col min="14611" max="14611" width="8.83203125" customWidth="1"/>
    <col min="14612" max="14614" width="9.5" bestFit="1" customWidth="1"/>
    <col min="14615" max="14848" width="8.83203125" customWidth="1"/>
    <col min="14849" max="14849" width="18.83203125" customWidth="1"/>
    <col min="14850" max="14850" width="12.33203125" customWidth="1"/>
    <col min="14851" max="14851" width="11.1640625" customWidth="1"/>
    <col min="14852" max="14852" width="10.6640625" customWidth="1"/>
    <col min="14853" max="14855" width="9.5" bestFit="1" customWidth="1"/>
    <col min="14856" max="14856" width="5.1640625" customWidth="1"/>
    <col min="14857" max="14857" width="41" customWidth="1"/>
    <col min="14858" max="14858" width="8.83203125" customWidth="1"/>
    <col min="14859" max="14859" width="9.5" bestFit="1" customWidth="1"/>
    <col min="14860" max="14860" width="8.83203125" customWidth="1"/>
    <col min="14861" max="14862" width="9.5" bestFit="1" customWidth="1"/>
    <col min="14863" max="14863" width="25.33203125" customWidth="1"/>
    <col min="14864" max="14864" width="13" customWidth="1"/>
    <col min="14865" max="14865" width="8.83203125" customWidth="1"/>
    <col min="14866" max="14866" width="9.5" bestFit="1" customWidth="1"/>
    <col min="14867" max="14867" width="8.83203125" customWidth="1"/>
    <col min="14868" max="14870" width="9.5" bestFit="1" customWidth="1"/>
    <col min="14871" max="15104" width="8.83203125" customWidth="1"/>
    <col min="15105" max="15105" width="18.83203125" customWidth="1"/>
    <col min="15106" max="15106" width="12.33203125" customWidth="1"/>
    <col min="15107" max="15107" width="11.1640625" customWidth="1"/>
    <col min="15108" max="15108" width="10.6640625" customWidth="1"/>
    <col min="15109" max="15111" width="9.5" bestFit="1" customWidth="1"/>
    <col min="15112" max="15112" width="5.1640625" customWidth="1"/>
    <col min="15113" max="15113" width="41" customWidth="1"/>
    <col min="15114" max="15114" width="8.83203125" customWidth="1"/>
    <col min="15115" max="15115" width="9.5" bestFit="1" customWidth="1"/>
    <col min="15116" max="15116" width="8.83203125" customWidth="1"/>
    <col min="15117" max="15118" width="9.5" bestFit="1" customWidth="1"/>
    <col min="15119" max="15119" width="25.33203125" customWidth="1"/>
    <col min="15120" max="15120" width="13" customWidth="1"/>
    <col min="15121" max="15121" width="8.83203125" customWidth="1"/>
    <col min="15122" max="15122" width="9.5" bestFit="1" customWidth="1"/>
    <col min="15123" max="15123" width="8.83203125" customWidth="1"/>
    <col min="15124" max="15126" width="9.5" bestFit="1" customWidth="1"/>
    <col min="15127" max="15360" width="8.83203125" customWidth="1"/>
    <col min="15361" max="15361" width="18.83203125" customWidth="1"/>
    <col min="15362" max="15362" width="12.33203125" customWidth="1"/>
    <col min="15363" max="15363" width="11.1640625" customWidth="1"/>
    <col min="15364" max="15364" width="10.6640625" customWidth="1"/>
    <col min="15365" max="15367" width="9.5" bestFit="1" customWidth="1"/>
    <col min="15368" max="15368" width="5.1640625" customWidth="1"/>
    <col min="15369" max="15369" width="41" customWidth="1"/>
    <col min="15370" max="15370" width="8.83203125" customWidth="1"/>
    <col min="15371" max="15371" width="9.5" bestFit="1" customWidth="1"/>
    <col min="15372" max="15372" width="8.83203125" customWidth="1"/>
    <col min="15373" max="15374" width="9.5" bestFit="1" customWidth="1"/>
    <col min="15375" max="15375" width="25.33203125" customWidth="1"/>
    <col min="15376" max="15376" width="13" customWidth="1"/>
    <col min="15377" max="15377" width="8.83203125" customWidth="1"/>
    <col min="15378" max="15378" width="9.5" bestFit="1" customWidth="1"/>
    <col min="15379" max="15379" width="8.83203125" customWidth="1"/>
    <col min="15380" max="15382" width="9.5" bestFit="1" customWidth="1"/>
    <col min="15383" max="15616" width="8.83203125" customWidth="1"/>
    <col min="15617" max="15617" width="18.83203125" customWidth="1"/>
    <col min="15618" max="15618" width="12.33203125" customWidth="1"/>
    <col min="15619" max="15619" width="11.1640625" customWidth="1"/>
    <col min="15620" max="15620" width="10.6640625" customWidth="1"/>
    <col min="15621" max="15623" width="9.5" bestFit="1" customWidth="1"/>
    <col min="15624" max="15624" width="5.1640625" customWidth="1"/>
    <col min="15625" max="15625" width="41" customWidth="1"/>
    <col min="15626" max="15626" width="8.83203125" customWidth="1"/>
    <col min="15627" max="15627" width="9.5" bestFit="1" customWidth="1"/>
    <col min="15628" max="15628" width="8.83203125" customWidth="1"/>
    <col min="15629" max="15630" width="9.5" bestFit="1" customWidth="1"/>
    <col min="15631" max="15631" width="25.33203125" customWidth="1"/>
    <col min="15632" max="15632" width="13" customWidth="1"/>
    <col min="15633" max="15633" width="8.83203125" customWidth="1"/>
    <col min="15634" max="15634" width="9.5" bestFit="1" customWidth="1"/>
    <col min="15635" max="15635" width="8.83203125" customWidth="1"/>
    <col min="15636" max="15638" width="9.5" bestFit="1" customWidth="1"/>
    <col min="15639" max="15872" width="8.83203125" customWidth="1"/>
    <col min="15873" max="15873" width="18.83203125" customWidth="1"/>
    <col min="15874" max="15874" width="12.33203125" customWidth="1"/>
    <col min="15875" max="15875" width="11.1640625" customWidth="1"/>
    <col min="15876" max="15876" width="10.6640625" customWidth="1"/>
    <col min="15877" max="15879" width="9.5" bestFit="1" customWidth="1"/>
    <col min="15880" max="15880" width="5.1640625" customWidth="1"/>
    <col min="15881" max="15881" width="41" customWidth="1"/>
    <col min="15882" max="15882" width="8.83203125" customWidth="1"/>
    <col min="15883" max="15883" width="9.5" bestFit="1" customWidth="1"/>
    <col min="15884" max="15884" width="8.83203125" customWidth="1"/>
    <col min="15885" max="15886" width="9.5" bestFit="1" customWidth="1"/>
    <col min="15887" max="15887" width="25.33203125" customWidth="1"/>
    <col min="15888" max="15888" width="13" customWidth="1"/>
    <col min="15889" max="15889" width="8.83203125" customWidth="1"/>
    <col min="15890" max="15890" width="9.5" bestFit="1" customWidth="1"/>
    <col min="15891" max="15891" width="8.83203125" customWidth="1"/>
    <col min="15892" max="15894" width="9.5" bestFit="1" customWidth="1"/>
    <col min="15895" max="16128" width="8.83203125" customWidth="1"/>
    <col min="16129" max="16129" width="18.83203125" customWidth="1"/>
    <col min="16130" max="16130" width="12.33203125" customWidth="1"/>
    <col min="16131" max="16131" width="11.1640625" customWidth="1"/>
    <col min="16132" max="16132" width="10.6640625" customWidth="1"/>
    <col min="16133" max="16135" width="9.5" bestFit="1" customWidth="1"/>
    <col min="16136" max="16136" width="5.1640625" customWidth="1"/>
    <col min="16137" max="16137" width="41" customWidth="1"/>
    <col min="16138" max="16138" width="8.83203125" customWidth="1"/>
    <col min="16139" max="16139" width="9.5" bestFit="1" customWidth="1"/>
    <col min="16140" max="16140" width="8.83203125" customWidth="1"/>
    <col min="16141" max="16142" width="9.5" bestFit="1" customWidth="1"/>
    <col min="16143" max="16143" width="25.33203125" customWidth="1"/>
    <col min="16144" max="16144" width="13" customWidth="1"/>
    <col min="16145" max="16145" width="8.83203125" customWidth="1"/>
    <col min="16146" max="16146" width="9.5" bestFit="1" customWidth="1"/>
    <col min="16147" max="16147" width="8.83203125" customWidth="1"/>
    <col min="16148" max="16150" width="9.5" bestFit="1" customWidth="1"/>
    <col min="16151" max="16384" width="8.83203125" customWidth="1"/>
  </cols>
  <sheetData>
    <row r="1" spans="1:26" ht="19" x14ac:dyDescent="0.25">
      <c r="A1" s="30" t="s">
        <v>63</v>
      </c>
      <c r="B1" s="30"/>
      <c r="C1" s="30"/>
      <c r="D1" s="30"/>
      <c r="E1" s="30"/>
      <c r="F1" s="30"/>
      <c r="G1" s="30"/>
      <c r="H1" s="30"/>
      <c r="I1" s="30"/>
    </row>
    <row r="2" spans="1:26" x14ac:dyDescent="0.2">
      <c r="A2" t="s">
        <v>64</v>
      </c>
    </row>
    <row r="3" spans="1:26" x14ac:dyDescent="0.2">
      <c r="A3" s="1" t="s">
        <v>48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6" ht="15" customHeight="1" x14ac:dyDescent="0.2">
      <c r="A4" s="53" t="s">
        <v>49</v>
      </c>
      <c r="B4" s="53"/>
      <c r="C4" s="53"/>
      <c r="D4" s="53"/>
      <c r="E4" s="53"/>
      <c r="F4" s="53"/>
      <c r="G4" s="53"/>
      <c r="H4" s="33"/>
      <c r="I4" s="33"/>
      <c r="J4" s="33"/>
      <c r="K4" s="33"/>
      <c r="L4" s="33"/>
      <c r="M4" s="33"/>
      <c r="N4" s="3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50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51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">
      <c r="A7" s="61" t="s">
        <v>52</v>
      </c>
      <c r="B7" s="54"/>
      <c r="C7" s="54"/>
      <c r="D7" s="54"/>
      <c r="E7" s="54"/>
      <c r="F7" s="54"/>
      <c r="G7" s="54"/>
      <c r="H7" s="33"/>
      <c r="I7" s="33"/>
      <c r="J7" s="33"/>
      <c r="K7" s="33"/>
      <c r="L7" s="33"/>
      <c r="M7" s="33"/>
      <c r="N7" s="3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">
      <c r="A8" s="55"/>
      <c r="B8" s="55"/>
      <c r="C8" s="55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32"/>
      <c r="J11" s="32"/>
      <c r="K11" s="32"/>
      <c r="L11" s="32"/>
      <c r="M11" s="32"/>
      <c r="N11" s="3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x14ac:dyDescent="0.2">
      <c r="A12" s="23" t="s">
        <v>7</v>
      </c>
      <c r="B12" s="23"/>
      <c r="C12" s="23"/>
      <c r="D12" s="24"/>
      <c r="E12" s="1"/>
      <c r="F12" s="1"/>
      <c r="G12" s="1"/>
      <c r="H12" s="1"/>
      <c r="I12" s="1"/>
      <c r="J12" s="1"/>
      <c r="K12" s="1"/>
      <c r="L12" s="1"/>
    </row>
    <row r="13" spans="1:26" ht="19" x14ac:dyDescent="0.25">
      <c r="A13" s="50" t="s">
        <v>53</v>
      </c>
      <c r="B13" s="51"/>
      <c r="C13" s="51"/>
      <c r="D13" s="51"/>
      <c r="E13" s="51"/>
      <c r="F13" s="51"/>
      <c r="G13" s="52"/>
    </row>
    <row r="14" spans="1:26" ht="32" x14ac:dyDescent="0.2">
      <c r="A14" s="2" t="s">
        <v>0</v>
      </c>
      <c r="B14" s="39" t="s">
        <v>1</v>
      </c>
      <c r="C14" s="39" t="s">
        <v>2</v>
      </c>
      <c r="D14" s="39" t="s">
        <v>3</v>
      </c>
      <c r="E14" s="39" t="s">
        <v>4</v>
      </c>
      <c r="F14" s="40" t="s">
        <v>5</v>
      </c>
      <c r="G14" s="5" t="s">
        <v>6</v>
      </c>
      <c r="H14" s="6"/>
      <c r="I14" s="6"/>
      <c r="J14" s="6"/>
      <c r="K14" s="6"/>
      <c r="L14" s="6"/>
      <c r="M14" s="6"/>
      <c r="N14" s="6"/>
      <c r="O14" s="6"/>
    </row>
    <row r="15" spans="1:26" x14ac:dyDescent="0.2">
      <c r="A15" s="7" t="s">
        <v>15</v>
      </c>
      <c r="B15" s="6">
        <v>40</v>
      </c>
      <c r="C15" s="41">
        <f>B15*400</f>
        <v>16000</v>
      </c>
      <c r="D15" s="6">
        <v>2.5</v>
      </c>
      <c r="E15" s="41">
        <f>C15*D15</f>
        <v>40000</v>
      </c>
      <c r="F15" s="42">
        <f>AVERAGE(E15:E17)</f>
        <v>40333.333333333336</v>
      </c>
      <c r="G15" s="11">
        <f>_xlfn.STDEV.S(E15:E17)</f>
        <v>3511.8845842842461</v>
      </c>
      <c r="H15" s="6"/>
      <c r="I15" s="6"/>
      <c r="J15" s="6"/>
      <c r="K15" s="6"/>
      <c r="L15" s="6"/>
      <c r="M15" s="6"/>
      <c r="N15" s="6"/>
      <c r="O15" s="6"/>
    </row>
    <row r="16" spans="1:26" x14ac:dyDescent="0.2">
      <c r="A16" s="7" t="s">
        <v>14</v>
      </c>
      <c r="B16" s="6">
        <v>44</v>
      </c>
      <c r="C16" s="41">
        <f>B16*400</f>
        <v>17600</v>
      </c>
      <c r="D16" s="6">
        <v>2.5</v>
      </c>
      <c r="E16" s="41">
        <f>C16*D16</f>
        <v>44000</v>
      </c>
      <c r="F16" s="41"/>
      <c r="G16" s="12"/>
      <c r="H16" s="6"/>
      <c r="I16" s="6"/>
      <c r="J16" s="6"/>
      <c r="K16" s="6"/>
      <c r="L16" s="6"/>
      <c r="M16" s="6"/>
      <c r="N16" s="6"/>
      <c r="O16" s="6"/>
    </row>
    <row r="17" spans="1:15" x14ac:dyDescent="0.2">
      <c r="A17" s="13" t="s">
        <v>16</v>
      </c>
      <c r="B17" s="14">
        <v>37</v>
      </c>
      <c r="C17" s="15">
        <f>B17*400</f>
        <v>14800</v>
      </c>
      <c r="D17" s="14">
        <v>2.5</v>
      </c>
      <c r="E17" s="15">
        <f>C17*D17</f>
        <v>37000</v>
      </c>
      <c r="F17" s="15"/>
      <c r="G17" s="16"/>
      <c r="H17" s="6"/>
      <c r="I17" s="6"/>
      <c r="J17" s="6"/>
      <c r="K17" s="6"/>
      <c r="L17" s="6"/>
      <c r="M17" s="6"/>
      <c r="N17" s="6"/>
      <c r="O17" s="6"/>
    </row>
    <row r="18" spans="1:15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9" x14ac:dyDescent="0.25">
      <c r="A19" s="50" t="s">
        <v>54</v>
      </c>
      <c r="B19" s="51"/>
      <c r="C19" s="51"/>
      <c r="D19" s="51"/>
      <c r="E19" s="51"/>
      <c r="F19" s="51"/>
      <c r="G19" s="52"/>
    </row>
    <row r="20" spans="1:15" ht="32" x14ac:dyDescent="0.2">
      <c r="A20" s="17" t="s">
        <v>0</v>
      </c>
      <c r="B20" s="18" t="s">
        <v>1</v>
      </c>
      <c r="C20" s="18" t="s">
        <v>2</v>
      </c>
      <c r="D20" s="18" t="s">
        <v>3</v>
      </c>
      <c r="E20" s="18" t="s">
        <v>4</v>
      </c>
      <c r="F20" s="19" t="s">
        <v>5</v>
      </c>
      <c r="G20" s="20" t="s">
        <v>6</v>
      </c>
    </row>
    <row r="21" spans="1:15" x14ac:dyDescent="0.2">
      <c r="A21" s="7" t="s">
        <v>17</v>
      </c>
      <c r="B21" s="6">
        <v>1492</v>
      </c>
      <c r="C21" s="41">
        <f>B21*400</f>
        <v>596800</v>
      </c>
      <c r="D21" s="6">
        <v>2.5</v>
      </c>
      <c r="E21" s="41">
        <f>C21*D21</f>
        <v>1492000</v>
      </c>
      <c r="F21" s="42">
        <f>AVERAGE(E21:E23)</f>
        <v>1506000</v>
      </c>
      <c r="G21" s="11">
        <f>_xlfn.STDEV.S(E21:E23)</f>
        <v>76961.029099148611</v>
      </c>
    </row>
    <row r="22" spans="1:15" x14ac:dyDescent="0.2">
      <c r="A22" s="7" t="s">
        <v>19</v>
      </c>
      <c r="B22" s="6">
        <v>1437</v>
      </c>
      <c r="C22" s="41">
        <f>B22*400</f>
        <v>574800</v>
      </c>
      <c r="D22" s="6">
        <v>2.5</v>
      </c>
      <c r="E22" s="41">
        <f>C22*D22</f>
        <v>1437000</v>
      </c>
      <c r="F22" s="41"/>
      <c r="G22" s="12"/>
    </row>
    <row r="23" spans="1:15" x14ac:dyDescent="0.2">
      <c r="A23" s="13" t="s">
        <v>20</v>
      </c>
      <c r="B23" s="14">
        <v>1589</v>
      </c>
      <c r="C23" s="15">
        <f>B23*400</f>
        <v>635600</v>
      </c>
      <c r="D23" s="14">
        <v>2.5</v>
      </c>
      <c r="E23" s="15">
        <f>C23*D23</f>
        <v>1589000</v>
      </c>
      <c r="F23" s="15"/>
      <c r="G23" s="16"/>
    </row>
    <row r="24" spans="1:15" x14ac:dyDescent="0.2">
      <c r="A24" s="58" t="s">
        <v>65</v>
      </c>
      <c r="B24" s="59"/>
      <c r="C24" s="41"/>
      <c r="D24" s="6"/>
      <c r="E24" s="41"/>
      <c r="F24" s="41"/>
      <c r="G24" s="41"/>
      <c r="H24" s="43"/>
      <c r="I24" s="6"/>
      <c r="J24" s="41"/>
      <c r="K24" s="6"/>
      <c r="L24" s="41"/>
      <c r="M24" s="41"/>
      <c r="N24" s="41"/>
    </row>
    <row r="25" spans="1:15" x14ac:dyDescent="0.2">
      <c r="A25" s="7"/>
      <c r="B25" s="6"/>
      <c r="C25" s="41"/>
      <c r="D25" s="6"/>
      <c r="E25" s="41"/>
      <c r="F25" s="41"/>
      <c r="G25" s="41"/>
      <c r="H25" s="43"/>
      <c r="I25" s="6"/>
      <c r="J25" s="41"/>
      <c r="K25" s="6"/>
      <c r="L25" s="41"/>
      <c r="M25" s="41"/>
      <c r="N25" s="41"/>
    </row>
    <row r="26" spans="1:15" ht="19" x14ac:dyDescent="0.25">
      <c r="A26" s="50" t="s">
        <v>56</v>
      </c>
      <c r="B26" s="51"/>
      <c r="C26" s="51"/>
      <c r="D26" s="51"/>
      <c r="E26" s="51"/>
      <c r="F26" s="51"/>
      <c r="G26" s="52"/>
      <c r="H26" s="43"/>
      <c r="I26" s="6"/>
      <c r="J26" s="41"/>
      <c r="K26" s="6"/>
      <c r="L26" s="41"/>
      <c r="M26" s="41"/>
      <c r="N26" s="41"/>
    </row>
    <row r="27" spans="1:15" ht="32" x14ac:dyDescent="0.2">
      <c r="A27" s="17" t="s">
        <v>0</v>
      </c>
      <c r="B27" s="18" t="s">
        <v>1</v>
      </c>
      <c r="C27" s="18" t="s">
        <v>2</v>
      </c>
      <c r="D27" s="18" t="s">
        <v>3</v>
      </c>
      <c r="E27" s="18" t="s">
        <v>4</v>
      </c>
      <c r="F27" s="19" t="s">
        <v>5</v>
      </c>
      <c r="G27" s="20" t="s">
        <v>6</v>
      </c>
      <c r="H27" s="43"/>
      <c r="I27" s="6"/>
      <c r="J27" s="41"/>
      <c r="K27" s="6"/>
      <c r="L27" s="41"/>
      <c r="M27" s="41"/>
      <c r="N27" s="41"/>
    </row>
    <row r="28" spans="1:15" x14ac:dyDescent="0.2">
      <c r="A28" s="7" t="s">
        <v>57</v>
      </c>
      <c r="B28" s="6">
        <v>5163</v>
      </c>
      <c r="C28" s="41">
        <f>B28*400</f>
        <v>2065200</v>
      </c>
      <c r="D28" s="6">
        <v>2.5</v>
      </c>
      <c r="E28" s="41">
        <f>C28*D28</f>
        <v>5163000</v>
      </c>
      <c r="F28" s="42">
        <f>AVERAGE(E28:E30)</f>
        <v>5174666.666666667</v>
      </c>
      <c r="G28" s="11">
        <f>_xlfn.STDEV.S(E28:E30)</f>
        <v>103991.98687078409</v>
      </c>
      <c r="H28" s="43"/>
      <c r="I28" s="41"/>
      <c r="J28" s="41"/>
      <c r="K28" s="6"/>
      <c r="L28" s="41"/>
      <c r="M28" s="41"/>
      <c r="N28" s="41"/>
    </row>
    <row r="29" spans="1:15" x14ac:dyDescent="0.2">
      <c r="A29" s="7" t="s">
        <v>58</v>
      </c>
      <c r="B29" s="6">
        <v>5284</v>
      </c>
      <c r="C29" s="41">
        <f>B29*400</f>
        <v>2113600</v>
      </c>
      <c r="D29" s="6">
        <v>2.5</v>
      </c>
      <c r="E29" s="41">
        <f>C29*D29</f>
        <v>5284000</v>
      </c>
      <c r="F29" s="41"/>
      <c r="G29" s="12"/>
      <c r="H29" s="43"/>
      <c r="I29" s="6"/>
      <c r="J29" s="41"/>
      <c r="K29" s="6"/>
      <c r="L29" s="41"/>
      <c r="M29" s="41"/>
      <c r="N29" s="41"/>
    </row>
    <row r="30" spans="1:15" x14ac:dyDescent="0.2">
      <c r="A30" s="13" t="s">
        <v>59</v>
      </c>
      <c r="B30" s="14">
        <v>5077</v>
      </c>
      <c r="C30" s="15">
        <f>B30*400</f>
        <v>2030800</v>
      </c>
      <c r="D30" s="14">
        <v>2.5</v>
      </c>
      <c r="E30" s="15">
        <f>C30*D30</f>
        <v>5077000</v>
      </c>
      <c r="F30" s="15"/>
      <c r="G30" s="16"/>
      <c r="H30" s="43"/>
      <c r="I30" s="6"/>
      <c r="J30" s="41"/>
      <c r="K30" s="6"/>
      <c r="L30" s="41"/>
      <c r="M30" s="41"/>
      <c r="N30" s="41"/>
    </row>
    <row r="31" spans="1:15" x14ac:dyDescent="0.2">
      <c r="A31" s="58" t="s">
        <v>66</v>
      </c>
      <c r="B31" s="59"/>
      <c r="C31" s="41"/>
      <c r="D31" s="6"/>
      <c r="E31" s="41"/>
      <c r="F31" s="41"/>
      <c r="G31" s="41"/>
      <c r="H31" s="43"/>
      <c r="I31" s="6"/>
      <c r="J31" s="41"/>
      <c r="K31" s="6"/>
      <c r="L31" s="41"/>
      <c r="M31" s="41"/>
      <c r="N31" s="41"/>
    </row>
    <row r="32" spans="1:15" x14ac:dyDescent="0.2">
      <c r="A32" s="7"/>
      <c r="B32" s="6"/>
      <c r="C32" s="41"/>
      <c r="D32" s="6"/>
      <c r="E32" s="41"/>
      <c r="F32" s="41"/>
      <c r="G32" s="41"/>
    </row>
    <row r="33" spans="1:15" ht="19" x14ac:dyDescent="0.25">
      <c r="A33" s="50" t="s">
        <v>61</v>
      </c>
      <c r="B33" s="51"/>
      <c r="C33" s="51"/>
      <c r="D33" s="51"/>
      <c r="E33" s="51"/>
      <c r="F33" s="51"/>
      <c r="G33" s="52"/>
      <c r="H33" s="44"/>
      <c r="I33" s="44"/>
      <c r="J33" s="44"/>
      <c r="K33" s="44"/>
      <c r="L33" s="44"/>
      <c r="M33" s="44"/>
      <c r="N33" s="44"/>
      <c r="O33" s="44"/>
    </row>
    <row r="34" spans="1:15" ht="32" x14ac:dyDescent="0.2">
      <c r="A34" s="17" t="s">
        <v>32</v>
      </c>
      <c r="B34" s="18" t="s">
        <v>1</v>
      </c>
      <c r="C34" s="18" t="s">
        <v>2</v>
      </c>
      <c r="D34" s="18" t="s">
        <v>3</v>
      </c>
      <c r="E34" s="18" t="s">
        <v>4</v>
      </c>
      <c r="F34" s="19" t="s">
        <v>5</v>
      </c>
      <c r="G34" s="20" t="s">
        <v>6</v>
      </c>
      <c r="H34" s="6"/>
    </row>
    <row r="35" spans="1:15" x14ac:dyDescent="0.2">
      <c r="A35" s="7" t="s">
        <v>22</v>
      </c>
      <c r="B35" s="6">
        <v>8099</v>
      </c>
      <c r="C35" s="41">
        <f>B35*400</f>
        <v>3239600</v>
      </c>
      <c r="D35" s="6">
        <v>2.5</v>
      </c>
      <c r="E35" s="41">
        <f>C35*D35</f>
        <v>8099000</v>
      </c>
      <c r="F35" s="42">
        <f>AVERAGE(E35:E37)</f>
        <v>7846000</v>
      </c>
      <c r="G35" s="11">
        <f>_xlfn.STDEV.S(E35:E37)</f>
        <v>250053.99416925939</v>
      </c>
      <c r="H35" s="6"/>
    </row>
    <row r="36" spans="1:15" x14ac:dyDescent="0.2">
      <c r="A36" s="7" t="s">
        <v>23</v>
      </c>
      <c r="B36" s="6">
        <v>7599</v>
      </c>
      <c r="C36" s="41">
        <f>B36*400</f>
        <v>3039600</v>
      </c>
      <c r="D36" s="6">
        <v>2.5</v>
      </c>
      <c r="E36" s="41">
        <f>C36*D36</f>
        <v>7599000</v>
      </c>
      <c r="F36" s="41"/>
      <c r="G36" s="12"/>
      <c r="H36" s="6"/>
    </row>
    <row r="37" spans="1:15" x14ac:dyDescent="0.2">
      <c r="A37" s="13" t="s">
        <v>24</v>
      </c>
      <c r="B37" s="14">
        <v>7840</v>
      </c>
      <c r="C37" s="15">
        <f>B37*400</f>
        <v>3136000</v>
      </c>
      <c r="D37" s="14">
        <v>2.5</v>
      </c>
      <c r="E37" s="15">
        <f>C37*D37</f>
        <v>7840000</v>
      </c>
      <c r="F37" s="15"/>
      <c r="G37" s="16"/>
      <c r="H37" s="6"/>
    </row>
    <row r="38" spans="1:15" x14ac:dyDescent="0.2">
      <c r="A38" s="45" t="s">
        <v>67</v>
      </c>
      <c r="B38" s="46"/>
      <c r="C38" s="46"/>
      <c r="D38" s="6"/>
      <c r="E38" s="41"/>
      <c r="F38" s="41"/>
      <c r="G38" s="41"/>
      <c r="H38" s="6"/>
      <c r="I38" s="43"/>
      <c r="J38" s="6"/>
      <c r="K38" s="41"/>
      <c r="L38" s="6"/>
      <c r="M38" s="41"/>
      <c r="N38" s="41"/>
      <c r="O38" s="41"/>
    </row>
    <row r="39" spans="1:15" x14ac:dyDescent="0.2">
      <c r="A39" s="60"/>
      <c r="B39" s="60"/>
      <c r="C39" s="60"/>
      <c r="D39" s="60"/>
      <c r="E39" s="60"/>
      <c r="F39" s="60"/>
      <c r="G39" s="60"/>
      <c r="H39" s="6"/>
      <c r="I39" s="43"/>
      <c r="J39" s="6"/>
      <c r="K39" s="41"/>
      <c r="L39" s="6"/>
      <c r="M39" s="41"/>
      <c r="N39" s="41"/>
      <c r="O39" s="41"/>
    </row>
    <row r="40" spans="1:15" ht="15.75" customHeight="1" x14ac:dyDescent="0.2">
      <c r="A40" s="60"/>
      <c r="B40" s="60"/>
      <c r="C40" s="60"/>
      <c r="D40" s="60"/>
      <c r="E40" s="60"/>
      <c r="F40" s="60"/>
      <c r="G40" s="60"/>
    </row>
    <row r="45" spans="1:15" ht="49.5" customHeight="1" x14ac:dyDescent="0.2">
      <c r="A45" s="47"/>
    </row>
    <row r="46" spans="1:15" x14ac:dyDescent="0.2">
      <c r="A46" s="48"/>
    </row>
    <row r="48" spans="1:15" x14ac:dyDescent="0.2">
      <c r="A48" s="43"/>
      <c r="B48" s="6"/>
      <c r="C48" s="41"/>
      <c r="D48" s="6"/>
      <c r="E48" s="41"/>
      <c r="F48" s="41"/>
      <c r="G48" s="41"/>
    </row>
    <row r="55" ht="15.75" customHeight="1" x14ac:dyDescent="0.2"/>
  </sheetData>
  <mergeCells count="10">
    <mergeCell ref="A26:G26"/>
    <mergeCell ref="A31:B31"/>
    <mergeCell ref="A33:G33"/>
    <mergeCell ref="A39:G40"/>
    <mergeCell ref="A4:G4"/>
    <mergeCell ref="A7:G7"/>
    <mergeCell ref="A8:C8"/>
    <mergeCell ref="A13:G13"/>
    <mergeCell ref="A19:G19"/>
    <mergeCell ref="A24:B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workbookViewId="0">
      <selection activeCell="G15" sqref="G15"/>
    </sheetView>
  </sheetViews>
  <sheetFormatPr baseColWidth="10" defaultRowHeight="15" x14ac:dyDescent="0.2"/>
  <cols>
    <col min="1" max="1" width="37.5" customWidth="1"/>
    <col min="2" max="2" width="23.6640625" customWidth="1"/>
    <col min="6" max="6" width="21.83203125" customWidth="1"/>
    <col min="7" max="7" width="18.5" customWidth="1"/>
    <col min="8" max="8" width="20.5" customWidth="1"/>
    <col min="9" max="9" width="18.5" customWidth="1"/>
  </cols>
  <sheetData>
    <row r="1" spans="1:9" ht="21" x14ac:dyDescent="0.25">
      <c r="A1" s="35" t="s">
        <v>35</v>
      </c>
      <c r="B1" s="36"/>
    </row>
    <row r="2" spans="1:9" ht="22" x14ac:dyDescent="0.25">
      <c r="A2" s="35" t="s">
        <v>0</v>
      </c>
      <c r="B2" s="36"/>
      <c r="F2" s="38" t="s">
        <v>35</v>
      </c>
      <c r="G2" s="38" t="s">
        <v>43</v>
      </c>
      <c r="H2" s="38" t="s">
        <v>68</v>
      </c>
      <c r="I2" s="38" t="s">
        <v>44</v>
      </c>
    </row>
    <row r="3" spans="1:9" ht="22" x14ac:dyDescent="0.25">
      <c r="A3" s="35" t="s">
        <v>36</v>
      </c>
      <c r="B3" s="35">
        <f>'Rep1 5.17.21'!B15</f>
        <v>47</v>
      </c>
      <c r="E3" s="38" t="s">
        <v>45</v>
      </c>
      <c r="F3" s="38">
        <v>1</v>
      </c>
      <c r="G3" s="38">
        <f>AVERAGE(B10:B12)</f>
        <v>32.817518248175183</v>
      </c>
      <c r="H3" s="38">
        <f>AVERAGE(B17:B19)</f>
        <v>135.58394160583941</v>
      </c>
      <c r="I3" s="38">
        <f>AVERAGE(B24:B26)</f>
        <v>202.06569343065698</v>
      </c>
    </row>
    <row r="4" spans="1:9" ht="21" x14ac:dyDescent="0.25">
      <c r="A4" s="35" t="s">
        <v>37</v>
      </c>
      <c r="B4" s="35">
        <f>'Rep1 5.17.21'!B16</f>
        <v>46</v>
      </c>
      <c r="E4" s="38"/>
      <c r="F4" s="38"/>
      <c r="G4" s="38"/>
      <c r="H4" s="38"/>
      <c r="I4" s="38"/>
    </row>
    <row r="5" spans="1:9" ht="21" x14ac:dyDescent="0.25">
      <c r="A5" s="35" t="s">
        <v>38</v>
      </c>
      <c r="B5" s="35">
        <f>'Rep1 5.17.21'!B17</f>
        <v>44</v>
      </c>
    </row>
    <row r="6" spans="1:9" ht="21" x14ac:dyDescent="0.25">
      <c r="A6" s="36"/>
      <c r="B6" s="35">
        <f>AVERAGE(B3:B5)</f>
        <v>45.666666666666664</v>
      </c>
    </row>
    <row r="8" spans="1:9" ht="21" x14ac:dyDescent="0.25">
      <c r="A8" s="34" t="s">
        <v>39</v>
      </c>
    </row>
    <row r="9" spans="1:9" ht="21" x14ac:dyDescent="0.25">
      <c r="A9" s="34" t="s">
        <v>40</v>
      </c>
    </row>
    <row r="10" spans="1:9" ht="21" x14ac:dyDescent="0.25">
      <c r="A10" s="34">
        <f>'Rep1 5.17.21'!B21</f>
        <v>1505</v>
      </c>
      <c r="B10" s="34">
        <f>A10/B6</f>
        <v>32.956204379562045</v>
      </c>
    </row>
    <row r="11" spans="1:9" ht="21" x14ac:dyDescent="0.25">
      <c r="A11" s="34">
        <f>'Rep1 5.17.21'!B22</f>
        <v>1445</v>
      </c>
      <c r="B11" s="34">
        <f>A11/B6</f>
        <v>31.642335766423358</v>
      </c>
    </row>
    <row r="12" spans="1:9" ht="21" x14ac:dyDescent="0.25">
      <c r="A12" s="34">
        <f>'Rep1 5.17.21'!B23</f>
        <v>1546</v>
      </c>
      <c r="B12" s="34">
        <f>A12/B6</f>
        <v>33.854014598540147</v>
      </c>
    </row>
    <row r="15" spans="1:9" ht="21" x14ac:dyDescent="0.25">
      <c r="A15" s="34" t="s">
        <v>41</v>
      </c>
    </row>
    <row r="16" spans="1:9" ht="21" x14ac:dyDescent="0.25">
      <c r="A16" s="34" t="s">
        <v>40</v>
      </c>
    </row>
    <row r="17" spans="1:7" ht="21" x14ac:dyDescent="0.25">
      <c r="A17" s="34">
        <f>'Rep1 5.17.21'!B28</f>
        <v>6267</v>
      </c>
      <c r="B17" s="34">
        <f>A17/B6</f>
        <v>137.23357664233578</v>
      </c>
    </row>
    <row r="18" spans="1:7" ht="21" x14ac:dyDescent="0.25">
      <c r="A18" s="34">
        <f>'Rep1 5.17.21'!B29</f>
        <v>5960</v>
      </c>
      <c r="B18" s="34">
        <f>A18/B6</f>
        <v>130.5109489051095</v>
      </c>
      <c r="G18" s="38"/>
    </row>
    <row r="19" spans="1:7" ht="21" x14ac:dyDescent="0.25">
      <c r="A19" s="34">
        <f>'Rep1 5.17.21'!B30</f>
        <v>6348</v>
      </c>
      <c r="B19" s="34">
        <f>A19/B6</f>
        <v>139.00729927007299</v>
      </c>
    </row>
    <row r="22" spans="1:7" ht="21" x14ac:dyDescent="0.25">
      <c r="A22" s="34" t="s">
        <v>42</v>
      </c>
    </row>
    <row r="23" spans="1:7" ht="21" x14ac:dyDescent="0.25">
      <c r="A23" s="34" t="s">
        <v>40</v>
      </c>
    </row>
    <row r="24" spans="1:7" ht="21" x14ac:dyDescent="0.25">
      <c r="A24" s="34">
        <f>'Rep1 5.17.21'!B35</f>
        <v>9614</v>
      </c>
      <c r="B24" s="34">
        <f>A24/B6</f>
        <v>210.52554744525548</v>
      </c>
    </row>
    <row r="25" spans="1:7" ht="21" x14ac:dyDescent="0.25">
      <c r="A25" s="34">
        <f>'Rep1 5.17.21'!B36</f>
        <v>8823</v>
      </c>
      <c r="B25" s="34">
        <f>A25/B6</f>
        <v>193.20437956204381</v>
      </c>
    </row>
    <row r="26" spans="1:7" ht="21" x14ac:dyDescent="0.25">
      <c r="A26" s="34">
        <f>'Rep1 5.17.21'!B37</f>
        <v>9246</v>
      </c>
      <c r="B26" s="34">
        <f>A26/B6</f>
        <v>202.46715328467155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AE3A-CB1F-5F4E-AEFA-2BE52DE6134B}">
  <dimension ref="A1:I26"/>
  <sheetViews>
    <sheetView workbookViewId="0">
      <selection activeCell="H3" sqref="H3"/>
    </sheetView>
  </sheetViews>
  <sheetFormatPr baseColWidth="10" defaultRowHeight="15" x14ac:dyDescent="0.2"/>
  <cols>
    <col min="1" max="1" width="37.5" customWidth="1"/>
    <col min="2" max="2" width="23.6640625" customWidth="1"/>
    <col min="6" max="6" width="21.83203125" customWidth="1"/>
    <col min="7" max="7" width="18.5" customWidth="1"/>
    <col min="8" max="8" width="20.5" customWidth="1"/>
    <col min="9" max="9" width="18.5" customWidth="1"/>
  </cols>
  <sheetData>
    <row r="1" spans="1:9" ht="21" x14ac:dyDescent="0.25">
      <c r="A1" s="35" t="s">
        <v>35</v>
      </c>
      <c r="B1" s="36"/>
    </row>
    <row r="2" spans="1:9" ht="22" x14ac:dyDescent="0.25">
      <c r="A2" s="35" t="s">
        <v>0</v>
      </c>
      <c r="B2" s="36"/>
      <c r="F2" s="38" t="s">
        <v>35</v>
      </c>
      <c r="G2" s="38" t="s">
        <v>43</v>
      </c>
      <c r="H2" s="38" t="s">
        <v>68</v>
      </c>
      <c r="I2" s="38" t="s">
        <v>44</v>
      </c>
    </row>
    <row r="3" spans="1:9" ht="22" x14ac:dyDescent="0.25">
      <c r="A3" s="35" t="s">
        <v>36</v>
      </c>
      <c r="B3" s="35">
        <f>'Rep2 6.7.21 '!B15</f>
        <v>45</v>
      </c>
      <c r="E3" s="38" t="s">
        <v>45</v>
      </c>
      <c r="F3" s="38">
        <v>1</v>
      </c>
      <c r="G3" s="38">
        <f>AVERAGE(B10:B12)</f>
        <v>38.526315789473678</v>
      </c>
      <c r="H3" s="38">
        <f>AVERAGE(B17:B19)</f>
        <v>131.4360902255639</v>
      </c>
      <c r="I3" s="38">
        <f>AVERAGE(B24:B26)</f>
        <v>203.06015037593986</v>
      </c>
    </row>
    <row r="4" spans="1:9" ht="21" x14ac:dyDescent="0.25">
      <c r="A4" s="35" t="s">
        <v>37</v>
      </c>
      <c r="B4" s="35">
        <f>'Rep2 6.7.21 '!B16</f>
        <v>41</v>
      </c>
      <c r="E4" s="38"/>
      <c r="F4" s="38"/>
      <c r="G4" s="38"/>
      <c r="H4" s="38"/>
      <c r="I4" s="38"/>
    </row>
    <row r="5" spans="1:9" ht="21" x14ac:dyDescent="0.25">
      <c r="A5" s="35" t="s">
        <v>38</v>
      </c>
      <c r="B5" s="35">
        <f>'Rep2 6.7.21 '!B17</f>
        <v>47</v>
      </c>
    </row>
    <row r="6" spans="1:9" ht="21" x14ac:dyDescent="0.25">
      <c r="A6" s="36"/>
      <c r="B6" s="35">
        <f>AVERAGE(B3:B5)</f>
        <v>44.333333333333336</v>
      </c>
    </row>
    <row r="8" spans="1:9" ht="21" x14ac:dyDescent="0.25">
      <c r="A8" s="34" t="s">
        <v>39</v>
      </c>
    </row>
    <row r="9" spans="1:9" ht="21" x14ac:dyDescent="0.25">
      <c r="A9" s="34" t="s">
        <v>40</v>
      </c>
    </row>
    <row r="10" spans="1:9" ht="21" x14ac:dyDescent="0.25">
      <c r="A10" s="34">
        <f>'Rep2 6.7.21 '!B21</f>
        <v>1691</v>
      </c>
      <c r="B10" s="34">
        <f>A10/B6</f>
        <v>38.142857142857139</v>
      </c>
    </row>
    <row r="11" spans="1:9" ht="21" x14ac:dyDescent="0.25">
      <c r="A11" s="34">
        <f>'Rep2 6.7.21 '!B22</f>
        <v>1706</v>
      </c>
      <c r="B11" s="34">
        <f>A11/B6</f>
        <v>38.481203007518793</v>
      </c>
    </row>
    <row r="12" spans="1:9" ht="21" x14ac:dyDescent="0.25">
      <c r="A12" s="34">
        <f>'Rep2 6.7.21 '!B23</f>
        <v>1727</v>
      </c>
      <c r="B12" s="34">
        <f>A12/B6</f>
        <v>38.954887218045108</v>
      </c>
    </row>
    <row r="15" spans="1:9" ht="21" x14ac:dyDescent="0.25">
      <c r="A15" s="34" t="s">
        <v>41</v>
      </c>
    </row>
    <row r="16" spans="1:9" ht="21" x14ac:dyDescent="0.25">
      <c r="A16" s="34" t="s">
        <v>40</v>
      </c>
    </row>
    <row r="17" spans="1:2" ht="21" x14ac:dyDescent="0.25">
      <c r="A17" s="34">
        <f>'Rep2 6.7.21 '!B28</f>
        <v>5862</v>
      </c>
      <c r="B17" s="34">
        <f>A17/B6</f>
        <v>132.22556390977442</v>
      </c>
    </row>
    <row r="18" spans="1:2" ht="21" x14ac:dyDescent="0.25">
      <c r="A18" s="34">
        <f>'Rep2 6.7.21 '!B29</f>
        <v>5911</v>
      </c>
      <c r="B18" s="34">
        <f>A18/B6</f>
        <v>133.33082706766916</v>
      </c>
    </row>
    <row r="19" spans="1:2" ht="21" x14ac:dyDescent="0.25">
      <c r="A19" s="34">
        <f>'Rep2 6.7.21 '!B30</f>
        <v>5708</v>
      </c>
      <c r="B19" s="34">
        <f>A19/B6</f>
        <v>128.75187969924812</v>
      </c>
    </row>
    <row r="22" spans="1:2" ht="21" x14ac:dyDescent="0.25">
      <c r="A22" s="34" t="s">
        <v>42</v>
      </c>
    </row>
    <row r="23" spans="1:2" ht="21" x14ac:dyDescent="0.25">
      <c r="A23" s="34" t="s">
        <v>40</v>
      </c>
    </row>
    <row r="24" spans="1:2" ht="21" x14ac:dyDescent="0.25">
      <c r="A24" s="34">
        <f>'Rep2 6.7.21 '!B35</f>
        <v>9514</v>
      </c>
      <c r="B24" s="34">
        <f>A24/B6</f>
        <v>214.6015037593985</v>
      </c>
    </row>
    <row r="25" spans="1:2" ht="21" x14ac:dyDescent="0.25">
      <c r="A25" s="34">
        <f>'Rep2 6.7.21 '!B36</f>
        <v>8563</v>
      </c>
      <c r="B25" s="34">
        <f>A25/B6</f>
        <v>193.15037593984962</v>
      </c>
    </row>
    <row r="26" spans="1:2" ht="21" x14ac:dyDescent="0.25">
      <c r="A26" s="34">
        <f>'Rep2 6.7.21 '!B37</f>
        <v>8930</v>
      </c>
      <c r="B26" s="34">
        <f>A26/B6</f>
        <v>201.42857142857142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ACCD-C2BB-6E4F-9140-F5C4722396E1}">
  <dimension ref="A1:I26"/>
  <sheetViews>
    <sheetView workbookViewId="0">
      <selection activeCell="H3" sqref="H3"/>
    </sheetView>
  </sheetViews>
  <sheetFormatPr baseColWidth="10" defaultRowHeight="15" x14ac:dyDescent="0.2"/>
  <cols>
    <col min="1" max="1" width="37.5" customWidth="1"/>
    <col min="2" max="2" width="23.6640625" customWidth="1"/>
    <col min="6" max="6" width="21.83203125" customWidth="1"/>
    <col min="7" max="7" width="18.5" customWidth="1"/>
    <col min="8" max="8" width="20.5" customWidth="1"/>
    <col min="9" max="9" width="18.5" customWidth="1"/>
  </cols>
  <sheetData>
    <row r="1" spans="1:9" ht="21" x14ac:dyDescent="0.25">
      <c r="A1" s="35" t="s">
        <v>35</v>
      </c>
      <c r="B1" s="36"/>
    </row>
    <row r="2" spans="1:9" ht="22" x14ac:dyDescent="0.25">
      <c r="A2" s="35" t="s">
        <v>0</v>
      </c>
      <c r="B2" s="36"/>
      <c r="F2" s="38" t="s">
        <v>35</v>
      </c>
      <c r="G2" s="38" t="s">
        <v>43</v>
      </c>
      <c r="H2" s="38" t="s">
        <v>68</v>
      </c>
      <c r="I2" s="38" t="s">
        <v>44</v>
      </c>
    </row>
    <row r="3" spans="1:9" ht="22" x14ac:dyDescent="0.25">
      <c r="A3" s="35" t="s">
        <v>36</v>
      </c>
      <c r="B3" s="35">
        <f>'Rep3 6.7.21 '!B15</f>
        <v>40</v>
      </c>
      <c r="E3" s="38" t="s">
        <v>45</v>
      </c>
      <c r="F3" s="38">
        <v>1</v>
      </c>
      <c r="G3" s="38">
        <f>AVERAGE(B10:B12)</f>
        <v>37.338842975206603</v>
      </c>
      <c r="H3" s="38">
        <f>AVERAGE(B17:B19)</f>
        <v>128.29752066115702</v>
      </c>
      <c r="I3" s="38">
        <f>AVERAGE(B24:B26)</f>
        <v>194.52892561983469</v>
      </c>
    </row>
    <row r="4" spans="1:9" ht="21" x14ac:dyDescent="0.25">
      <c r="A4" s="35" t="s">
        <v>37</v>
      </c>
      <c r="B4" s="35">
        <f>'Rep3 6.7.21 '!B16</f>
        <v>44</v>
      </c>
      <c r="E4" s="38"/>
      <c r="F4" s="38"/>
      <c r="G4" s="38"/>
      <c r="H4" s="38"/>
      <c r="I4" s="38"/>
    </row>
    <row r="5" spans="1:9" ht="21" x14ac:dyDescent="0.25">
      <c r="A5" s="35" t="s">
        <v>38</v>
      </c>
      <c r="B5" s="35">
        <f>'Rep3 6.7.21 '!B17</f>
        <v>37</v>
      </c>
    </row>
    <row r="6" spans="1:9" ht="21" x14ac:dyDescent="0.25">
      <c r="A6" s="36"/>
      <c r="B6" s="35">
        <f>AVERAGE(B3:B5)</f>
        <v>40.333333333333336</v>
      </c>
    </row>
    <row r="8" spans="1:9" ht="21" x14ac:dyDescent="0.25">
      <c r="A8" s="34" t="s">
        <v>39</v>
      </c>
    </row>
    <row r="9" spans="1:9" ht="21" x14ac:dyDescent="0.25">
      <c r="A9" s="34" t="s">
        <v>40</v>
      </c>
    </row>
    <row r="10" spans="1:9" ht="21" x14ac:dyDescent="0.25">
      <c r="A10" s="34">
        <f>'Rep3 6.7.21 '!B21</f>
        <v>1492</v>
      </c>
      <c r="B10" s="34">
        <f>A10/B6</f>
        <v>36.991735537190081</v>
      </c>
    </row>
    <row r="11" spans="1:9" ht="21" x14ac:dyDescent="0.25">
      <c r="A11" s="34">
        <f>'Rep3 6.7.21 '!B22</f>
        <v>1437</v>
      </c>
      <c r="B11" s="34">
        <f>A11/B6</f>
        <v>35.628099173553714</v>
      </c>
    </row>
    <row r="12" spans="1:9" ht="21" x14ac:dyDescent="0.25">
      <c r="A12" s="34">
        <f>'Rep3 6.7.21 '!B23</f>
        <v>1589</v>
      </c>
      <c r="B12" s="34">
        <f>A12/B6</f>
        <v>39.396694214876028</v>
      </c>
    </row>
    <row r="15" spans="1:9" ht="21" x14ac:dyDescent="0.25">
      <c r="A15" s="34" t="s">
        <v>41</v>
      </c>
    </row>
    <row r="16" spans="1:9" ht="21" x14ac:dyDescent="0.25">
      <c r="A16" s="34" t="s">
        <v>40</v>
      </c>
    </row>
    <row r="17" spans="1:2" ht="21" x14ac:dyDescent="0.25">
      <c r="A17" s="34">
        <f>'Rep3 6.7.21 '!B28</f>
        <v>5163</v>
      </c>
      <c r="B17" s="34">
        <f>A17/B6</f>
        <v>128.0082644628099</v>
      </c>
    </row>
    <row r="18" spans="1:2" ht="21" x14ac:dyDescent="0.25">
      <c r="A18" s="34">
        <f>'Rep3 6.7.21 '!B29</f>
        <v>5284</v>
      </c>
      <c r="B18" s="34">
        <f>A18/B6</f>
        <v>131.0082644628099</v>
      </c>
    </row>
    <row r="19" spans="1:2" ht="21" x14ac:dyDescent="0.25">
      <c r="A19" s="34">
        <f>'Rep3 6.7.21 '!B30</f>
        <v>5077</v>
      </c>
      <c r="B19" s="34">
        <f>A19/B6</f>
        <v>125.87603305785123</v>
      </c>
    </row>
    <row r="22" spans="1:2" ht="21" x14ac:dyDescent="0.25">
      <c r="A22" s="34" t="s">
        <v>42</v>
      </c>
    </row>
    <row r="23" spans="1:2" ht="21" x14ac:dyDescent="0.25">
      <c r="A23" s="34" t="s">
        <v>40</v>
      </c>
    </row>
    <row r="24" spans="1:2" ht="21" x14ac:dyDescent="0.25">
      <c r="A24" s="34">
        <f>'Rep3 6.7.21 '!B35</f>
        <v>8099</v>
      </c>
      <c r="B24" s="34">
        <f>A24/B6</f>
        <v>200.80165289256198</v>
      </c>
    </row>
    <row r="25" spans="1:2" ht="21" x14ac:dyDescent="0.25">
      <c r="A25" s="34">
        <f>'Rep3 6.7.21 '!B36</f>
        <v>7599</v>
      </c>
      <c r="B25" s="34">
        <f>A25/B6</f>
        <v>188.40495867768593</v>
      </c>
    </row>
    <row r="26" spans="1:2" ht="21" x14ac:dyDescent="0.25">
      <c r="A26" s="34">
        <f>'Rep3 6.7.21 '!B37</f>
        <v>7840</v>
      </c>
      <c r="B26" s="34">
        <f>A26/B6</f>
        <v>194.38016528925618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Rep1 5.17.21</vt:lpstr>
      <vt:lpstr>Rep2 6.7.21 </vt:lpstr>
      <vt:lpstr>Rep3 6.7.21 </vt:lpstr>
      <vt:lpstr>Rep1</vt:lpstr>
      <vt:lpstr>Rep2</vt:lpstr>
      <vt:lpstr>Rep3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Marie Demas</dc:creator>
  <cp:lastModifiedBy>Microsoft Office User</cp:lastModifiedBy>
  <dcterms:created xsi:type="dcterms:W3CDTF">2019-12-04T19:00:40Z</dcterms:created>
  <dcterms:modified xsi:type="dcterms:W3CDTF">2021-08-10T20:31:49Z</dcterms:modified>
</cp:coreProperties>
</file>