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E2ER model long term/"/>
    </mc:Choice>
  </mc:AlternateContent>
  <xr:revisionPtr revIDLastSave="0" documentId="13_ncr:1_{AC586D38-EF92-AD4C-9A1A-E996F6FDB7A3}" xr6:coauthVersionLast="37" xr6:coauthVersionMax="37" xr10:uidLastSave="{00000000-0000-0000-0000-000000000000}"/>
  <bookViews>
    <workbookView xWindow="1540" yWindow="460" windowWidth="36860" windowHeight="21560" activeTab="3" xr2:uid="{00000000-000D-0000-FFFF-FFFF00000000}"/>
  </bookViews>
  <sheets>
    <sheet name="Rep1 6.14.19" sheetId="7" r:id="rId1"/>
    <sheet name="Rep2 10.17.19" sheetId="9" r:id="rId2"/>
    <sheet name="Rep3 11.19.19" sheetId="11" r:id="rId3"/>
    <sheet name="Sheet1" sheetId="8" r:id="rId4"/>
    <sheet name="Sheet2" sheetId="10" r:id="rId5"/>
    <sheet name="Sheet3" sheetId="12" r:id="rId6"/>
  </sheets>
  <externalReferences>
    <externalReference r:id="rId7"/>
    <externalReference r:id="rId8"/>
  </externalReferences>
  <calcPr calcId="179021"/>
</workbook>
</file>

<file path=xl/calcChain.xml><?xml version="1.0" encoding="utf-8"?>
<calcChain xmlns="http://schemas.openxmlformats.org/spreadsheetml/2006/main">
  <c r="E36" i="12" l="1"/>
  <c r="E35" i="12"/>
  <c r="E34" i="12"/>
  <c r="E29" i="12"/>
  <c r="K29" i="12" s="1"/>
  <c r="E28" i="12"/>
  <c r="E27" i="12"/>
  <c r="E22" i="12"/>
  <c r="K22" i="12" s="1"/>
  <c r="E21" i="12"/>
  <c r="E20" i="12"/>
  <c r="B36" i="12"/>
  <c r="B35" i="12"/>
  <c r="B34" i="12"/>
  <c r="B29" i="12"/>
  <c r="B28" i="12"/>
  <c r="B27" i="12"/>
  <c r="B22" i="12"/>
  <c r="B21" i="12"/>
  <c r="B20" i="12"/>
  <c r="B14" i="12"/>
  <c r="B13" i="12"/>
  <c r="B12" i="12"/>
  <c r="B6" i="12"/>
  <c r="B7" i="12"/>
  <c r="B5" i="12"/>
  <c r="K36" i="12"/>
  <c r="K35" i="12"/>
  <c r="H35" i="12"/>
  <c r="H29" i="12"/>
  <c r="K28" i="12"/>
  <c r="H28" i="12"/>
  <c r="H22" i="12"/>
  <c r="K21" i="12"/>
  <c r="H21" i="12"/>
  <c r="H14" i="12"/>
  <c r="H13" i="12"/>
  <c r="K50" i="11"/>
  <c r="M50" i="11" s="1"/>
  <c r="C50" i="11"/>
  <c r="E50" i="11" s="1"/>
  <c r="K49" i="11"/>
  <c r="M49" i="11" s="1"/>
  <c r="C49" i="11"/>
  <c r="E49" i="11" s="1"/>
  <c r="O48" i="11"/>
  <c r="K48" i="11"/>
  <c r="M48" i="11" s="1"/>
  <c r="C48" i="11"/>
  <c r="E48" i="11" s="1"/>
  <c r="K41" i="11"/>
  <c r="M41" i="11" s="1"/>
  <c r="C41" i="11"/>
  <c r="E41" i="11" s="1"/>
  <c r="K40" i="11"/>
  <c r="M40" i="11" s="1"/>
  <c r="C40" i="11"/>
  <c r="E40" i="11" s="1"/>
  <c r="O39" i="11"/>
  <c r="K39" i="11"/>
  <c r="M39" i="11" s="1"/>
  <c r="N39" i="11" s="1"/>
  <c r="C39" i="11"/>
  <c r="E39" i="11" s="1"/>
  <c r="M32" i="11"/>
  <c r="K32" i="11"/>
  <c r="C32" i="11"/>
  <c r="E32" i="11" s="1"/>
  <c r="M31" i="11"/>
  <c r="K31" i="11"/>
  <c r="C31" i="11"/>
  <c r="E31" i="11" s="1"/>
  <c r="O30" i="11"/>
  <c r="K30" i="11"/>
  <c r="M30" i="11" s="1"/>
  <c r="N30" i="11" s="1"/>
  <c r="C30" i="11"/>
  <c r="E30" i="11" s="1"/>
  <c r="E24" i="11"/>
  <c r="C24" i="11"/>
  <c r="C23" i="11"/>
  <c r="E23" i="11" s="1"/>
  <c r="C22" i="11"/>
  <c r="E22" i="11" s="1"/>
  <c r="E17" i="11"/>
  <c r="C17" i="11"/>
  <c r="C16" i="11"/>
  <c r="E16" i="11" s="1"/>
  <c r="C15" i="11"/>
  <c r="E15" i="11" s="1"/>
  <c r="H36" i="12" l="1"/>
  <c r="H27" i="12"/>
  <c r="N5" i="12" s="1"/>
  <c r="K27" i="12"/>
  <c r="N6" i="12" s="1"/>
  <c r="H20" i="12"/>
  <c r="M5" i="12" s="1"/>
  <c r="H34" i="12"/>
  <c r="O5" i="12" s="1"/>
  <c r="H12" i="12"/>
  <c r="K20" i="12"/>
  <c r="M6" i="12" s="1"/>
  <c r="K34" i="12"/>
  <c r="O6" i="12" s="1"/>
  <c r="L6" i="12"/>
  <c r="L5" i="12"/>
  <c r="G15" i="11"/>
  <c r="F15" i="11"/>
  <c r="G30" i="11"/>
  <c r="F30" i="11"/>
  <c r="F48" i="11"/>
  <c r="G48" i="11"/>
  <c r="G22" i="11"/>
  <c r="F22" i="11"/>
  <c r="F39" i="11"/>
  <c r="G39" i="11"/>
  <c r="N48" i="11"/>
  <c r="O6" i="10"/>
  <c r="L6" i="10"/>
  <c r="E36" i="10"/>
  <c r="E35" i="10"/>
  <c r="E34" i="10"/>
  <c r="B36" i="10"/>
  <c r="B35" i="10"/>
  <c r="H35" i="10"/>
  <c r="B34" i="10"/>
  <c r="E29" i="10"/>
  <c r="E28" i="10"/>
  <c r="E27" i="10"/>
  <c r="B29" i="10"/>
  <c r="H29" i="10"/>
  <c r="B28" i="10"/>
  <c r="B27" i="10"/>
  <c r="E22" i="10"/>
  <c r="E21" i="10"/>
  <c r="E20" i="10"/>
  <c r="B22" i="10"/>
  <c r="B21" i="10"/>
  <c r="B20" i="10"/>
  <c r="H20" i="10"/>
  <c r="B14" i="10"/>
  <c r="B13" i="10"/>
  <c r="H13" i="10"/>
  <c r="B12" i="10"/>
  <c r="B7" i="10"/>
  <c r="B6" i="10"/>
  <c r="B5" i="10"/>
  <c r="K36" i="10"/>
  <c r="H36" i="10"/>
  <c r="K35" i="10"/>
  <c r="K34" i="10"/>
  <c r="K29" i="10"/>
  <c r="H28" i="10"/>
  <c r="H27" i="10"/>
  <c r="K22" i="10"/>
  <c r="H22" i="10"/>
  <c r="H21" i="10"/>
  <c r="H14" i="10"/>
  <c r="K21" i="10"/>
  <c r="K27" i="10"/>
  <c r="E36" i="8"/>
  <c r="B36" i="8"/>
  <c r="E35" i="8"/>
  <c r="B35" i="8"/>
  <c r="E34" i="8"/>
  <c r="B34" i="8"/>
  <c r="E29" i="8"/>
  <c r="B29" i="8"/>
  <c r="H29" i="8" s="1"/>
  <c r="E28" i="8"/>
  <c r="B28" i="8"/>
  <c r="E27" i="8"/>
  <c r="B27" i="8"/>
  <c r="E22" i="8"/>
  <c r="K22" i="8" s="1"/>
  <c r="B22" i="8"/>
  <c r="H22" i="8" s="1"/>
  <c r="E21" i="8"/>
  <c r="B21" i="8"/>
  <c r="E20" i="8"/>
  <c r="B20" i="8"/>
  <c r="B14" i="8"/>
  <c r="H14" i="8" s="1"/>
  <c r="B13" i="8"/>
  <c r="B12" i="8"/>
  <c r="B7" i="8"/>
  <c r="K29" i="8" s="1"/>
  <c r="B6" i="8"/>
  <c r="K35" i="8" s="1"/>
  <c r="B5" i="8"/>
  <c r="K34" i="8" s="1"/>
  <c r="K50" i="9"/>
  <c r="M50" i="9"/>
  <c r="C50" i="9"/>
  <c r="E50" i="9"/>
  <c r="K49" i="9"/>
  <c r="M49" i="9"/>
  <c r="C49" i="9"/>
  <c r="E49" i="9"/>
  <c r="K48" i="9"/>
  <c r="M48" i="9"/>
  <c r="C48" i="9"/>
  <c r="E48" i="9"/>
  <c r="K41" i="9"/>
  <c r="M41" i="9"/>
  <c r="C41" i="9"/>
  <c r="E41" i="9"/>
  <c r="K40" i="9"/>
  <c r="O39" i="9"/>
  <c r="C40" i="9"/>
  <c r="E40" i="9"/>
  <c r="K39" i="9"/>
  <c r="M39" i="9"/>
  <c r="C39" i="9"/>
  <c r="E39" i="9"/>
  <c r="K32" i="9"/>
  <c r="M32" i="9"/>
  <c r="C32" i="9"/>
  <c r="E32" i="9"/>
  <c r="K31" i="9"/>
  <c r="M31" i="9"/>
  <c r="C31" i="9"/>
  <c r="E31" i="9"/>
  <c r="K30" i="9"/>
  <c r="M30" i="9"/>
  <c r="C30" i="9"/>
  <c r="E30" i="9"/>
  <c r="C24" i="9"/>
  <c r="E24" i="9"/>
  <c r="C23" i="9"/>
  <c r="E23" i="9"/>
  <c r="C22" i="9"/>
  <c r="E22" i="9"/>
  <c r="C17" i="9"/>
  <c r="E17" i="9"/>
  <c r="C16" i="9"/>
  <c r="E16" i="9"/>
  <c r="C15" i="9"/>
  <c r="E15" i="9"/>
  <c r="K50" i="7"/>
  <c r="M50" i="7"/>
  <c r="C50" i="7"/>
  <c r="E50" i="7"/>
  <c r="K49" i="7"/>
  <c r="M49" i="7"/>
  <c r="C49" i="7"/>
  <c r="E49" i="7"/>
  <c r="K48" i="7"/>
  <c r="M48" i="7"/>
  <c r="O48" i="7"/>
  <c r="C48" i="7"/>
  <c r="E48" i="7"/>
  <c r="K41" i="7"/>
  <c r="M41" i="7"/>
  <c r="C41" i="7"/>
  <c r="E41" i="7"/>
  <c r="K40" i="7"/>
  <c r="M40" i="7"/>
  <c r="C40" i="7"/>
  <c r="E40" i="7"/>
  <c r="K39" i="7"/>
  <c r="C39" i="7"/>
  <c r="E39" i="7"/>
  <c r="K32" i="7"/>
  <c r="M32" i="7"/>
  <c r="C32" i="7"/>
  <c r="E32" i="7"/>
  <c r="K31" i="7"/>
  <c r="M31" i="7"/>
  <c r="C31" i="7"/>
  <c r="E31" i="7"/>
  <c r="K30" i="7"/>
  <c r="M30" i="7"/>
  <c r="C30" i="7"/>
  <c r="E30" i="7"/>
  <c r="C24" i="7"/>
  <c r="E24" i="7"/>
  <c r="C23" i="7"/>
  <c r="E23" i="7"/>
  <c r="C22" i="7"/>
  <c r="E22" i="7"/>
  <c r="C17" i="7"/>
  <c r="E17" i="7"/>
  <c r="C16" i="7"/>
  <c r="E16" i="7"/>
  <c r="C15" i="7"/>
  <c r="E15" i="7"/>
  <c r="O39" i="7"/>
  <c r="F30" i="7"/>
  <c r="G22" i="7"/>
  <c r="N30" i="7"/>
  <c r="G30" i="7"/>
  <c r="O30" i="7"/>
  <c r="F22" i="7"/>
  <c r="G39" i="7"/>
  <c r="M39" i="7"/>
  <c r="N39" i="7"/>
  <c r="F15" i="7"/>
  <c r="G15" i="7"/>
  <c r="F39" i="7"/>
  <c r="N48" i="7"/>
  <c r="F48" i="7"/>
  <c r="G48" i="7"/>
  <c r="O48" i="9"/>
  <c r="N48" i="9"/>
  <c r="M40" i="9"/>
  <c r="N30" i="9"/>
  <c r="F15" i="9"/>
  <c r="G15" i="9"/>
  <c r="G30" i="9"/>
  <c r="F30" i="9"/>
  <c r="G48" i="9"/>
  <c r="F48" i="9"/>
  <c r="G22" i="9"/>
  <c r="F22" i="9"/>
  <c r="G39" i="9"/>
  <c r="F39" i="9"/>
  <c r="N39" i="9"/>
  <c r="O30" i="9"/>
  <c r="N5" i="10"/>
  <c r="K28" i="10"/>
  <c r="N6" i="10"/>
  <c r="H34" i="10"/>
  <c r="O5" i="10"/>
  <c r="M5" i="10"/>
  <c r="H12" i="10"/>
  <c r="L5" i="10"/>
  <c r="K20" i="10"/>
  <c r="M6" i="10"/>
  <c r="O6" i="8" l="1"/>
  <c r="K36" i="8"/>
  <c r="H35" i="8"/>
  <c r="K21" i="8"/>
  <c r="H27" i="8"/>
  <c r="H12" i="8"/>
  <c r="K20" i="8"/>
  <c r="M6" i="8" s="1"/>
  <c r="H28" i="8"/>
  <c r="H34" i="8"/>
  <c r="O5" i="8" s="1"/>
  <c r="H36" i="8"/>
  <c r="N5" i="8"/>
  <c r="H13" i="8"/>
  <c r="L6" i="8" s="1"/>
  <c r="H20" i="8"/>
  <c r="M5" i="8" s="1"/>
  <c r="H21" i="8"/>
  <c r="K27" i="8"/>
  <c r="K28" i="8"/>
  <c r="N6" i="8" l="1"/>
  <c r="L5" i="8"/>
</calcChain>
</file>

<file path=xl/sharedStrings.xml><?xml version="1.0" encoding="utf-8"?>
<sst xmlns="http://schemas.openxmlformats.org/spreadsheetml/2006/main" count="618" uniqueCount="93">
  <si>
    <t>Sample</t>
  </si>
  <si>
    <t xml:space="preserve"> +E2 #1</t>
  </si>
  <si>
    <t xml:space="preserve"> +E2 #2</t>
  </si>
  <si>
    <t xml:space="preserve"> +E2 #3</t>
  </si>
  <si>
    <t>Counter Read</t>
  </si>
  <si>
    <t>Cells/mL</t>
  </si>
  <si>
    <t>mL of cells</t>
  </si>
  <si>
    <t>Total cell number</t>
  </si>
  <si>
    <t>Average total cell #</t>
  </si>
  <si>
    <t>Stdev</t>
  </si>
  <si>
    <t>Day 0 (6/14)</t>
  </si>
  <si>
    <t xml:space="preserve">Week 1 (6/21) </t>
  </si>
  <si>
    <t>Week 3 (7/6)</t>
  </si>
  <si>
    <t>Week 2 (6/28)</t>
  </si>
  <si>
    <t>Coulter Counter Counts: MCF7f  Alternating 250nM Palbo+E2(10nM)/-E2 4 weeks</t>
  </si>
  <si>
    <r>
      <rPr>
        <b/>
        <sz val="11"/>
        <color indexed="8"/>
        <rFont val="Calibri"/>
        <family val="2"/>
      </rPr>
      <t>Thurs 6/13/2019</t>
    </r>
    <r>
      <rPr>
        <sz val="11"/>
        <color theme="1"/>
        <rFont val="Calibri"/>
        <family val="2"/>
        <scheme val="minor"/>
      </rPr>
      <t>, 45k cells plated on (8) 60mm dishes of MCF7f p82+17+30.</t>
    </r>
  </si>
  <si>
    <r>
      <rPr>
        <b/>
        <sz val="11"/>
        <color indexed="8"/>
        <rFont val="Calibri"/>
        <family val="2"/>
      </rPr>
      <t>Friday 6/14/19</t>
    </r>
    <r>
      <rPr>
        <sz val="11"/>
        <color theme="1"/>
        <rFont val="Calibri"/>
        <family val="2"/>
        <scheme val="minor"/>
      </rPr>
      <t>, Count T=0 plate. Dose all remaining plates with</t>
    </r>
    <r>
      <rPr>
        <sz val="11"/>
        <color indexed="10"/>
        <rFont val="Calibri"/>
        <family val="2"/>
      </rPr>
      <t xml:space="preserve"> +E2+250nM Palbo.</t>
    </r>
    <r>
      <rPr>
        <sz val="11"/>
        <rFont val="Calibri"/>
        <family val="2"/>
      </rPr>
      <t xml:space="preserve"> (Re-dose Monday)</t>
    </r>
  </si>
  <si>
    <r>
      <rPr>
        <b/>
        <sz val="11"/>
        <color indexed="8"/>
        <rFont val="Calibri"/>
        <family val="2"/>
      </rPr>
      <t>Friday 6/21/19</t>
    </r>
    <r>
      <rPr>
        <sz val="11"/>
        <color theme="1"/>
        <rFont val="Calibri"/>
        <family val="2"/>
        <scheme val="minor"/>
      </rPr>
      <t>, Count 1 plate for</t>
    </r>
    <r>
      <rPr>
        <b/>
        <sz val="11"/>
        <color indexed="8"/>
        <rFont val="Calibri"/>
        <family val="2"/>
      </rPr>
      <t xml:space="preserve"> Week 1 (250nM Palbo+E2)</t>
    </r>
    <r>
      <rPr>
        <sz val="11"/>
        <color theme="1"/>
        <rFont val="Calibri"/>
        <family val="2"/>
        <scheme val="minor"/>
      </rPr>
      <t>. Continue to dose 3 of remaining plates with</t>
    </r>
    <r>
      <rPr>
        <sz val="11"/>
        <color indexed="10"/>
        <rFont val="Calibri"/>
        <family val="2"/>
      </rPr>
      <t xml:space="preserve"> 250nM Palbo+E2 (Constant set)</t>
    </r>
    <r>
      <rPr>
        <sz val="11"/>
        <color theme="1"/>
        <rFont val="Calibri"/>
        <family val="2"/>
        <scheme val="minor"/>
      </rPr>
      <t xml:space="preserve"> and dose/change last 3 plates with</t>
    </r>
    <r>
      <rPr>
        <sz val="11"/>
        <color indexed="30"/>
        <rFont val="Calibri"/>
        <family val="2"/>
      </rPr>
      <t xml:space="preserve"> -E2 (CCS only media) (Alternating set) </t>
    </r>
    <r>
      <rPr>
        <sz val="11"/>
        <rFont val="Calibri"/>
        <family val="2"/>
      </rPr>
      <t>for the next week. **Since changing half of the plates to -E2 media, wash all 6 plates 1x with PBS before dosing.</t>
    </r>
    <r>
      <rPr>
        <sz val="11"/>
        <color theme="1"/>
        <rFont val="Calibri"/>
        <family val="2"/>
        <scheme val="minor"/>
      </rPr>
      <t xml:space="preserve"> (Re-dose Monday)</t>
    </r>
  </si>
  <si>
    <r>
      <rPr>
        <b/>
        <sz val="11"/>
        <color indexed="8"/>
        <rFont val="Calibri"/>
        <family val="2"/>
      </rPr>
      <t>Friday 6/28/19,</t>
    </r>
    <r>
      <rPr>
        <sz val="11"/>
        <color theme="1"/>
        <rFont val="Calibri"/>
        <family val="2"/>
        <scheme val="minor"/>
      </rPr>
      <t xml:space="preserve"> Count 1 plate from each set  for Week 2 (Constant and Alternating). Continue to dose 2 remaining constant plates with </t>
    </r>
    <r>
      <rPr>
        <sz val="11"/>
        <color indexed="10"/>
        <rFont val="Calibri"/>
        <family val="2"/>
      </rPr>
      <t xml:space="preserve">250nM Palbo+E2 </t>
    </r>
    <r>
      <rPr>
        <sz val="11"/>
        <color theme="1"/>
        <rFont val="Calibri"/>
        <family val="2"/>
        <scheme val="minor"/>
      </rPr>
      <t>and dose/change the 2 remaining alternating plates to</t>
    </r>
    <r>
      <rPr>
        <sz val="11"/>
        <color indexed="10"/>
        <rFont val="Calibri"/>
        <family val="2"/>
      </rPr>
      <t xml:space="preserve"> 250nM Palbo+E2 </t>
    </r>
    <r>
      <rPr>
        <sz val="11"/>
        <color theme="1"/>
        <rFont val="Calibri"/>
        <family val="2"/>
        <scheme val="minor"/>
      </rPr>
      <t>as well for the next week. (Re-dose Monday)</t>
    </r>
  </si>
  <si>
    <r>
      <rPr>
        <b/>
        <sz val="11"/>
        <color indexed="8"/>
        <rFont val="Calibri"/>
        <family val="2"/>
      </rPr>
      <t>Saturday 7/6/19</t>
    </r>
    <r>
      <rPr>
        <sz val="11"/>
        <color theme="1"/>
        <rFont val="Calibri"/>
        <family val="2"/>
        <scheme val="minor"/>
      </rPr>
      <t xml:space="preserve">, Count 1 plate from each set for Week 3 (Constant and Alternating). Continue to dose 1 remaining constant plate with </t>
    </r>
    <r>
      <rPr>
        <sz val="11"/>
        <color indexed="10"/>
        <rFont val="Calibri"/>
        <family val="2"/>
      </rPr>
      <t xml:space="preserve">250nM Palbo+E2 </t>
    </r>
    <r>
      <rPr>
        <sz val="11"/>
        <color theme="1"/>
        <rFont val="Calibri"/>
        <family val="2"/>
        <scheme val="minor"/>
      </rPr>
      <t>and dose/change last plate with</t>
    </r>
    <r>
      <rPr>
        <sz val="11"/>
        <color indexed="30"/>
        <rFont val="Calibri"/>
        <family val="2"/>
      </rPr>
      <t xml:space="preserve"> -E2 (CCS only media) (Alternating set)</t>
    </r>
    <r>
      <rPr>
        <sz val="11"/>
        <color theme="1"/>
        <rFont val="Calibri"/>
        <family val="2"/>
        <scheme val="minor"/>
      </rPr>
      <t xml:space="preserve"> for the next week. **Since changing half of the plates to -E2 media, wash all 2 plates 1x with PBS before dosing. (Re-dose Tuesday)</t>
    </r>
  </si>
  <si>
    <r>
      <rPr>
        <b/>
        <sz val="11"/>
        <color indexed="8"/>
        <rFont val="Calibri"/>
        <family val="2"/>
      </rPr>
      <t>Friday 7/12/19,</t>
    </r>
    <r>
      <rPr>
        <sz val="11"/>
        <color theme="1"/>
        <rFont val="Calibri"/>
        <family val="2"/>
        <scheme val="minor"/>
      </rPr>
      <t xml:space="preserve"> Count both remaining plates for Week 4 (constant and alternating).</t>
    </r>
  </si>
  <si>
    <t xml:space="preserve"> +E2 (same for Constant and Alternating)</t>
  </si>
  <si>
    <t xml:space="preserve"> +E2 +250nM Palbo (Same for Constant and Alternating)</t>
  </si>
  <si>
    <r>
      <rPr>
        <b/>
        <sz val="12"/>
        <rFont val="Calibri"/>
        <family val="2"/>
      </rPr>
      <t xml:space="preserve">CONSTANT: </t>
    </r>
    <r>
      <rPr>
        <b/>
        <sz val="12"/>
        <color indexed="10"/>
        <rFont val="Calibri"/>
        <family val="2"/>
      </rPr>
      <t>250nM Palbo+E2</t>
    </r>
  </si>
  <si>
    <r>
      <rPr>
        <b/>
        <sz val="12"/>
        <rFont val="Calibri"/>
        <family val="2"/>
      </rPr>
      <t xml:space="preserve">ALTERNATING: </t>
    </r>
    <r>
      <rPr>
        <b/>
        <sz val="12"/>
        <color indexed="10"/>
        <rFont val="Calibri"/>
        <family val="2"/>
      </rPr>
      <t xml:space="preserve">1 week 250nM Palbo+E2--&gt; </t>
    </r>
    <r>
      <rPr>
        <b/>
        <sz val="12"/>
        <color indexed="30"/>
        <rFont val="Calibri"/>
        <family val="2"/>
      </rPr>
      <t xml:space="preserve">1 week -E2--&gt; </t>
    </r>
    <r>
      <rPr>
        <b/>
        <sz val="12"/>
        <color indexed="10"/>
        <rFont val="Calibri"/>
        <family val="2"/>
      </rPr>
      <t>1 week 250nM Palbo+E2</t>
    </r>
  </si>
  <si>
    <r>
      <t xml:space="preserve"> 250nM Palbo+E2</t>
    </r>
    <r>
      <rPr>
        <sz val="11"/>
        <color indexed="30"/>
        <rFont val="Calibri"/>
        <family val="2"/>
      </rPr>
      <t xml:space="preserve"> /-E2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#1</t>
    </r>
  </si>
  <si>
    <r>
      <t xml:space="preserve"> 250nM Palbo+E2</t>
    </r>
    <r>
      <rPr>
        <sz val="11"/>
        <color indexed="30"/>
        <rFont val="Calibri"/>
        <family val="2"/>
      </rPr>
      <t xml:space="preserve"> /-E2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#2</t>
    </r>
  </si>
  <si>
    <r>
      <t xml:space="preserve"> 250nM Palbo+E2</t>
    </r>
    <r>
      <rPr>
        <sz val="11"/>
        <color indexed="30"/>
        <rFont val="Calibri"/>
        <family val="2"/>
      </rPr>
      <t xml:space="preserve"> /-E2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#3</t>
    </r>
  </si>
  <si>
    <r>
      <t xml:space="preserve"> 250nM Palbo+E2</t>
    </r>
    <r>
      <rPr>
        <sz val="11"/>
        <color indexed="30"/>
        <rFont val="Calibri"/>
        <family val="2"/>
      </rPr>
      <t xml:space="preserve"> /-E2 </t>
    </r>
    <r>
      <rPr>
        <sz val="11"/>
        <color indexed="10"/>
        <rFont val="Calibri"/>
        <family val="2"/>
      </rPr>
      <t>/250nM Palbo+E2</t>
    </r>
    <r>
      <rPr>
        <sz val="11"/>
        <rFont val="Calibri"/>
        <family val="2"/>
      </rPr>
      <t xml:space="preserve"> #1</t>
    </r>
  </si>
  <si>
    <r>
      <t xml:space="preserve"> 250nM Palbo+E2</t>
    </r>
    <r>
      <rPr>
        <sz val="11"/>
        <color indexed="30"/>
        <rFont val="Calibri"/>
        <family val="2"/>
      </rPr>
      <t xml:space="preserve"> /-E2 </t>
    </r>
    <r>
      <rPr>
        <sz val="11"/>
        <color indexed="10"/>
        <rFont val="Calibri"/>
        <family val="2"/>
      </rPr>
      <t xml:space="preserve">/250nM Palbo+E2 </t>
    </r>
    <r>
      <rPr>
        <sz val="11"/>
        <rFont val="Calibri"/>
        <family val="2"/>
      </rPr>
      <t>#2</t>
    </r>
  </si>
  <si>
    <r>
      <t xml:space="preserve"> 250nM Palbo+E2</t>
    </r>
    <r>
      <rPr>
        <sz val="11"/>
        <color indexed="30"/>
        <rFont val="Calibri"/>
        <family val="2"/>
      </rPr>
      <t xml:space="preserve"> /-E2 </t>
    </r>
    <r>
      <rPr>
        <sz val="11"/>
        <color indexed="10"/>
        <rFont val="Calibri"/>
        <family val="2"/>
      </rPr>
      <t>/250nM Palbo+E2</t>
    </r>
    <r>
      <rPr>
        <sz val="11"/>
        <rFont val="Calibri"/>
        <family val="2"/>
      </rPr>
      <t xml:space="preserve"> #3</t>
    </r>
  </si>
  <si>
    <t>250nM Palbo+E2 #1</t>
  </si>
  <si>
    <t>250nM Palbo+E2 #2</t>
  </si>
  <si>
    <t>250nM Palbo+E2 #3</t>
  </si>
  <si>
    <t>Week 4 (7/12)</t>
  </si>
  <si>
    <r>
      <rPr>
        <b/>
        <sz val="12"/>
        <rFont val="Calibri"/>
        <family val="2"/>
      </rPr>
      <t xml:space="preserve">ALTERNATING: </t>
    </r>
    <r>
      <rPr>
        <b/>
        <sz val="12"/>
        <color indexed="10"/>
        <rFont val="Calibri"/>
        <family val="2"/>
      </rPr>
      <t xml:space="preserve">1 week 250nM Palbo+E2--&gt; </t>
    </r>
    <r>
      <rPr>
        <b/>
        <sz val="12"/>
        <color indexed="30"/>
        <rFont val="Calibri"/>
        <family val="2"/>
      </rPr>
      <t xml:space="preserve">1 week -E2--&gt; </t>
    </r>
    <r>
      <rPr>
        <b/>
        <sz val="12"/>
        <color indexed="10"/>
        <rFont val="Calibri"/>
        <family val="2"/>
      </rPr>
      <t>1 week 250nM Palbo+E2--&gt;</t>
    </r>
    <r>
      <rPr>
        <b/>
        <sz val="12"/>
        <color indexed="30"/>
        <rFont val="Calibri"/>
        <family val="2"/>
      </rPr>
      <t xml:space="preserve"> 1 week -E2</t>
    </r>
  </si>
  <si>
    <r>
      <t xml:space="preserve"> 250nM Palbo+E2</t>
    </r>
    <r>
      <rPr>
        <sz val="11"/>
        <color indexed="30"/>
        <rFont val="Calibri"/>
        <family val="2"/>
      </rPr>
      <t>/-E2</t>
    </r>
    <r>
      <rPr>
        <sz val="11"/>
        <color indexed="10"/>
        <rFont val="Calibri"/>
        <family val="2"/>
      </rPr>
      <t>/250nM Palbo+E2</t>
    </r>
    <r>
      <rPr>
        <sz val="11"/>
        <color indexed="30"/>
        <rFont val="Calibri"/>
        <family val="2"/>
      </rPr>
      <t>/-E2</t>
    </r>
    <r>
      <rPr>
        <sz val="11"/>
        <rFont val="Calibri"/>
        <family val="2"/>
      </rPr>
      <t xml:space="preserve"> #1</t>
    </r>
  </si>
  <si>
    <r>
      <t xml:space="preserve"> 250nM Palbo+E2</t>
    </r>
    <r>
      <rPr>
        <sz val="11"/>
        <color indexed="30"/>
        <rFont val="Calibri"/>
        <family val="2"/>
      </rPr>
      <t>/-E2</t>
    </r>
    <r>
      <rPr>
        <sz val="11"/>
        <color indexed="10"/>
        <rFont val="Calibri"/>
        <family val="2"/>
      </rPr>
      <t>/250nM Palbo+E2</t>
    </r>
    <r>
      <rPr>
        <sz val="11"/>
        <color indexed="30"/>
        <rFont val="Calibri"/>
        <family val="2"/>
      </rPr>
      <t>/-E2</t>
    </r>
    <r>
      <rPr>
        <sz val="11"/>
        <rFont val="Calibri"/>
        <family val="2"/>
      </rPr>
      <t xml:space="preserve"> #2</t>
    </r>
    <r>
      <rPr>
        <sz val="11"/>
        <color indexed="8"/>
        <rFont val="Calibri"/>
        <family val="2"/>
      </rPr>
      <t/>
    </r>
  </si>
  <si>
    <r>
      <t xml:space="preserve"> 250nM Palbo+E2</t>
    </r>
    <r>
      <rPr>
        <sz val="11"/>
        <color indexed="30"/>
        <rFont val="Calibri"/>
        <family val="2"/>
      </rPr>
      <t>/-E2</t>
    </r>
    <r>
      <rPr>
        <sz val="11"/>
        <color indexed="10"/>
        <rFont val="Calibri"/>
        <family val="2"/>
      </rPr>
      <t>/250nM Palbo+E2</t>
    </r>
    <r>
      <rPr>
        <sz val="11"/>
        <color indexed="30"/>
        <rFont val="Calibri"/>
        <family val="2"/>
      </rPr>
      <t>/-E2</t>
    </r>
    <r>
      <rPr>
        <sz val="11"/>
        <rFont val="Calibri"/>
        <family val="2"/>
      </rPr>
      <t xml:space="preserve"> #3</t>
    </r>
    <r>
      <rPr>
        <sz val="11"/>
        <color indexed="8"/>
        <rFont val="Calibri"/>
        <family val="2"/>
      </rPr>
      <t/>
    </r>
  </si>
  <si>
    <r>
      <rPr>
        <b/>
        <sz val="12"/>
        <rFont val="Calibri"/>
        <family val="2"/>
      </rPr>
      <t xml:space="preserve">ALTERNATING: </t>
    </r>
    <r>
      <rPr>
        <b/>
        <sz val="12"/>
        <color indexed="10"/>
        <rFont val="Calibri"/>
        <family val="2"/>
      </rPr>
      <t xml:space="preserve">1 week 250nM Palbo+E2--&gt; </t>
    </r>
    <r>
      <rPr>
        <b/>
        <sz val="12"/>
        <color indexed="30"/>
        <rFont val="Calibri"/>
        <family val="2"/>
      </rPr>
      <t>1 week -E2</t>
    </r>
    <r>
      <rPr>
        <b/>
        <sz val="12"/>
        <color indexed="10"/>
        <rFont val="Calibri"/>
        <family val="2"/>
      </rPr>
      <t xml:space="preserve"> *Getting confluent</t>
    </r>
  </si>
  <si>
    <t>Coulter Counter Counts: MCF7f  Alternating 250nM Palbo+E2(10nM)/-E2 4 weeks #2</t>
  </si>
  <si>
    <r>
      <rPr>
        <b/>
        <sz val="11"/>
        <color indexed="8"/>
        <rFont val="Calibri"/>
        <family val="2"/>
      </rPr>
      <t>Friday 10/18/19</t>
    </r>
    <r>
      <rPr>
        <sz val="11"/>
        <color theme="1"/>
        <rFont val="Calibri"/>
        <family val="2"/>
        <scheme val="minor"/>
      </rPr>
      <t>, Count T=0 plate. Dose all remaining plates with</t>
    </r>
    <r>
      <rPr>
        <sz val="11"/>
        <color indexed="10"/>
        <rFont val="Calibri"/>
        <family val="2"/>
      </rPr>
      <t xml:space="preserve"> +E2+250nM Palbo.</t>
    </r>
    <r>
      <rPr>
        <b/>
        <sz val="11"/>
        <rFont val="Calibri"/>
        <family val="2"/>
      </rPr>
      <t xml:space="preserve"> (Re-dose Monday)</t>
    </r>
  </si>
  <si>
    <r>
      <rPr>
        <b/>
        <sz val="11"/>
        <color indexed="8"/>
        <rFont val="Calibri"/>
        <family val="2"/>
      </rPr>
      <t>Friday 11/1/19,</t>
    </r>
    <r>
      <rPr>
        <sz val="11"/>
        <color theme="1"/>
        <rFont val="Calibri"/>
        <family val="2"/>
        <scheme val="minor"/>
      </rPr>
      <t xml:space="preserve"> Count 1 plate from each set  for Week 2 (Constant and Alternating). Continue to dose 2 remaining constant plates with </t>
    </r>
    <r>
      <rPr>
        <sz val="11"/>
        <color indexed="10"/>
        <rFont val="Calibri"/>
        <family val="2"/>
      </rPr>
      <t xml:space="preserve">250nM Palbo+E2 </t>
    </r>
    <r>
      <rPr>
        <sz val="11"/>
        <color theme="1"/>
        <rFont val="Calibri"/>
        <family val="2"/>
        <scheme val="minor"/>
      </rPr>
      <t>and dose/change the 2 remaining alternating plates to</t>
    </r>
    <r>
      <rPr>
        <sz val="11"/>
        <color indexed="10"/>
        <rFont val="Calibri"/>
        <family val="2"/>
      </rPr>
      <t xml:space="preserve"> 250nM Palbo+E2 </t>
    </r>
    <r>
      <rPr>
        <sz val="11"/>
        <color theme="1"/>
        <rFont val="Calibri"/>
        <family val="2"/>
        <scheme val="minor"/>
      </rPr>
      <t xml:space="preserve">as well for the next week. </t>
    </r>
    <r>
      <rPr>
        <b/>
        <sz val="11"/>
        <color indexed="8"/>
        <rFont val="Calibri"/>
        <family val="2"/>
      </rPr>
      <t>(Re-dose Monday)</t>
    </r>
  </si>
  <si>
    <r>
      <rPr>
        <b/>
        <sz val="11"/>
        <color indexed="8"/>
        <rFont val="Calibri"/>
        <family val="2"/>
      </rPr>
      <t>Thurs 11/14/19,</t>
    </r>
    <r>
      <rPr>
        <sz val="11"/>
        <color theme="1"/>
        <rFont val="Calibri"/>
        <family val="2"/>
        <scheme val="minor"/>
      </rPr>
      <t xml:space="preserve"> Count both remaining plates for Week 4 (constant and alternating).</t>
    </r>
  </si>
  <si>
    <r>
      <rPr>
        <b/>
        <sz val="11"/>
        <color indexed="8"/>
        <rFont val="Calibri"/>
        <family val="2"/>
      </rPr>
      <t>Friday 11/8/19</t>
    </r>
    <r>
      <rPr>
        <sz val="11"/>
        <color theme="1"/>
        <rFont val="Calibri"/>
        <family val="2"/>
        <scheme val="minor"/>
      </rPr>
      <t xml:space="preserve">, Count 1 plate from each set for Week 3 (Constant and Alternating). Continue to dose 1 remaining constant plate with </t>
    </r>
    <r>
      <rPr>
        <sz val="11"/>
        <color indexed="10"/>
        <rFont val="Calibri"/>
        <family val="2"/>
      </rPr>
      <t xml:space="preserve">250nM Palbo+E2 </t>
    </r>
    <r>
      <rPr>
        <sz val="11"/>
        <color theme="1"/>
        <rFont val="Calibri"/>
        <family val="2"/>
        <scheme val="minor"/>
      </rPr>
      <t>and dose/change last plate with</t>
    </r>
    <r>
      <rPr>
        <sz val="11"/>
        <color indexed="30"/>
        <rFont val="Calibri"/>
        <family val="2"/>
      </rPr>
      <t xml:space="preserve"> -E2 (CCS only media) (Alternating set)</t>
    </r>
    <r>
      <rPr>
        <sz val="11"/>
        <color theme="1"/>
        <rFont val="Calibri"/>
        <family val="2"/>
        <scheme val="minor"/>
      </rPr>
      <t xml:space="preserve"> for the next week. **Since changing half of the plates to -E2 media, wash all 2 plate </t>
    </r>
    <r>
      <rPr>
        <b/>
        <sz val="12"/>
        <color indexed="8"/>
        <rFont val="Calibri"/>
        <family val="2"/>
      </rPr>
      <t>TWICE</t>
    </r>
    <r>
      <rPr>
        <sz val="11"/>
        <color theme="1"/>
        <rFont val="Calibri"/>
        <family val="2"/>
        <scheme val="minor"/>
      </rPr>
      <t xml:space="preserve"> with PBS before dosing. (Re-dose Tuesday)</t>
    </r>
  </si>
  <si>
    <r>
      <rPr>
        <b/>
        <sz val="11"/>
        <color indexed="8"/>
        <rFont val="Calibri"/>
        <family val="2"/>
      </rPr>
      <t>Friday 10/25/19</t>
    </r>
    <r>
      <rPr>
        <sz val="11"/>
        <color theme="1"/>
        <rFont val="Calibri"/>
        <family val="2"/>
        <scheme val="minor"/>
      </rPr>
      <t>, Count 1 plate for</t>
    </r>
    <r>
      <rPr>
        <b/>
        <sz val="11"/>
        <color indexed="8"/>
        <rFont val="Calibri"/>
        <family val="2"/>
      </rPr>
      <t xml:space="preserve"> Week 1 (250nM Palbo+E2)</t>
    </r>
    <r>
      <rPr>
        <sz val="11"/>
        <color theme="1"/>
        <rFont val="Calibri"/>
        <family val="2"/>
        <scheme val="minor"/>
      </rPr>
      <t>. Continue to dose 3 of remaining plates with</t>
    </r>
    <r>
      <rPr>
        <sz val="11"/>
        <color indexed="10"/>
        <rFont val="Calibri"/>
        <family val="2"/>
      </rPr>
      <t xml:space="preserve"> 250nM Palbo+E2 (Constant set)</t>
    </r>
    <r>
      <rPr>
        <sz val="11"/>
        <color theme="1"/>
        <rFont val="Calibri"/>
        <family val="2"/>
        <scheme val="minor"/>
      </rPr>
      <t xml:space="preserve"> and dose/change last 3 plates with</t>
    </r>
    <r>
      <rPr>
        <sz val="11"/>
        <color indexed="30"/>
        <rFont val="Calibri"/>
        <family val="2"/>
      </rPr>
      <t xml:space="preserve"> -E2 (CCS only media) (Alternating set) </t>
    </r>
    <r>
      <rPr>
        <sz val="11"/>
        <rFont val="Calibri"/>
        <family val="2"/>
      </rPr>
      <t>for the next week. **Since changing half of the plates to -E2 media, wash all 6 plates</t>
    </r>
    <r>
      <rPr>
        <b/>
        <sz val="12"/>
        <rFont val="Calibri"/>
        <family val="2"/>
      </rPr>
      <t xml:space="preserve"> TWICE</t>
    </r>
    <r>
      <rPr>
        <sz val="11"/>
        <rFont val="Calibri"/>
        <family val="2"/>
      </rPr>
      <t xml:space="preserve"> with PBS before dosing.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(Re-dose Monday)</t>
    </r>
  </si>
  <si>
    <r>
      <rPr>
        <b/>
        <sz val="11"/>
        <color indexed="8"/>
        <rFont val="Calibri"/>
        <family val="2"/>
      </rPr>
      <t>Thurs 10/17/2019</t>
    </r>
    <r>
      <rPr>
        <sz val="11"/>
        <color theme="1"/>
        <rFont val="Calibri"/>
        <family val="2"/>
        <scheme val="minor"/>
      </rPr>
      <t>, 45k cells plated on (8) 60mm dishes of MCF7f p82+12+15+24</t>
    </r>
  </si>
  <si>
    <t>Day 0 (10/18)</t>
  </si>
  <si>
    <t xml:space="preserve">Week 1 10/25) </t>
  </si>
  <si>
    <t>Week 2 (11/1)</t>
  </si>
  <si>
    <t>Week 3 (11/8)</t>
  </si>
  <si>
    <t>Week 4 (11/14)</t>
  </si>
  <si>
    <t>Day 0</t>
  </si>
  <si>
    <t xml:space="preserve"> +E2</t>
  </si>
  <si>
    <t>Day0</t>
  </si>
  <si>
    <t>Week1</t>
  </si>
  <si>
    <t>Week2</t>
  </si>
  <si>
    <t>Week3</t>
  </si>
  <si>
    <t>Week4</t>
  </si>
  <si>
    <t xml:space="preserve"> +E2 +250nM Palbo</t>
  </si>
  <si>
    <t>Alternating</t>
  </si>
  <si>
    <t>Week 1</t>
  </si>
  <si>
    <t xml:space="preserve"> +E2+Palbo 250nM #1</t>
  </si>
  <si>
    <t xml:space="preserve"> +E2+Palbo 250nM #2</t>
  </si>
  <si>
    <t xml:space="preserve"> +E2+Palbo 250nM #3</t>
  </si>
  <si>
    <t>Week 2</t>
  </si>
  <si>
    <r>
      <t xml:space="preserve"> +E2 +250nM Palbo</t>
    </r>
    <r>
      <rPr>
        <sz val="16"/>
        <color indexed="49"/>
        <rFont val="Calibri"/>
      </rPr>
      <t>-&gt;-E2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</si>
  <si>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#1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</si>
  <si>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#2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</si>
  <si>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</si>
  <si>
    <t>Week 3</t>
  </si>
  <si>
    <r>
      <t xml:space="preserve"> +E2 +250nM Palbo</t>
    </r>
    <r>
      <rPr>
        <sz val="16"/>
        <color indexed="49"/>
        <rFont val="Calibri"/>
      </rPr>
      <t>-&gt;-E2</t>
    </r>
    <r>
      <rPr>
        <sz val="16"/>
        <color indexed="10"/>
        <rFont val="Calibri"/>
        <family val="2"/>
      </rPr>
      <t>-&gt;+E2 +250nM Palbo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</si>
  <si>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10"/>
        <rFont val="Calibri"/>
      </rPr>
      <t>/+E2 +250nM Palbo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#1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</si>
  <si>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10"/>
        <rFont val="Calibri"/>
      </rPr>
      <t>/+E2 +250nM Palbo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#2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</si>
  <si>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10"/>
        <rFont val="Calibri"/>
      </rPr>
      <t>/+E2 +250nM Palbo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  <r>
      <rPr>
        <sz val="12"/>
        <color indexed="8"/>
        <rFont val="Calibri"/>
        <family val="2"/>
      </rPr>
      <t/>
    </r>
  </si>
  <si>
    <t>Week 4</t>
  </si>
  <si>
    <r>
      <t xml:space="preserve"> +E2 +250nM Palbo</t>
    </r>
    <r>
      <rPr>
        <sz val="16"/>
        <color indexed="49"/>
        <rFont val="Calibri"/>
      </rPr>
      <t>-&gt;-E2</t>
    </r>
    <r>
      <rPr>
        <sz val="16"/>
        <color indexed="10"/>
        <rFont val="Calibri"/>
        <family val="2"/>
      </rPr>
      <t>-&gt;+E2 +250nM Palbo</t>
    </r>
    <r>
      <rPr>
        <sz val="16"/>
        <color indexed="49"/>
        <rFont val="Calibri"/>
      </rPr>
      <t>-&gt;-E2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</si>
  <si>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10"/>
        <rFont val="Calibri"/>
      </rPr>
      <t>/+E2 +250nM Palbo</t>
    </r>
    <r>
      <rPr>
        <sz val="16"/>
        <color indexed="49"/>
        <rFont val="Calibri"/>
      </rPr>
      <t>-&gt;-E2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#1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</si>
  <si>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10"/>
        <rFont val="Calibri"/>
      </rPr>
      <t>/+E2 +250nM Palbo</t>
    </r>
    <r>
      <rPr>
        <sz val="16"/>
        <color indexed="49"/>
        <rFont val="Calibri"/>
      </rPr>
      <t>-&gt;-E2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#2</t>
    </r>
  </si>
  <si>
    <r>
      <rPr>
        <sz val="16"/>
        <color indexed="10"/>
        <rFont val="Calibri"/>
      </rPr>
      <t xml:space="preserve"> +E2 +250nM Palbo</t>
    </r>
    <r>
      <rPr>
        <sz val="16"/>
        <color indexed="49"/>
        <rFont val="Calibri"/>
      </rPr>
      <t>/</t>
    </r>
    <r>
      <rPr>
        <sz val="16"/>
        <color indexed="49"/>
        <rFont val="Calibri"/>
        <family val="2"/>
      </rPr>
      <t>-E2</t>
    </r>
    <r>
      <rPr>
        <sz val="16"/>
        <color indexed="10"/>
        <rFont val="Calibri"/>
      </rPr>
      <t>/+E2 +250nM Palbo</t>
    </r>
    <r>
      <rPr>
        <sz val="16"/>
        <color indexed="49"/>
        <rFont val="Calibri"/>
      </rPr>
      <t>-&gt;-E2</t>
    </r>
    <r>
      <rPr>
        <sz val="16"/>
        <color indexed="30"/>
        <rFont val="Calibri"/>
        <family val="2"/>
      </rPr>
      <t xml:space="preserve"> </t>
    </r>
    <r>
      <rPr>
        <sz val="16"/>
        <color indexed="8"/>
        <rFont val="Calibri"/>
      </rPr>
      <t>#3</t>
    </r>
  </si>
  <si>
    <t>Coulter Counter Counts: MCF7f  Alternating 250nM Palbo+E2(10nM)/-E2 4 weeks #3</t>
  </si>
  <si>
    <r>
      <rPr>
        <b/>
        <sz val="11"/>
        <color indexed="8"/>
        <rFont val="Calibri"/>
        <family val="2"/>
      </rPr>
      <t>Tues 11/19/2019</t>
    </r>
    <r>
      <rPr>
        <sz val="11"/>
        <color theme="1"/>
        <rFont val="Calibri"/>
        <family val="2"/>
        <scheme val="minor"/>
      </rPr>
      <t>, 45k cells plated on (8) 60mm dishes of MCF7f p82+12+15+24</t>
    </r>
  </si>
  <si>
    <r>
      <rPr>
        <b/>
        <sz val="11"/>
        <color indexed="8"/>
        <rFont val="Calibri"/>
        <family val="2"/>
      </rPr>
      <t>Wed 11/20/19</t>
    </r>
    <r>
      <rPr>
        <sz val="11"/>
        <color theme="1"/>
        <rFont val="Calibri"/>
        <family val="2"/>
        <scheme val="minor"/>
      </rPr>
      <t>, Count T=0 plate. Dose all remaining plates with</t>
    </r>
    <r>
      <rPr>
        <sz val="11"/>
        <color indexed="10"/>
        <rFont val="Calibri"/>
        <family val="2"/>
      </rPr>
      <t xml:space="preserve"> +E2+250nM Palbo.</t>
    </r>
    <r>
      <rPr>
        <b/>
        <sz val="11"/>
        <rFont val="Calibri"/>
        <family val="2"/>
      </rPr>
      <t xml:space="preserve"> (Re-dose Friday)</t>
    </r>
  </si>
  <si>
    <r>
      <rPr>
        <b/>
        <sz val="11"/>
        <color indexed="8"/>
        <rFont val="Calibri"/>
        <family val="2"/>
      </rPr>
      <t>Tues 11/26/19</t>
    </r>
    <r>
      <rPr>
        <sz val="11"/>
        <color theme="1"/>
        <rFont val="Calibri"/>
        <family val="2"/>
        <scheme val="minor"/>
      </rPr>
      <t>, Count 1 plate for</t>
    </r>
    <r>
      <rPr>
        <b/>
        <sz val="11"/>
        <color indexed="8"/>
        <rFont val="Calibri"/>
        <family val="2"/>
      </rPr>
      <t xml:space="preserve"> Week 1 (250nM Palbo+E2)</t>
    </r>
    <r>
      <rPr>
        <sz val="11"/>
        <color theme="1"/>
        <rFont val="Calibri"/>
        <family val="2"/>
        <scheme val="minor"/>
      </rPr>
      <t>. Continue to dose 3 of remaining plates with</t>
    </r>
    <r>
      <rPr>
        <sz val="11"/>
        <color indexed="10"/>
        <rFont val="Calibri"/>
        <family val="2"/>
      </rPr>
      <t xml:space="preserve"> 250nM Palbo+E2 (Constant set)</t>
    </r>
    <r>
      <rPr>
        <sz val="11"/>
        <color theme="1"/>
        <rFont val="Calibri"/>
        <family val="2"/>
        <scheme val="minor"/>
      </rPr>
      <t xml:space="preserve"> and dose/change last 3 plates with</t>
    </r>
    <r>
      <rPr>
        <sz val="11"/>
        <color indexed="30"/>
        <rFont val="Calibri"/>
        <family val="2"/>
      </rPr>
      <t xml:space="preserve"> -E2 (CCS only media) (Alternating set) </t>
    </r>
    <r>
      <rPr>
        <sz val="11"/>
        <rFont val="Calibri"/>
        <family val="2"/>
      </rPr>
      <t>for the next week. **Since changing half of the plates to -E2 media, wash all 6 plates</t>
    </r>
    <r>
      <rPr>
        <b/>
        <sz val="12"/>
        <rFont val="Calibri"/>
        <family val="2"/>
      </rPr>
      <t xml:space="preserve"> TWICE</t>
    </r>
    <r>
      <rPr>
        <sz val="11"/>
        <rFont val="Calibri"/>
        <family val="2"/>
      </rPr>
      <t xml:space="preserve"> with PBS before dosing.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</si>
  <si>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indexed="8"/>
        <rFont val="Calibri"/>
        <family val="2"/>
      </rPr>
      <t>Tues 12/3/19,</t>
    </r>
    <r>
      <rPr>
        <sz val="11"/>
        <color theme="1"/>
        <rFont val="Calibri"/>
        <family val="2"/>
        <scheme val="minor"/>
      </rPr>
      <t xml:space="preserve"> Count 1 plate from each set  for Week 2 (Constant and Alternating). Continue to dose 2 remaining constant plates with </t>
    </r>
    <r>
      <rPr>
        <sz val="11"/>
        <color indexed="10"/>
        <rFont val="Calibri"/>
        <family val="2"/>
      </rPr>
      <t xml:space="preserve">250nM Palbo+E2 </t>
    </r>
    <r>
      <rPr>
        <sz val="11"/>
        <color theme="1"/>
        <rFont val="Calibri"/>
        <family val="2"/>
        <scheme val="minor"/>
      </rPr>
      <t>and dose/change the 2 remaining alternating plates to</t>
    </r>
    <r>
      <rPr>
        <sz val="11"/>
        <color indexed="10"/>
        <rFont val="Calibri"/>
        <family val="2"/>
      </rPr>
      <t xml:space="preserve"> 250nM Palbo+E2 </t>
    </r>
    <r>
      <rPr>
        <sz val="11"/>
        <color theme="1"/>
        <rFont val="Calibri"/>
        <family val="2"/>
        <scheme val="minor"/>
      </rPr>
      <t xml:space="preserve">as well for the next week. </t>
    </r>
    <r>
      <rPr>
        <b/>
        <sz val="11"/>
        <color indexed="8"/>
        <rFont val="Calibri"/>
        <family val="2"/>
      </rPr>
      <t>(Re-dose Friday)</t>
    </r>
  </si>
  <si>
    <r>
      <rPr>
        <b/>
        <sz val="11"/>
        <color indexed="8"/>
        <rFont val="Calibri"/>
        <family val="2"/>
      </rPr>
      <t>Tues 12/10/19</t>
    </r>
    <r>
      <rPr>
        <sz val="11"/>
        <color theme="1"/>
        <rFont val="Calibri"/>
        <family val="2"/>
        <scheme val="minor"/>
      </rPr>
      <t xml:space="preserve">, Count 1 plate from each set for Week 3 (Constant and Alternating). Continue to dose 1 remaining constant plate with </t>
    </r>
    <r>
      <rPr>
        <sz val="11"/>
        <color indexed="10"/>
        <rFont val="Calibri"/>
        <family val="2"/>
      </rPr>
      <t xml:space="preserve">250nM Palbo+E2 </t>
    </r>
    <r>
      <rPr>
        <sz val="11"/>
        <color theme="1"/>
        <rFont val="Calibri"/>
        <family val="2"/>
        <scheme val="minor"/>
      </rPr>
      <t>and dose/change last plate with</t>
    </r>
    <r>
      <rPr>
        <sz val="11"/>
        <color indexed="30"/>
        <rFont val="Calibri"/>
        <family val="2"/>
      </rPr>
      <t xml:space="preserve"> -E2 (CCS only media) (Alternating set)</t>
    </r>
    <r>
      <rPr>
        <sz val="11"/>
        <color theme="1"/>
        <rFont val="Calibri"/>
        <family val="2"/>
        <scheme val="minor"/>
      </rPr>
      <t xml:space="preserve"> for the next week. **Since changing half of the plates to -E2 media, wash all 2 plate </t>
    </r>
    <r>
      <rPr>
        <b/>
        <sz val="12"/>
        <color indexed="8"/>
        <rFont val="Calibri"/>
        <family val="2"/>
      </rPr>
      <t>TWICE</t>
    </r>
    <r>
      <rPr>
        <sz val="11"/>
        <color theme="1"/>
        <rFont val="Calibri"/>
        <family val="2"/>
        <scheme val="minor"/>
      </rPr>
      <t xml:space="preserve"> with PBS before dosing. (Re-dose Friday)</t>
    </r>
  </si>
  <si>
    <r>
      <rPr>
        <b/>
        <sz val="11"/>
        <color indexed="8"/>
        <rFont val="Calibri"/>
        <family val="2"/>
      </rPr>
      <t>Tues 12/17/19,</t>
    </r>
    <r>
      <rPr>
        <sz val="11"/>
        <color theme="1"/>
        <rFont val="Calibri"/>
        <family val="2"/>
        <scheme val="minor"/>
      </rPr>
      <t xml:space="preserve"> Count both remaining plates for Week 4 (constant and alternating).</t>
    </r>
  </si>
  <si>
    <t>Day 0 (11/20)</t>
  </si>
  <si>
    <t xml:space="preserve">Week 1 11/26) </t>
  </si>
  <si>
    <t>Week 2 (12/3)</t>
  </si>
  <si>
    <r>
      <rPr>
        <b/>
        <sz val="12"/>
        <rFont val="Calibri"/>
        <family val="2"/>
      </rPr>
      <t xml:space="preserve">ALTERNATING: </t>
    </r>
    <r>
      <rPr>
        <b/>
        <sz val="12"/>
        <color indexed="10"/>
        <rFont val="Calibri"/>
        <family val="2"/>
      </rPr>
      <t xml:space="preserve">1 week 250nM Palbo+E2--&gt; </t>
    </r>
    <r>
      <rPr>
        <b/>
        <sz val="12"/>
        <color indexed="30"/>
        <rFont val="Calibri"/>
        <family val="2"/>
      </rPr>
      <t>1 week -E2</t>
    </r>
    <r>
      <rPr>
        <b/>
        <sz val="12"/>
        <color indexed="10"/>
        <rFont val="Calibri"/>
        <family val="2"/>
      </rPr>
      <t xml:space="preserve"> </t>
    </r>
  </si>
  <si>
    <t>Week 3 (12/10)</t>
  </si>
  <si>
    <t>Week 4 (12/17) *Used 3rd floor machine, 4th floor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</si>
</sst>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30"/>
      <name val="Calibri"/>
      <family val="2"/>
    </font>
    <font>
      <b/>
      <sz val="12"/>
      <color indexed="10"/>
      <name val="Calibri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8"/>
      <name val="Calibri"/>
      <family val="2"/>
    </font>
    <font>
      <sz val="16"/>
      <color indexed="10"/>
      <name val="Calibri"/>
      <family val="2"/>
    </font>
    <font>
      <sz val="16"/>
      <color indexed="49"/>
      <name val="Calibri"/>
    </font>
    <font>
      <sz val="16"/>
      <color indexed="30"/>
      <name val="Calibri"/>
      <family val="2"/>
    </font>
    <font>
      <sz val="16"/>
      <color indexed="10"/>
      <name val="Calibri"/>
    </font>
    <font>
      <sz val="16"/>
      <color indexed="49"/>
      <name val="Calibri"/>
      <family val="2"/>
    </font>
    <font>
      <sz val="16"/>
      <color indexed="8"/>
      <name val="Calibri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0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/>
    <xf numFmtId="0" fontId="18" fillId="0" borderId="0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21" fillId="0" borderId="0" xfId="0" applyNumberFormat="1" applyFont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1" xfId="0" applyFont="1" applyBorder="1" applyAlignment="1">
      <alignment horizontal="center" wrapText="1"/>
    </xf>
    <xf numFmtId="0" fontId="25" fillId="0" borderId="0" xfId="0" applyFont="1" applyBorder="1" applyAlignment="1">
      <alignment horizontal="center" wrapText="1"/>
    </xf>
    <xf numFmtId="0" fontId="26" fillId="0" borderId="1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Border="1" applyAlignment="1">
      <alignment horizontal="center"/>
    </xf>
    <xf numFmtId="164" fontId="25" fillId="0" borderId="0" xfId="0" applyNumberFormat="1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6" fillId="0" borderId="0" xfId="0" applyFont="1" applyAlignment="1">
      <alignment horizontal="center"/>
    </xf>
    <xf numFmtId="0" fontId="23" fillId="0" borderId="9" xfId="0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23" fillId="0" borderId="1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3" fillId="0" borderId="6" xfId="0" applyFont="1" applyBorder="1" applyAlignment="1">
      <alignment horizontal="center" wrapText="1"/>
    </xf>
    <xf numFmtId="0" fontId="23" fillId="0" borderId="7" xfId="0" applyFont="1" applyBorder="1" applyAlignment="1">
      <alignment horizontal="center" wrapText="1"/>
    </xf>
    <xf numFmtId="0" fontId="23" fillId="0" borderId="8" xfId="0" applyFont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6" fillId="0" borderId="0" xfId="0" applyFont="1" applyAlignment="1">
      <alignment horizontal="center"/>
    </xf>
    <xf numFmtId="0" fontId="3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90621%20MCF7%20+250nMPalbo,%20500nM%20ICI,%20-E2+100nMPalbo%203wee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190621%20MCF7%204week%20AlternatingConstant%20250nMPalbo+E2,%20-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1"/>
      <sheetName val="Sheet1"/>
    </sheetNames>
    <sheetDataSet>
      <sheetData sheetId="0">
        <row r="8">
          <cell r="B8">
            <v>38</v>
          </cell>
        </row>
        <row r="9">
          <cell r="B9">
            <v>36</v>
          </cell>
        </row>
        <row r="10">
          <cell r="B10">
            <v>43</v>
          </cell>
        </row>
        <row r="21">
          <cell r="B21">
            <v>205</v>
          </cell>
        </row>
        <row r="22">
          <cell r="B22">
            <v>187</v>
          </cell>
        </row>
        <row r="23">
          <cell r="B23">
            <v>177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1"/>
      <sheetName val="Sheet1"/>
    </sheetNames>
    <sheetDataSet>
      <sheetData sheetId="0">
        <row r="30">
          <cell r="B30">
            <v>997</v>
          </cell>
          <cell r="J30">
            <v>1528</v>
          </cell>
        </row>
        <row r="31">
          <cell r="B31">
            <v>986</v>
          </cell>
          <cell r="J31">
            <v>1563</v>
          </cell>
        </row>
        <row r="32">
          <cell r="B32">
            <v>979</v>
          </cell>
          <cell r="J32">
            <v>1528</v>
          </cell>
        </row>
        <row r="39">
          <cell r="B39">
            <v>2760</v>
          </cell>
          <cell r="J39">
            <v>3132</v>
          </cell>
        </row>
        <row r="40">
          <cell r="B40">
            <v>2491</v>
          </cell>
          <cell r="J40">
            <v>2985</v>
          </cell>
        </row>
        <row r="41">
          <cell r="B41">
            <v>2596</v>
          </cell>
          <cell r="J41">
            <v>2996</v>
          </cell>
        </row>
        <row r="48">
          <cell r="B48">
            <v>3482</v>
          </cell>
          <cell r="J48">
            <v>3844</v>
          </cell>
        </row>
        <row r="49">
          <cell r="B49">
            <v>4066</v>
          </cell>
          <cell r="J49">
            <v>4045</v>
          </cell>
        </row>
        <row r="50">
          <cell r="B50">
            <v>4017</v>
          </cell>
          <cell r="J50">
            <v>3997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opLeftCell="A11" workbookViewId="0">
      <selection activeCell="R46" sqref="R46"/>
    </sheetView>
  </sheetViews>
  <sheetFormatPr baseColWidth="10" defaultColWidth="8.83203125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6.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1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</cols>
  <sheetData>
    <row r="1" spans="1:26" ht="19" x14ac:dyDescent="0.25">
      <c r="A1" s="3" t="s">
        <v>14</v>
      </c>
    </row>
    <row r="2" spans="1:26" x14ac:dyDescent="0.2">
      <c r="A2" t="s">
        <v>15</v>
      </c>
    </row>
    <row r="3" spans="1:26" x14ac:dyDescent="0.2">
      <c r="A3" s="2" t="s">
        <v>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6" x14ac:dyDescent="0.2">
      <c r="A4" s="43" t="s">
        <v>17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3" t="s">
        <v>18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3" t="s">
        <v>19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4" t="s">
        <v>20</v>
      </c>
      <c r="B10" s="44"/>
      <c r="C10" s="44"/>
      <c r="D10" s="44"/>
      <c r="E10" s="44"/>
      <c r="F10" s="44"/>
      <c r="G10" s="44"/>
      <c r="H10" s="44"/>
      <c r="I10" s="24"/>
      <c r="J10" s="24"/>
      <c r="K10" s="24"/>
      <c r="L10" s="24"/>
      <c r="M10" s="24"/>
      <c r="N10" s="2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6" ht="19" x14ac:dyDescent="0.25">
      <c r="A12" s="48" t="s">
        <v>10</v>
      </c>
      <c r="B12" s="49"/>
      <c r="C12" s="49"/>
      <c r="D12" s="49"/>
      <c r="E12" s="49"/>
      <c r="F12" s="49"/>
      <c r="G12" s="50"/>
    </row>
    <row r="13" spans="1:26" ht="16" x14ac:dyDescent="0.2">
      <c r="A13" s="40" t="s">
        <v>21</v>
      </c>
      <c r="B13" s="41"/>
      <c r="C13" s="41"/>
      <c r="D13" s="41"/>
      <c r="E13" s="41"/>
      <c r="F13" s="41"/>
      <c r="G13" s="42"/>
    </row>
    <row r="14" spans="1:26" ht="32" x14ac:dyDescent="0.2">
      <c r="A14" s="4" t="s">
        <v>0</v>
      </c>
      <c r="B14" s="5" t="s">
        <v>4</v>
      </c>
      <c r="C14" s="5" t="s">
        <v>5</v>
      </c>
      <c r="D14" s="5" t="s">
        <v>6</v>
      </c>
      <c r="E14" s="5" t="s">
        <v>7</v>
      </c>
      <c r="F14" s="8" t="s">
        <v>8</v>
      </c>
      <c r="G14" s="6" t="s">
        <v>9</v>
      </c>
      <c r="H14" s="1"/>
      <c r="I14" s="1"/>
      <c r="J14" s="1"/>
      <c r="K14" s="1"/>
      <c r="L14" s="1"/>
      <c r="M14" s="1"/>
      <c r="N14" s="1"/>
      <c r="O14" s="1"/>
    </row>
    <row r="15" spans="1:26" x14ac:dyDescent="0.2">
      <c r="A15" s="13" t="s">
        <v>1</v>
      </c>
      <c r="B15" s="14">
        <v>38</v>
      </c>
      <c r="C15" s="15">
        <f>B15*400</f>
        <v>15200</v>
      </c>
      <c r="D15" s="14">
        <v>2.5</v>
      </c>
      <c r="E15" s="15">
        <f>C15*D15</f>
        <v>38000</v>
      </c>
      <c r="F15" s="16">
        <f>AVERAGE(E15:E17)</f>
        <v>39000</v>
      </c>
      <c r="G15" s="17">
        <f>_xlfn.STDEV.S(E15:E17)</f>
        <v>3605.5512754639894</v>
      </c>
      <c r="H15" s="1"/>
      <c r="I15" s="1"/>
      <c r="J15" s="1"/>
      <c r="K15" s="1"/>
      <c r="L15" s="1"/>
      <c r="M15" s="1"/>
      <c r="N15" s="1"/>
      <c r="O15" s="1"/>
    </row>
    <row r="16" spans="1:26" x14ac:dyDescent="0.2">
      <c r="A16" s="13" t="s">
        <v>2</v>
      </c>
      <c r="B16" s="14">
        <v>36</v>
      </c>
      <c r="C16" s="15">
        <f>B16*400</f>
        <v>14400</v>
      </c>
      <c r="D16" s="14">
        <v>2.5</v>
      </c>
      <c r="E16" s="15">
        <f>C16*D16</f>
        <v>36000</v>
      </c>
      <c r="F16" s="15"/>
      <c r="G16" s="18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9" t="s">
        <v>3</v>
      </c>
      <c r="B17" s="20">
        <v>43</v>
      </c>
      <c r="C17" s="21">
        <f>B17*400</f>
        <v>17200</v>
      </c>
      <c r="D17" s="20">
        <v>2.5</v>
      </c>
      <c r="E17" s="21">
        <f>C17*D17</f>
        <v>43000</v>
      </c>
      <c r="F17" s="21"/>
      <c r="G17" s="22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9" x14ac:dyDescent="0.25">
      <c r="A19" s="45" t="s">
        <v>11</v>
      </c>
      <c r="B19" s="46"/>
      <c r="C19" s="46"/>
      <c r="D19" s="46"/>
      <c r="E19" s="46"/>
      <c r="F19" s="46"/>
      <c r="G19" s="47"/>
    </row>
    <row r="20" spans="1:15" ht="16" x14ac:dyDescent="0.2">
      <c r="A20" s="40" t="s">
        <v>22</v>
      </c>
      <c r="B20" s="41"/>
      <c r="C20" s="41"/>
      <c r="D20" s="41"/>
      <c r="E20" s="41"/>
      <c r="F20" s="41"/>
      <c r="G20" s="42"/>
    </row>
    <row r="21" spans="1:15" ht="32" x14ac:dyDescent="0.2">
      <c r="A21" s="9" t="s">
        <v>0</v>
      </c>
      <c r="B21" s="10" t="s">
        <v>4</v>
      </c>
      <c r="C21" s="10" t="s">
        <v>5</v>
      </c>
      <c r="D21" s="10" t="s">
        <v>6</v>
      </c>
      <c r="E21" s="10" t="s">
        <v>7</v>
      </c>
      <c r="F21" s="11" t="s">
        <v>8</v>
      </c>
      <c r="G21" s="12" t="s">
        <v>9</v>
      </c>
    </row>
    <row r="22" spans="1:15" x14ac:dyDescent="0.2">
      <c r="A22" s="13" t="s">
        <v>31</v>
      </c>
      <c r="B22" s="14">
        <v>205</v>
      </c>
      <c r="C22" s="15">
        <f>B22*400</f>
        <v>82000</v>
      </c>
      <c r="D22" s="14">
        <v>2.5</v>
      </c>
      <c r="E22" s="15">
        <f>C22*D22</f>
        <v>205000</v>
      </c>
      <c r="F22" s="16">
        <f>AVERAGE(E22:E24)</f>
        <v>189666.66666666666</v>
      </c>
      <c r="G22" s="17">
        <f>_xlfn.STDEV.S(E22:E24)</f>
        <v>14189.197769195174</v>
      </c>
    </row>
    <row r="23" spans="1:15" x14ac:dyDescent="0.2">
      <c r="A23" s="13" t="s">
        <v>32</v>
      </c>
      <c r="B23" s="14">
        <v>187</v>
      </c>
      <c r="C23" s="15">
        <f>B23*400</f>
        <v>74800</v>
      </c>
      <c r="D23" s="14">
        <v>2.5</v>
      </c>
      <c r="E23" s="15">
        <f>C23*D23</f>
        <v>187000</v>
      </c>
      <c r="F23" s="15"/>
      <c r="G23" s="18"/>
    </row>
    <row r="24" spans="1:15" x14ac:dyDescent="0.2">
      <c r="A24" s="19" t="s">
        <v>33</v>
      </c>
      <c r="B24" s="20">
        <v>177</v>
      </c>
      <c r="C24" s="21">
        <f>B24*400</f>
        <v>70800</v>
      </c>
      <c r="D24" s="20">
        <v>2.5</v>
      </c>
      <c r="E24" s="21">
        <f>C24*D24</f>
        <v>177000</v>
      </c>
      <c r="F24" s="21"/>
      <c r="G24" s="22"/>
    </row>
    <row r="25" spans="1:15" x14ac:dyDescent="0.2">
      <c r="A25" s="13"/>
      <c r="B25" s="14"/>
      <c r="C25" s="15"/>
      <c r="D25" s="14"/>
      <c r="E25" s="15"/>
      <c r="F25" s="15"/>
      <c r="G25" s="15"/>
      <c r="H25" s="23"/>
      <c r="I25" s="14"/>
      <c r="J25" s="15"/>
      <c r="K25" s="14"/>
      <c r="L25" s="15"/>
      <c r="M25" s="15"/>
      <c r="N25" s="15"/>
      <c r="O25" s="7"/>
    </row>
    <row r="26" spans="1:15" x14ac:dyDescent="0.2">
      <c r="A26" s="13"/>
      <c r="B26" s="14"/>
      <c r="C26" s="15"/>
      <c r="D26" s="14"/>
      <c r="E26" s="15"/>
      <c r="F26" s="15"/>
      <c r="G26" s="15"/>
    </row>
    <row r="27" spans="1:15" ht="19" x14ac:dyDescent="0.25">
      <c r="A27" s="45" t="s">
        <v>13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6" x14ac:dyDescent="0.2">
      <c r="A28" s="51" t="s">
        <v>23</v>
      </c>
      <c r="B28" s="52"/>
      <c r="C28" s="52"/>
      <c r="D28" s="52"/>
      <c r="E28" s="52"/>
      <c r="F28" s="52"/>
      <c r="G28" s="53"/>
      <c r="H28" s="14"/>
      <c r="I28" s="57" t="s">
        <v>39</v>
      </c>
      <c r="J28" s="58"/>
      <c r="K28" s="58"/>
      <c r="L28" s="58"/>
      <c r="M28" s="58"/>
      <c r="N28" s="58"/>
      <c r="O28" s="59"/>
    </row>
    <row r="29" spans="1:15" ht="32" x14ac:dyDescent="0.2">
      <c r="A29" s="9" t="s">
        <v>0</v>
      </c>
      <c r="B29" s="10" t="s">
        <v>4</v>
      </c>
      <c r="C29" s="10" t="s">
        <v>5</v>
      </c>
      <c r="D29" s="10" t="s">
        <v>6</v>
      </c>
      <c r="E29" s="10" t="s">
        <v>7</v>
      </c>
      <c r="F29" s="11" t="s">
        <v>8</v>
      </c>
      <c r="G29" s="12" t="s">
        <v>9</v>
      </c>
      <c r="H29" s="14"/>
      <c r="I29" s="9" t="s">
        <v>0</v>
      </c>
      <c r="J29" s="10" t="s">
        <v>4</v>
      </c>
      <c r="K29" s="10" t="s">
        <v>5</v>
      </c>
      <c r="L29" s="10" t="s">
        <v>6</v>
      </c>
      <c r="M29" s="10" t="s">
        <v>7</v>
      </c>
      <c r="N29" s="11" t="s">
        <v>8</v>
      </c>
      <c r="O29" s="12" t="s">
        <v>9</v>
      </c>
    </row>
    <row r="30" spans="1:15" x14ac:dyDescent="0.2">
      <c r="A30" s="13" t="s">
        <v>31</v>
      </c>
      <c r="B30" s="14">
        <v>997</v>
      </c>
      <c r="C30" s="15">
        <f>B30*400</f>
        <v>398800</v>
      </c>
      <c r="D30" s="14">
        <v>2.5</v>
      </c>
      <c r="E30" s="15">
        <f>C30*D30</f>
        <v>997000</v>
      </c>
      <c r="F30" s="16">
        <f>AVERAGE(E30:E32)</f>
        <v>987333.33333333337</v>
      </c>
      <c r="G30" s="17">
        <f>_xlfn.STDEV.S(E30:E32)</f>
        <v>9073.7717258774665</v>
      </c>
      <c r="H30" s="14"/>
      <c r="I30" s="13" t="s">
        <v>25</v>
      </c>
      <c r="J30" s="14">
        <v>1528</v>
      </c>
      <c r="K30" s="15">
        <f>J30*400</f>
        <v>611200</v>
      </c>
      <c r="L30" s="14">
        <v>2.5</v>
      </c>
      <c r="M30" s="15">
        <f>K30*L30</f>
        <v>1528000</v>
      </c>
      <c r="N30" s="16">
        <f>AVERAGE(M30:M32)</f>
        <v>1539666.6666666667</v>
      </c>
      <c r="O30" s="17">
        <f>_xlfn.STDEV.S(K30:K32)</f>
        <v>8082.9037686547608</v>
      </c>
    </row>
    <row r="31" spans="1:15" x14ac:dyDescent="0.2">
      <c r="A31" s="13" t="s">
        <v>32</v>
      </c>
      <c r="B31" s="14">
        <v>986</v>
      </c>
      <c r="C31" s="15">
        <f>B31*400</f>
        <v>394400</v>
      </c>
      <c r="D31" s="14">
        <v>2.5</v>
      </c>
      <c r="E31" s="15">
        <f>C31*D31</f>
        <v>986000</v>
      </c>
      <c r="F31" s="15"/>
      <c r="G31" s="18"/>
      <c r="H31" s="14"/>
      <c r="I31" s="13" t="s">
        <v>26</v>
      </c>
      <c r="J31" s="14">
        <v>1563</v>
      </c>
      <c r="K31" s="15">
        <f>J31*400</f>
        <v>625200</v>
      </c>
      <c r="L31" s="14">
        <v>2.5</v>
      </c>
      <c r="M31" s="15">
        <f>K31*L31</f>
        <v>1563000</v>
      </c>
      <c r="N31" s="15"/>
      <c r="O31" s="18"/>
    </row>
    <row r="32" spans="1:15" x14ac:dyDescent="0.2">
      <c r="A32" s="19" t="s">
        <v>33</v>
      </c>
      <c r="B32" s="20">
        <v>979</v>
      </c>
      <c r="C32" s="21">
        <f>B32*400</f>
        <v>391600</v>
      </c>
      <c r="D32" s="20">
        <v>2.5</v>
      </c>
      <c r="E32" s="21">
        <f>C32*D32</f>
        <v>979000</v>
      </c>
      <c r="F32" s="21"/>
      <c r="G32" s="22"/>
      <c r="H32" s="20"/>
      <c r="I32" s="19" t="s">
        <v>27</v>
      </c>
      <c r="J32" s="20">
        <v>1528</v>
      </c>
      <c r="K32" s="21">
        <f>J32*400</f>
        <v>611200</v>
      </c>
      <c r="L32" s="20">
        <v>2.5</v>
      </c>
      <c r="M32" s="21">
        <f>K32*L32</f>
        <v>1528000</v>
      </c>
      <c r="N32" s="21"/>
      <c r="O32" s="22"/>
    </row>
    <row r="33" spans="1:16" x14ac:dyDescent="0.2">
      <c r="A33" s="13"/>
      <c r="B33" s="14"/>
      <c r="C33" s="15"/>
      <c r="D33" s="14"/>
      <c r="E33" s="15"/>
      <c r="F33" s="15"/>
      <c r="G33" s="15"/>
      <c r="H33" s="14"/>
      <c r="I33" s="23"/>
      <c r="J33" s="14"/>
      <c r="K33" s="15"/>
      <c r="L33" s="14"/>
      <c r="M33" s="15"/>
      <c r="N33" s="15"/>
      <c r="O33" s="15"/>
      <c r="P33" s="7"/>
    </row>
    <row r="34" spans="1:16" x14ac:dyDescent="0.2">
      <c r="A34" s="23"/>
      <c r="B34" s="14"/>
      <c r="C34" s="15"/>
      <c r="D34" s="14"/>
      <c r="E34" s="15"/>
      <c r="F34" s="15"/>
      <c r="G34" s="15"/>
      <c r="H34" s="14"/>
      <c r="I34" s="23"/>
      <c r="J34" s="14"/>
      <c r="K34" s="15"/>
      <c r="L34" s="14"/>
      <c r="M34" s="15"/>
      <c r="N34" s="15"/>
      <c r="O34" s="15"/>
    </row>
    <row r="35" spans="1:16" ht="15.75" customHeight="1" x14ac:dyDescent="0.2">
      <c r="A35" s="13"/>
      <c r="B35" s="14"/>
      <c r="C35" s="15"/>
      <c r="D35" s="14"/>
      <c r="E35" s="15"/>
      <c r="F35" s="15"/>
      <c r="G35" s="15"/>
      <c r="H35" s="14"/>
      <c r="I35" s="23"/>
      <c r="J35" s="14"/>
      <c r="K35" s="15"/>
      <c r="L35" s="14"/>
      <c r="M35" s="15"/>
      <c r="N35" s="15"/>
      <c r="O35" s="15"/>
      <c r="P35" s="7"/>
    </row>
    <row r="36" spans="1:16" ht="19" x14ac:dyDescent="0.25">
      <c r="A36" s="45" t="s">
        <v>12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7"/>
    </row>
    <row r="37" spans="1:16" ht="15.75" customHeight="1" x14ac:dyDescent="0.2">
      <c r="A37" s="51" t="s">
        <v>23</v>
      </c>
      <c r="B37" s="52"/>
      <c r="C37" s="52"/>
      <c r="D37" s="52"/>
      <c r="E37" s="52"/>
      <c r="F37" s="52"/>
      <c r="G37" s="53"/>
      <c r="H37" s="14"/>
      <c r="I37" s="54" t="s">
        <v>24</v>
      </c>
      <c r="J37" s="55"/>
      <c r="K37" s="55"/>
      <c r="L37" s="55"/>
      <c r="M37" s="55"/>
      <c r="N37" s="55"/>
      <c r="O37" s="56"/>
    </row>
    <row r="38" spans="1:16" ht="32" x14ac:dyDescent="0.2">
      <c r="A38" s="9" t="s">
        <v>0</v>
      </c>
      <c r="B38" s="10" t="s">
        <v>4</v>
      </c>
      <c r="C38" s="10" t="s">
        <v>5</v>
      </c>
      <c r="D38" s="10" t="s">
        <v>6</v>
      </c>
      <c r="E38" s="10" t="s">
        <v>7</v>
      </c>
      <c r="F38" s="11" t="s">
        <v>8</v>
      </c>
      <c r="G38" s="12" t="s">
        <v>9</v>
      </c>
      <c r="H38" s="14"/>
      <c r="I38" s="9" t="s">
        <v>0</v>
      </c>
      <c r="J38" s="10" t="s">
        <v>4</v>
      </c>
      <c r="K38" s="10" t="s">
        <v>5</v>
      </c>
      <c r="L38" s="10" t="s">
        <v>6</v>
      </c>
      <c r="M38" s="10" t="s">
        <v>7</v>
      </c>
      <c r="N38" s="11" t="s">
        <v>8</v>
      </c>
      <c r="O38" s="12" t="s">
        <v>9</v>
      </c>
    </row>
    <row r="39" spans="1:16" x14ac:dyDescent="0.2">
      <c r="A39" s="13" t="s">
        <v>31</v>
      </c>
      <c r="B39" s="14">
        <v>2760</v>
      </c>
      <c r="C39" s="15">
        <f>B39*400</f>
        <v>1104000</v>
      </c>
      <c r="D39" s="14">
        <v>2.5</v>
      </c>
      <c r="E39" s="15">
        <f>C39*D39</f>
        <v>2760000</v>
      </c>
      <c r="F39" s="16">
        <f>AVERAGE(E39:E41)</f>
        <v>2615666.6666666665</v>
      </c>
      <c r="G39" s="17">
        <f>_xlfn.STDEV.S(E39:E41)</f>
        <v>135574.08798636019</v>
      </c>
      <c r="H39" s="14"/>
      <c r="I39" s="13" t="s">
        <v>28</v>
      </c>
      <c r="J39" s="14">
        <v>3132</v>
      </c>
      <c r="K39" s="15">
        <f>J39*400</f>
        <v>1252800</v>
      </c>
      <c r="L39" s="14">
        <v>2.5</v>
      </c>
      <c r="M39" s="15">
        <f>K39*L39</f>
        <v>3132000</v>
      </c>
      <c r="N39" s="16">
        <f>AVERAGE(M39:M41)</f>
        <v>3037666.6666666665</v>
      </c>
      <c r="O39" s="17">
        <f>_xlfn.STDEV.S(K39:K41)</f>
        <v>32751.997394561044</v>
      </c>
    </row>
    <row r="40" spans="1:16" x14ac:dyDescent="0.2">
      <c r="A40" s="13" t="s">
        <v>32</v>
      </c>
      <c r="B40" s="14">
        <v>2491</v>
      </c>
      <c r="C40" s="15">
        <f>B40*400</f>
        <v>996400</v>
      </c>
      <c r="D40" s="14">
        <v>2.5</v>
      </c>
      <c r="E40" s="15">
        <f>C40*D40</f>
        <v>2491000</v>
      </c>
      <c r="F40" s="15"/>
      <c r="G40" s="18"/>
      <c r="H40" s="14"/>
      <c r="I40" s="13" t="s">
        <v>29</v>
      </c>
      <c r="J40" s="14">
        <v>2985</v>
      </c>
      <c r="K40" s="15">
        <f>J40*400</f>
        <v>1194000</v>
      </c>
      <c r="L40" s="14">
        <v>2.5</v>
      </c>
      <c r="M40" s="15">
        <f>K40*L40</f>
        <v>2985000</v>
      </c>
      <c r="N40" s="15"/>
      <c r="O40" s="18"/>
    </row>
    <row r="41" spans="1:16" x14ac:dyDescent="0.2">
      <c r="A41" s="19" t="s">
        <v>33</v>
      </c>
      <c r="B41" s="20">
        <v>2596</v>
      </c>
      <c r="C41" s="21">
        <f>B41*400</f>
        <v>1038400</v>
      </c>
      <c r="D41" s="20">
        <v>2.5</v>
      </c>
      <c r="E41" s="21">
        <f>C41*D41</f>
        <v>2596000</v>
      </c>
      <c r="F41" s="21"/>
      <c r="G41" s="22"/>
      <c r="H41" s="20"/>
      <c r="I41" s="19" t="s">
        <v>30</v>
      </c>
      <c r="J41" s="20">
        <v>2996</v>
      </c>
      <c r="K41" s="21">
        <f>J41*400</f>
        <v>1198400</v>
      </c>
      <c r="L41" s="20">
        <v>2.5</v>
      </c>
      <c r="M41" s="21">
        <f>K41*L41</f>
        <v>2996000</v>
      </c>
      <c r="N41" s="21"/>
      <c r="O41" s="22"/>
    </row>
    <row r="42" spans="1:16" ht="15.75" customHeight="1" x14ac:dyDescent="0.2">
      <c r="A42" s="13"/>
      <c r="B42" s="14"/>
      <c r="C42" s="15"/>
      <c r="D42" s="14"/>
      <c r="E42" s="15"/>
      <c r="F42" s="15"/>
      <c r="G42" s="15"/>
      <c r="H42" s="14"/>
      <c r="I42" s="23"/>
      <c r="J42" s="14"/>
      <c r="K42" s="15"/>
      <c r="L42" s="14"/>
      <c r="M42" s="15"/>
      <c r="N42" s="15"/>
      <c r="O42" s="15"/>
      <c r="P42" s="7"/>
    </row>
    <row r="45" spans="1:16" ht="19" x14ac:dyDescent="0.25">
      <c r="A45" s="45" t="s">
        <v>34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7"/>
    </row>
    <row r="46" spans="1:16" ht="16" x14ac:dyDescent="0.2">
      <c r="A46" s="51" t="s">
        <v>23</v>
      </c>
      <c r="B46" s="52"/>
      <c r="C46" s="52"/>
      <c r="D46" s="52"/>
      <c r="E46" s="52"/>
      <c r="F46" s="52"/>
      <c r="G46" s="53"/>
      <c r="H46" s="14"/>
      <c r="I46" s="54" t="s">
        <v>35</v>
      </c>
      <c r="J46" s="55"/>
      <c r="K46" s="55"/>
      <c r="L46" s="55"/>
      <c r="M46" s="55"/>
      <c r="N46" s="55"/>
      <c r="O46" s="56"/>
    </row>
    <row r="47" spans="1:16" ht="32" x14ac:dyDescent="0.2">
      <c r="A47" s="9" t="s">
        <v>0</v>
      </c>
      <c r="B47" s="10" t="s">
        <v>4</v>
      </c>
      <c r="C47" s="10" t="s">
        <v>5</v>
      </c>
      <c r="D47" s="10" t="s">
        <v>6</v>
      </c>
      <c r="E47" s="10" t="s">
        <v>7</v>
      </c>
      <c r="F47" s="11" t="s">
        <v>8</v>
      </c>
      <c r="G47" s="12" t="s">
        <v>9</v>
      </c>
      <c r="H47" s="14"/>
      <c r="I47" s="9" t="s">
        <v>0</v>
      </c>
      <c r="J47" s="10" t="s">
        <v>4</v>
      </c>
      <c r="K47" s="10" t="s">
        <v>5</v>
      </c>
      <c r="L47" s="10" t="s">
        <v>6</v>
      </c>
      <c r="M47" s="10" t="s">
        <v>7</v>
      </c>
      <c r="N47" s="11" t="s">
        <v>8</v>
      </c>
      <c r="O47" s="12" t="s">
        <v>9</v>
      </c>
    </row>
    <row r="48" spans="1:16" x14ac:dyDescent="0.2">
      <c r="A48" s="13" t="s">
        <v>31</v>
      </c>
      <c r="B48" s="14">
        <v>3482</v>
      </c>
      <c r="C48" s="15">
        <f>B48*400</f>
        <v>1392800</v>
      </c>
      <c r="D48" s="14">
        <v>2.5</v>
      </c>
      <c r="E48" s="15">
        <f>C48*D48</f>
        <v>3482000</v>
      </c>
      <c r="F48" s="16">
        <f>AVERAGE(E48:E50)</f>
        <v>3855000</v>
      </c>
      <c r="G48" s="17">
        <f>_xlfn.STDEV.S(E48:E50)</f>
        <v>323955.24382235273</v>
      </c>
      <c r="H48" s="14"/>
      <c r="I48" s="13" t="s">
        <v>36</v>
      </c>
      <c r="J48" s="14">
        <v>3844</v>
      </c>
      <c r="K48" s="15">
        <f>J48*400</f>
        <v>1537600</v>
      </c>
      <c r="L48" s="14">
        <v>2.5</v>
      </c>
      <c r="M48" s="15">
        <f>K48*L48</f>
        <v>3844000</v>
      </c>
      <c r="N48" s="16">
        <f>AVERAGE(M48:M50)</f>
        <v>3962000</v>
      </c>
      <c r="O48" s="17">
        <f>_xlfn.STDEV.S(K48:K50)</f>
        <v>41988.5698732405</v>
      </c>
    </row>
    <row r="49" spans="1:22" x14ac:dyDescent="0.2">
      <c r="A49" s="13" t="s">
        <v>32</v>
      </c>
      <c r="B49" s="14">
        <v>4066</v>
      </c>
      <c r="C49" s="15">
        <f>B49*400</f>
        <v>1626400</v>
      </c>
      <c r="D49" s="14">
        <v>2.5</v>
      </c>
      <c r="E49" s="15">
        <f>C49*D49</f>
        <v>4066000</v>
      </c>
      <c r="F49" s="15"/>
      <c r="G49" s="18"/>
      <c r="H49" s="14"/>
      <c r="I49" s="13" t="s">
        <v>37</v>
      </c>
      <c r="J49" s="14">
        <v>4045</v>
      </c>
      <c r="K49" s="15">
        <f>J49*400</f>
        <v>1618000</v>
      </c>
      <c r="L49" s="14">
        <v>2.5</v>
      </c>
      <c r="M49" s="15">
        <f>K49*L49</f>
        <v>4045000</v>
      </c>
      <c r="N49" s="15"/>
      <c r="O49" s="18"/>
    </row>
    <row r="50" spans="1:22" x14ac:dyDescent="0.2">
      <c r="A50" s="19" t="s">
        <v>33</v>
      </c>
      <c r="B50" s="20">
        <v>4017</v>
      </c>
      <c r="C50" s="21">
        <f>B50*400</f>
        <v>1606800</v>
      </c>
      <c r="D50" s="20">
        <v>2.5</v>
      </c>
      <c r="E50" s="21">
        <f>C50*D50</f>
        <v>4017000</v>
      </c>
      <c r="F50" s="21"/>
      <c r="G50" s="22"/>
      <c r="H50" s="20"/>
      <c r="I50" s="19" t="s">
        <v>38</v>
      </c>
      <c r="J50" s="20">
        <v>3997</v>
      </c>
      <c r="K50" s="21">
        <f>J50*400</f>
        <v>1598800</v>
      </c>
      <c r="L50" s="20">
        <v>2.5</v>
      </c>
      <c r="M50" s="21">
        <f>K50*L50</f>
        <v>3997000</v>
      </c>
      <c r="N50" s="21"/>
      <c r="O50" s="22"/>
      <c r="P50" s="23"/>
      <c r="Q50" s="14"/>
      <c r="R50" s="15"/>
      <c r="S50" s="14"/>
      <c r="T50" s="15"/>
      <c r="U50" s="15"/>
      <c r="V50" s="15"/>
    </row>
    <row r="51" spans="1:22" x14ac:dyDescent="0.2">
      <c r="B51" s="26"/>
    </row>
    <row r="57" spans="1:22" ht="15.75" customHeight="1" x14ac:dyDescent="0.2"/>
  </sheetData>
  <mergeCells count="17">
    <mergeCell ref="A45:O45"/>
    <mergeCell ref="A46:G46"/>
    <mergeCell ref="I46:O46"/>
    <mergeCell ref="A27:O27"/>
    <mergeCell ref="A28:G28"/>
    <mergeCell ref="A36:O36"/>
    <mergeCell ref="A37:G37"/>
    <mergeCell ref="I37:O37"/>
    <mergeCell ref="I28:O28"/>
    <mergeCell ref="A20:G20"/>
    <mergeCell ref="A4:N5"/>
    <mergeCell ref="A6:N7"/>
    <mergeCell ref="A8:N9"/>
    <mergeCell ref="A10:H10"/>
    <mergeCell ref="A19:G19"/>
    <mergeCell ref="A12:G12"/>
    <mergeCell ref="A13:G1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7"/>
  <sheetViews>
    <sheetView topLeftCell="A13" workbookViewId="0">
      <selection activeCell="J51" sqref="J51"/>
    </sheetView>
  </sheetViews>
  <sheetFormatPr baseColWidth="10" defaultColWidth="8.83203125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6.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1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</cols>
  <sheetData>
    <row r="1" spans="1:26" ht="19" x14ac:dyDescent="0.25">
      <c r="A1" s="3" t="s">
        <v>40</v>
      </c>
    </row>
    <row r="2" spans="1:26" x14ac:dyDescent="0.2">
      <c r="A2" t="s">
        <v>46</v>
      </c>
    </row>
    <row r="3" spans="1:26" x14ac:dyDescent="0.2">
      <c r="A3" s="2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6" x14ac:dyDescent="0.2">
      <c r="A4" s="43" t="s">
        <v>45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3" t="s">
        <v>42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3" t="s">
        <v>44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4" t="s">
        <v>43</v>
      </c>
      <c r="B10" s="44"/>
      <c r="C10" s="44"/>
      <c r="D10" s="44"/>
      <c r="E10" s="44"/>
      <c r="F10" s="44"/>
      <c r="G10" s="44"/>
      <c r="H10" s="44"/>
      <c r="I10" s="25"/>
      <c r="J10" s="25"/>
      <c r="K10" s="25"/>
      <c r="L10" s="25"/>
      <c r="M10" s="25"/>
      <c r="N10" s="2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6" ht="19" x14ac:dyDescent="0.25">
      <c r="A12" s="48" t="s">
        <v>47</v>
      </c>
      <c r="B12" s="49"/>
      <c r="C12" s="49"/>
      <c r="D12" s="49"/>
      <c r="E12" s="49"/>
      <c r="F12" s="49"/>
      <c r="G12" s="50"/>
    </row>
    <row r="13" spans="1:26" ht="16" x14ac:dyDescent="0.2">
      <c r="A13" s="40" t="s">
        <v>21</v>
      </c>
      <c r="B13" s="41"/>
      <c r="C13" s="41"/>
      <c r="D13" s="41"/>
      <c r="E13" s="41"/>
      <c r="F13" s="41"/>
      <c r="G13" s="42"/>
    </row>
    <row r="14" spans="1:26" ht="32" x14ac:dyDescent="0.2">
      <c r="A14" s="4" t="s">
        <v>0</v>
      </c>
      <c r="B14" s="5" t="s">
        <v>4</v>
      </c>
      <c r="C14" s="5" t="s">
        <v>5</v>
      </c>
      <c r="D14" s="5" t="s">
        <v>6</v>
      </c>
      <c r="E14" s="5" t="s">
        <v>7</v>
      </c>
      <c r="F14" s="8" t="s">
        <v>8</v>
      </c>
      <c r="G14" s="6" t="s">
        <v>9</v>
      </c>
      <c r="H14" s="1"/>
      <c r="I14" s="1"/>
      <c r="J14" s="1"/>
      <c r="K14" s="1"/>
      <c r="L14" s="1"/>
      <c r="M14" s="1"/>
      <c r="N14" s="1"/>
      <c r="O14" s="1"/>
    </row>
    <row r="15" spans="1:26" x14ac:dyDescent="0.2">
      <c r="A15" s="13" t="s">
        <v>1</v>
      </c>
      <c r="B15" s="14">
        <v>40</v>
      </c>
      <c r="C15" s="15">
        <f>B15*400</f>
        <v>16000</v>
      </c>
      <c r="D15" s="14">
        <v>2.5</v>
      </c>
      <c r="E15" s="15">
        <f>C15*D15</f>
        <v>40000</v>
      </c>
      <c r="F15" s="16">
        <f>AVERAGE(E15:E17)</f>
        <v>42333.333333333336</v>
      </c>
      <c r="G15" s="17">
        <f>_xlfn.STDEV.S(E15:E17)</f>
        <v>8736.8949480541141</v>
      </c>
      <c r="H15" s="1"/>
      <c r="I15" s="1"/>
      <c r="J15" s="1"/>
      <c r="K15" s="1"/>
      <c r="L15" s="1"/>
      <c r="M15" s="1"/>
      <c r="N15" s="1"/>
      <c r="O15" s="1"/>
    </row>
    <row r="16" spans="1:26" x14ac:dyDescent="0.2">
      <c r="A16" s="13" t="s">
        <v>2</v>
      </c>
      <c r="B16" s="14">
        <v>35</v>
      </c>
      <c r="C16" s="15">
        <f>B16*400</f>
        <v>14000</v>
      </c>
      <c r="D16" s="14">
        <v>2.5</v>
      </c>
      <c r="E16" s="15">
        <f>C16*D16</f>
        <v>35000</v>
      </c>
      <c r="F16" s="15"/>
      <c r="G16" s="18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9" t="s">
        <v>3</v>
      </c>
      <c r="B17" s="20">
        <v>52</v>
      </c>
      <c r="C17" s="21">
        <f>B17*400</f>
        <v>20800</v>
      </c>
      <c r="D17" s="20">
        <v>2.5</v>
      </c>
      <c r="E17" s="21">
        <f>C17*D17</f>
        <v>52000</v>
      </c>
      <c r="F17" s="21"/>
      <c r="G17" s="22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9" x14ac:dyDescent="0.25">
      <c r="A19" s="45" t="s">
        <v>48</v>
      </c>
      <c r="B19" s="46"/>
      <c r="C19" s="46"/>
      <c r="D19" s="46"/>
      <c r="E19" s="46"/>
      <c r="F19" s="46"/>
      <c r="G19" s="47"/>
    </row>
    <row r="20" spans="1:15" ht="16" x14ac:dyDescent="0.2">
      <c r="A20" s="40" t="s">
        <v>22</v>
      </c>
      <c r="B20" s="41"/>
      <c r="C20" s="41"/>
      <c r="D20" s="41"/>
      <c r="E20" s="41"/>
      <c r="F20" s="41"/>
      <c r="G20" s="42"/>
    </row>
    <row r="21" spans="1:15" ht="32" x14ac:dyDescent="0.2">
      <c r="A21" s="9" t="s">
        <v>0</v>
      </c>
      <c r="B21" s="10" t="s">
        <v>4</v>
      </c>
      <c r="C21" s="10" t="s">
        <v>5</v>
      </c>
      <c r="D21" s="10" t="s">
        <v>6</v>
      </c>
      <c r="E21" s="10" t="s">
        <v>7</v>
      </c>
      <c r="F21" s="11" t="s">
        <v>8</v>
      </c>
      <c r="G21" s="12" t="s">
        <v>9</v>
      </c>
    </row>
    <row r="22" spans="1:15" x14ac:dyDescent="0.2">
      <c r="A22" s="13" t="s">
        <v>31</v>
      </c>
      <c r="B22" s="14">
        <v>130</v>
      </c>
      <c r="C22" s="15">
        <f>B22*400</f>
        <v>52000</v>
      </c>
      <c r="D22" s="14">
        <v>2.5</v>
      </c>
      <c r="E22" s="15">
        <f>C22*D22</f>
        <v>130000</v>
      </c>
      <c r="F22" s="16">
        <f>AVERAGE(E22:E24)</f>
        <v>129000</v>
      </c>
      <c r="G22" s="17">
        <f>_xlfn.STDEV.S(E22:E24)</f>
        <v>7549.83443527075</v>
      </c>
    </row>
    <row r="23" spans="1:15" x14ac:dyDescent="0.2">
      <c r="A23" s="13" t="s">
        <v>32</v>
      </c>
      <c r="B23" s="14">
        <v>121</v>
      </c>
      <c r="C23" s="15">
        <f>B23*400</f>
        <v>48400</v>
      </c>
      <c r="D23" s="14">
        <v>2.5</v>
      </c>
      <c r="E23" s="15">
        <f>C23*D23</f>
        <v>121000</v>
      </c>
      <c r="F23" s="15"/>
      <c r="G23" s="18"/>
    </row>
    <row r="24" spans="1:15" x14ac:dyDescent="0.2">
      <c r="A24" s="19" t="s">
        <v>33</v>
      </c>
      <c r="B24" s="20">
        <v>136</v>
      </c>
      <c r="C24" s="21">
        <f>B24*400</f>
        <v>54400</v>
      </c>
      <c r="D24" s="20">
        <v>2.5</v>
      </c>
      <c r="E24" s="21">
        <f>C24*D24</f>
        <v>136000</v>
      </c>
      <c r="F24" s="21"/>
      <c r="G24" s="22"/>
    </row>
    <row r="25" spans="1:15" x14ac:dyDescent="0.2">
      <c r="A25" s="13"/>
      <c r="B25" s="14"/>
      <c r="C25" s="15"/>
      <c r="D25" s="14"/>
      <c r="E25" s="15"/>
      <c r="F25" s="15"/>
      <c r="G25" s="15"/>
      <c r="H25" s="23"/>
      <c r="I25" s="14"/>
      <c r="J25" s="15"/>
      <c r="K25" s="14"/>
      <c r="L25" s="15"/>
      <c r="M25" s="15"/>
      <c r="N25" s="15"/>
      <c r="O25" s="7"/>
    </row>
    <row r="26" spans="1:15" x14ac:dyDescent="0.2">
      <c r="A26" s="13"/>
      <c r="B26" s="14"/>
      <c r="C26" s="15"/>
      <c r="D26" s="14"/>
      <c r="E26" s="15"/>
      <c r="F26" s="15"/>
      <c r="G26" s="15"/>
    </row>
    <row r="27" spans="1:15" ht="19" x14ac:dyDescent="0.25">
      <c r="A27" s="45" t="s">
        <v>49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6" x14ac:dyDescent="0.2">
      <c r="A28" s="51" t="s">
        <v>23</v>
      </c>
      <c r="B28" s="52"/>
      <c r="C28" s="52"/>
      <c r="D28" s="52"/>
      <c r="E28" s="52"/>
      <c r="F28" s="52"/>
      <c r="G28" s="53"/>
      <c r="H28" s="14"/>
      <c r="I28" s="57" t="s">
        <v>39</v>
      </c>
      <c r="J28" s="58"/>
      <c r="K28" s="58"/>
      <c r="L28" s="58"/>
      <c r="M28" s="58"/>
      <c r="N28" s="58"/>
      <c r="O28" s="59"/>
    </row>
    <row r="29" spans="1:15" ht="32" x14ac:dyDescent="0.2">
      <c r="A29" s="9" t="s">
        <v>0</v>
      </c>
      <c r="B29" s="10" t="s">
        <v>4</v>
      </c>
      <c r="C29" s="10" t="s">
        <v>5</v>
      </c>
      <c r="D29" s="10" t="s">
        <v>6</v>
      </c>
      <c r="E29" s="10" t="s">
        <v>7</v>
      </c>
      <c r="F29" s="11" t="s">
        <v>8</v>
      </c>
      <c r="G29" s="12" t="s">
        <v>9</v>
      </c>
      <c r="H29" s="14"/>
      <c r="I29" s="9" t="s">
        <v>0</v>
      </c>
      <c r="J29" s="10" t="s">
        <v>4</v>
      </c>
      <c r="K29" s="10" t="s">
        <v>5</v>
      </c>
      <c r="L29" s="10" t="s">
        <v>6</v>
      </c>
      <c r="M29" s="10" t="s">
        <v>7</v>
      </c>
      <c r="N29" s="11" t="s">
        <v>8</v>
      </c>
      <c r="O29" s="12" t="s">
        <v>9</v>
      </c>
    </row>
    <row r="30" spans="1:15" x14ac:dyDescent="0.2">
      <c r="A30" s="13" t="s">
        <v>31</v>
      </c>
      <c r="B30" s="14">
        <v>330</v>
      </c>
      <c r="C30" s="15">
        <f>B30*400</f>
        <v>132000</v>
      </c>
      <c r="D30" s="14">
        <v>2.5</v>
      </c>
      <c r="E30" s="15">
        <f>C30*D30</f>
        <v>330000</v>
      </c>
      <c r="F30" s="16">
        <f>AVERAGE(E30:E32)</f>
        <v>364000</v>
      </c>
      <c r="G30" s="17">
        <f>_xlfn.STDEV.S(E30:E32)</f>
        <v>44226.688774991962</v>
      </c>
      <c r="H30" s="14"/>
      <c r="I30" s="13" t="s">
        <v>25</v>
      </c>
      <c r="J30" s="14">
        <v>926</v>
      </c>
      <c r="K30" s="15">
        <f>J30*400</f>
        <v>370400</v>
      </c>
      <c r="L30" s="14">
        <v>2.5</v>
      </c>
      <c r="M30" s="15">
        <f>K30*L30</f>
        <v>926000</v>
      </c>
      <c r="N30" s="16">
        <f>AVERAGE(M30:M32)</f>
        <v>920666.66666666663</v>
      </c>
      <c r="O30" s="17">
        <f>_xlfn.STDEV.S(K30:K32)</f>
        <v>7821.3383338999811</v>
      </c>
    </row>
    <row r="31" spans="1:15" x14ac:dyDescent="0.2">
      <c r="A31" s="13" t="s">
        <v>32</v>
      </c>
      <c r="B31" s="14">
        <v>348</v>
      </c>
      <c r="C31" s="15">
        <f>B31*400</f>
        <v>139200</v>
      </c>
      <c r="D31" s="14">
        <v>2.5</v>
      </c>
      <c r="E31" s="15">
        <f>C31*D31</f>
        <v>348000</v>
      </c>
      <c r="F31" s="15"/>
      <c r="G31" s="18"/>
      <c r="H31" s="14"/>
      <c r="I31" s="13" t="s">
        <v>26</v>
      </c>
      <c r="J31" s="14">
        <v>899</v>
      </c>
      <c r="K31" s="15">
        <f>J31*400</f>
        <v>359600</v>
      </c>
      <c r="L31" s="14">
        <v>2.5</v>
      </c>
      <c r="M31" s="15">
        <f>K31*L31</f>
        <v>899000</v>
      </c>
      <c r="N31" s="15"/>
      <c r="O31" s="18"/>
    </row>
    <row r="32" spans="1:15" x14ac:dyDescent="0.2">
      <c r="A32" s="19" t="s">
        <v>33</v>
      </c>
      <c r="B32" s="20">
        <v>414</v>
      </c>
      <c r="C32" s="21">
        <f>B32*400</f>
        <v>165600</v>
      </c>
      <c r="D32" s="20">
        <v>2.5</v>
      </c>
      <c r="E32" s="21">
        <f>C32*D32</f>
        <v>414000</v>
      </c>
      <c r="F32" s="21"/>
      <c r="G32" s="22"/>
      <c r="H32" s="20"/>
      <c r="I32" s="19" t="s">
        <v>27</v>
      </c>
      <c r="J32" s="20">
        <v>937</v>
      </c>
      <c r="K32" s="21">
        <f>J32*400</f>
        <v>374800</v>
      </c>
      <c r="L32" s="20">
        <v>2.5</v>
      </c>
      <c r="M32" s="21">
        <f>K32*L32</f>
        <v>937000</v>
      </c>
      <c r="N32" s="21"/>
      <c r="O32" s="22"/>
    </row>
    <row r="33" spans="1:16" x14ac:dyDescent="0.2">
      <c r="A33" s="13"/>
      <c r="B33" s="14"/>
      <c r="C33" s="15"/>
      <c r="D33" s="14"/>
      <c r="E33" s="15"/>
      <c r="F33" s="15"/>
      <c r="G33" s="15"/>
      <c r="H33" s="14"/>
      <c r="I33" s="23"/>
      <c r="J33" s="14"/>
      <c r="K33" s="15"/>
      <c r="L33" s="14"/>
      <c r="M33" s="15"/>
      <c r="N33" s="15"/>
      <c r="O33" s="15"/>
      <c r="P33" s="7"/>
    </row>
    <row r="34" spans="1:16" x14ac:dyDescent="0.2">
      <c r="A34" s="23"/>
      <c r="B34" s="14"/>
      <c r="C34" s="15"/>
      <c r="D34" s="14"/>
      <c r="E34" s="15"/>
      <c r="F34" s="15"/>
      <c r="G34" s="15"/>
      <c r="H34" s="14"/>
      <c r="I34" s="23"/>
      <c r="J34" s="14"/>
      <c r="K34" s="15"/>
      <c r="L34" s="14"/>
      <c r="M34" s="15"/>
      <c r="N34" s="15"/>
      <c r="O34" s="15"/>
    </row>
    <row r="35" spans="1:16" ht="15.75" customHeight="1" x14ac:dyDescent="0.2">
      <c r="A35" s="13"/>
      <c r="B35" s="14"/>
      <c r="C35" s="15"/>
      <c r="D35" s="14"/>
      <c r="E35" s="15"/>
      <c r="F35" s="15"/>
      <c r="G35" s="15"/>
      <c r="H35" s="14"/>
      <c r="I35" s="23"/>
      <c r="J35" s="14"/>
      <c r="K35" s="15"/>
      <c r="L35" s="14"/>
      <c r="M35" s="15"/>
      <c r="N35" s="15"/>
      <c r="O35" s="15"/>
      <c r="P35" s="7"/>
    </row>
    <row r="36" spans="1:16" ht="19" x14ac:dyDescent="0.25">
      <c r="A36" s="45" t="s">
        <v>50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7"/>
    </row>
    <row r="37" spans="1:16" ht="15.75" customHeight="1" x14ac:dyDescent="0.2">
      <c r="A37" s="51" t="s">
        <v>23</v>
      </c>
      <c r="B37" s="52"/>
      <c r="C37" s="52"/>
      <c r="D37" s="52"/>
      <c r="E37" s="52"/>
      <c r="F37" s="52"/>
      <c r="G37" s="53"/>
      <c r="H37" s="14"/>
      <c r="I37" s="54" t="s">
        <v>24</v>
      </c>
      <c r="J37" s="55"/>
      <c r="K37" s="55"/>
      <c r="L37" s="55"/>
      <c r="M37" s="55"/>
      <c r="N37" s="55"/>
      <c r="O37" s="56"/>
    </row>
    <row r="38" spans="1:16" ht="32" x14ac:dyDescent="0.2">
      <c r="A38" s="9" t="s">
        <v>0</v>
      </c>
      <c r="B38" s="10" t="s">
        <v>4</v>
      </c>
      <c r="C38" s="10" t="s">
        <v>5</v>
      </c>
      <c r="D38" s="10" t="s">
        <v>6</v>
      </c>
      <c r="E38" s="10" t="s">
        <v>7</v>
      </c>
      <c r="F38" s="11" t="s">
        <v>8</v>
      </c>
      <c r="G38" s="12" t="s">
        <v>9</v>
      </c>
      <c r="H38" s="14"/>
      <c r="I38" s="9" t="s">
        <v>0</v>
      </c>
      <c r="J38" s="10" t="s">
        <v>4</v>
      </c>
      <c r="K38" s="10" t="s">
        <v>5</v>
      </c>
      <c r="L38" s="10" t="s">
        <v>6</v>
      </c>
      <c r="M38" s="10" t="s">
        <v>7</v>
      </c>
      <c r="N38" s="11" t="s">
        <v>8</v>
      </c>
      <c r="O38" s="12" t="s">
        <v>9</v>
      </c>
    </row>
    <row r="39" spans="1:16" x14ac:dyDescent="0.2">
      <c r="A39" s="13" t="s">
        <v>31</v>
      </c>
      <c r="B39" s="14">
        <v>1153</v>
      </c>
      <c r="C39" s="15">
        <f>B39*400</f>
        <v>461200</v>
      </c>
      <c r="D39" s="14">
        <v>2.5</v>
      </c>
      <c r="E39" s="15">
        <f>C39*D39</f>
        <v>1153000</v>
      </c>
      <c r="F39" s="16">
        <f>AVERAGE(E39:E41)</f>
        <v>1210666.6666666667</v>
      </c>
      <c r="G39" s="17">
        <f>_xlfn.STDEV.S(E39:E41)</f>
        <v>49943.301185777986</v>
      </c>
      <c r="H39" s="14"/>
      <c r="I39" s="13" t="s">
        <v>28</v>
      </c>
      <c r="J39" s="14">
        <v>2257</v>
      </c>
      <c r="K39" s="15">
        <f>J39*400</f>
        <v>902800</v>
      </c>
      <c r="L39" s="14">
        <v>2.5</v>
      </c>
      <c r="M39" s="15">
        <f>K39*L39</f>
        <v>2257000</v>
      </c>
      <c r="N39" s="16">
        <f>AVERAGE(M39:M41)</f>
        <v>2255000</v>
      </c>
      <c r="O39" s="17">
        <f>_xlfn.STDEV.S(K39:K41)</f>
        <v>21211.317733700562</v>
      </c>
    </row>
    <row r="40" spans="1:16" x14ac:dyDescent="0.2">
      <c r="A40" s="13" t="s">
        <v>32</v>
      </c>
      <c r="B40" s="14">
        <v>1240</v>
      </c>
      <c r="C40" s="15">
        <f>B40*400</f>
        <v>496000</v>
      </c>
      <c r="D40" s="14">
        <v>2.5</v>
      </c>
      <c r="E40" s="15">
        <f>C40*D40</f>
        <v>1240000</v>
      </c>
      <c r="F40" s="15"/>
      <c r="G40" s="18"/>
      <c r="H40" s="14"/>
      <c r="I40" s="13" t="s">
        <v>29</v>
      </c>
      <c r="J40" s="14">
        <v>2307</v>
      </c>
      <c r="K40" s="15">
        <f>J40*400</f>
        <v>922800</v>
      </c>
      <c r="L40" s="14">
        <v>2.5</v>
      </c>
      <c r="M40" s="15">
        <f>K40*L40</f>
        <v>2307000</v>
      </c>
      <c r="N40" s="15"/>
      <c r="O40" s="18"/>
    </row>
    <row r="41" spans="1:16" x14ac:dyDescent="0.2">
      <c r="A41" s="19" t="s">
        <v>33</v>
      </c>
      <c r="B41" s="20">
        <v>1239</v>
      </c>
      <c r="C41" s="21">
        <f>B41*400</f>
        <v>495600</v>
      </c>
      <c r="D41" s="20">
        <v>2.5</v>
      </c>
      <c r="E41" s="21">
        <f>C41*D41</f>
        <v>1239000</v>
      </c>
      <c r="F41" s="21"/>
      <c r="G41" s="22"/>
      <c r="H41" s="20"/>
      <c r="I41" s="19" t="s">
        <v>30</v>
      </c>
      <c r="J41" s="20">
        <v>2201</v>
      </c>
      <c r="K41" s="21">
        <f>J41*400</f>
        <v>880400</v>
      </c>
      <c r="L41" s="20">
        <v>2.5</v>
      </c>
      <c r="M41" s="21">
        <f>K41*L41</f>
        <v>2201000</v>
      </c>
      <c r="N41" s="21"/>
      <c r="O41" s="22"/>
    </row>
    <row r="42" spans="1:16" ht="15.75" customHeight="1" x14ac:dyDescent="0.2">
      <c r="A42" s="13"/>
      <c r="B42" s="14"/>
      <c r="C42" s="15"/>
      <c r="D42" s="14"/>
      <c r="E42" s="15"/>
      <c r="F42" s="15"/>
      <c r="G42" s="15"/>
      <c r="H42" s="14"/>
      <c r="I42" s="23"/>
      <c r="J42" s="14"/>
      <c r="K42" s="15"/>
      <c r="L42" s="14"/>
      <c r="M42" s="15"/>
      <c r="N42" s="15"/>
      <c r="O42" s="15"/>
      <c r="P42" s="7"/>
    </row>
    <row r="45" spans="1:16" ht="19" x14ac:dyDescent="0.25">
      <c r="A45" s="45" t="s">
        <v>51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7"/>
    </row>
    <row r="46" spans="1:16" ht="16" x14ac:dyDescent="0.2">
      <c r="A46" s="51" t="s">
        <v>23</v>
      </c>
      <c r="B46" s="52"/>
      <c r="C46" s="52"/>
      <c r="D46" s="52"/>
      <c r="E46" s="52"/>
      <c r="F46" s="52"/>
      <c r="G46" s="53"/>
      <c r="H46" s="14"/>
      <c r="I46" s="54" t="s">
        <v>35</v>
      </c>
      <c r="J46" s="55"/>
      <c r="K46" s="55"/>
      <c r="L46" s="55"/>
      <c r="M46" s="55"/>
      <c r="N46" s="55"/>
      <c r="O46" s="56"/>
    </row>
    <row r="47" spans="1:16" ht="32" x14ac:dyDescent="0.2">
      <c r="A47" s="9" t="s">
        <v>0</v>
      </c>
      <c r="B47" s="10" t="s">
        <v>4</v>
      </c>
      <c r="C47" s="10" t="s">
        <v>5</v>
      </c>
      <c r="D47" s="10" t="s">
        <v>6</v>
      </c>
      <c r="E47" s="10" t="s">
        <v>7</v>
      </c>
      <c r="F47" s="11" t="s">
        <v>8</v>
      </c>
      <c r="G47" s="12" t="s">
        <v>9</v>
      </c>
      <c r="H47" s="14"/>
      <c r="I47" s="9" t="s">
        <v>0</v>
      </c>
      <c r="J47" s="10" t="s">
        <v>4</v>
      </c>
      <c r="K47" s="10" t="s">
        <v>5</v>
      </c>
      <c r="L47" s="10" t="s">
        <v>6</v>
      </c>
      <c r="M47" s="10" t="s">
        <v>7</v>
      </c>
      <c r="N47" s="11" t="s">
        <v>8</v>
      </c>
      <c r="O47" s="12" t="s">
        <v>9</v>
      </c>
    </row>
    <row r="48" spans="1:16" x14ac:dyDescent="0.2">
      <c r="A48" s="13" t="s">
        <v>31</v>
      </c>
      <c r="B48" s="14">
        <v>3202</v>
      </c>
      <c r="C48" s="15">
        <f>B48*400</f>
        <v>1280800</v>
      </c>
      <c r="D48" s="14">
        <v>2.5</v>
      </c>
      <c r="E48" s="15">
        <f>C48*D48</f>
        <v>3202000</v>
      </c>
      <c r="F48" s="16">
        <f>AVERAGE(E48:E50)</f>
        <v>3194666.6666666665</v>
      </c>
      <c r="G48" s="17">
        <f>_xlfn.STDEV.S(E48:E50)</f>
        <v>99203.494562103675</v>
      </c>
      <c r="H48" s="14"/>
      <c r="I48" s="13" t="s">
        <v>36</v>
      </c>
      <c r="J48" s="14">
        <v>3657</v>
      </c>
      <c r="K48" s="15">
        <f>J48*400</f>
        <v>1462800</v>
      </c>
      <c r="L48" s="14">
        <v>2.5</v>
      </c>
      <c r="M48" s="15">
        <f>K48*L48</f>
        <v>3657000</v>
      </c>
      <c r="N48" s="16">
        <f>AVERAGE(M48:M50)</f>
        <v>3554333.3333333335</v>
      </c>
      <c r="O48" s="17">
        <f>_xlfn.STDEV.S(K48:K50)</f>
        <v>45264.261104466663</v>
      </c>
    </row>
    <row r="49" spans="1:22" x14ac:dyDescent="0.2">
      <c r="A49" s="13" t="s">
        <v>32</v>
      </c>
      <c r="B49" s="14">
        <v>3092</v>
      </c>
      <c r="C49" s="15">
        <f>B49*400</f>
        <v>1236800</v>
      </c>
      <c r="D49" s="14">
        <v>2.5</v>
      </c>
      <c r="E49" s="15">
        <f>C49*D49</f>
        <v>3092000</v>
      </c>
      <c r="F49" s="15"/>
      <c r="G49" s="18"/>
      <c r="H49" s="14"/>
      <c r="I49" s="13" t="s">
        <v>37</v>
      </c>
      <c r="J49" s="14">
        <v>3573</v>
      </c>
      <c r="K49" s="15">
        <f>J49*400</f>
        <v>1429200</v>
      </c>
      <c r="L49" s="14">
        <v>2.5</v>
      </c>
      <c r="M49" s="15">
        <f>K49*L49</f>
        <v>3573000</v>
      </c>
      <c r="N49" s="15"/>
      <c r="O49" s="18"/>
    </row>
    <row r="50" spans="1:22" x14ac:dyDescent="0.2">
      <c r="A50" s="19" t="s">
        <v>33</v>
      </c>
      <c r="B50" s="20">
        <v>3290</v>
      </c>
      <c r="C50" s="21">
        <f>B50*400</f>
        <v>1316000</v>
      </c>
      <c r="D50" s="20">
        <v>2.5</v>
      </c>
      <c r="E50" s="21">
        <f>C50*D50</f>
        <v>3290000</v>
      </c>
      <c r="F50" s="21"/>
      <c r="G50" s="22"/>
      <c r="H50" s="20"/>
      <c r="I50" s="19" t="s">
        <v>38</v>
      </c>
      <c r="J50" s="20">
        <v>3433</v>
      </c>
      <c r="K50" s="21">
        <f>J50*400</f>
        <v>1373200</v>
      </c>
      <c r="L50" s="20">
        <v>2.5</v>
      </c>
      <c r="M50" s="21">
        <f>K50*L50</f>
        <v>3433000</v>
      </c>
      <c r="N50" s="21"/>
      <c r="O50" s="22"/>
      <c r="P50" s="23"/>
      <c r="Q50" s="14"/>
      <c r="R50" s="15"/>
      <c r="S50" s="14"/>
      <c r="T50" s="15"/>
      <c r="U50" s="15"/>
      <c r="V50" s="15"/>
    </row>
    <row r="51" spans="1:22" x14ac:dyDescent="0.2">
      <c r="B51" s="26"/>
    </row>
    <row r="57" spans="1:22" ht="15.75" customHeight="1" x14ac:dyDescent="0.2"/>
  </sheetData>
  <mergeCells count="17">
    <mergeCell ref="A36:O36"/>
    <mergeCell ref="A4:N5"/>
    <mergeCell ref="A6:N7"/>
    <mergeCell ref="A8:N9"/>
    <mergeCell ref="A10:H10"/>
    <mergeCell ref="A12:G12"/>
    <mergeCell ref="A13:G13"/>
    <mergeCell ref="A19:G19"/>
    <mergeCell ref="A20:G20"/>
    <mergeCell ref="A27:O27"/>
    <mergeCell ref="A28:G28"/>
    <mergeCell ref="I28:O28"/>
    <mergeCell ref="A37:G37"/>
    <mergeCell ref="I37:O37"/>
    <mergeCell ref="A45:O45"/>
    <mergeCell ref="A46:G46"/>
    <mergeCell ref="I46:O4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34CD-8AC1-6143-A8D1-E0C59E86FD21}">
  <dimension ref="A1:Z57"/>
  <sheetViews>
    <sheetView workbookViewId="0">
      <selection activeCell="O12" sqref="O12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6.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1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  <col min="257" max="257" width="18.83203125" customWidth="1"/>
    <col min="258" max="258" width="12.33203125" customWidth="1"/>
    <col min="259" max="259" width="11.1640625" customWidth="1"/>
    <col min="260" max="260" width="10.6640625" customWidth="1"/>
    <col min="261" max="263" width="9.5" bestFit="1" customWidth="1"/>
    <col min="264" max="264" width="6.5" customWidth="1"/>
    <col min="265" max="265" width="41" customWidth="1"/>
    <col min="266" max="266" width="8.83203125" customWidth="1"/>
    <col min="267" max="267" width="9.5" bestFit="1" customWidth="1"/>
    <col min="268" max="268" width="8.83203125" customWidth="1"/>
    <col min="269" max="270" width="9.5" bestFit="1" customWidth="1"/>
    <col min="271" max="271" width="11" customWidth="1"/>
    <col min="272" max="272" width="13" customWidth="1"/>
    <col min="273" max="273" width="8.83203125" customWidth="1"/>
    <col min="274" max="274" width="9.5" bestFit="1" customWidth="1"/>
    <col min="275" max="275" width="8.83203125" customWidth="1"/>
    <col min="276" max="278" width="9.5" bestFit="1" customWidth="1"/>
    <col min="279" max="512" width="8.83203125" customWidth="1"/>
    <col min="513" max="513" width="18.83203125" customWidth="1"/>
    <col min="514" max="514" width="12.33203125" customWidth="1"/>
    <col min="515" max="515" width="11.1640625" customWidth="1"/>
    <col min="516" max="516" width="10.6640625" customWidth="1"/>
    <col min="517" max="519" width="9.5" bestFit="1" customWidth="1"/>
    <col min="520" max="520" width="6.5" customWidth="1"/>
    <col min="521" max="521" width="41" customWidth="1"/>
    <col min="522" max="522" width="8.83203125" customWidth="1"/>
    <col min="523" max="523" width="9.5" bestFit="1" customWidth="1"/>
    <col min="524" max="524" width="8.83203125" customWidth="1"/>
    <col min="525" max="526" width="9.5" bestFit="1" customWidth="1"/>
    <col min="527" max="527" width="11" customWidth="1"/>
    <col min="528" max="528" width="13" customWidth="1"/>
    <col min="529" max="529" width="8.83203125" customWidth="1"/>
    <col min="530" max="530" width="9.5" bestFit="1" customWidth="1"/>
    <col min="531" max="531" width="8.83203125" customWidth="1"/>
    <col min="532" max="534" width="9.5" bestFit="1" customWidth="1"/>
    <col min="535" max="768" width="8.83203125" customWidth="1"/>
    <col min="769" max="769" width="18.83203125" customWidth="1"/>
    <col min="770" max="770" width="12.33203125" customWidth="1"/>
    <col min="771" max="771" width="11.1640625" customWidth="1"/>
    <col min="772" max="772" width="10.6640625" customWidth="1"/>
    <col min="773" max="775" width="9.5" bestFit="1" customWidth="1"/>
    <col min="776" max="776" width="6.5" customWidth="1"/>
    <col min="777" max="777" width="41" customWidth="1"/>
    <col min="778" max="778" width="8.83203125" customWidth="1"/>
    <col min="779" max="779" width="9.5" bestFit="1" customWidth="1"/>
    <col min="780" max="780" width="8.83203125" customWidth="1"/>
    <col min="781" max="782" width="9.5" bestFit="1" customWidth="1"/>
    <col min="783" max="783" width="11" customWidth="1"/>
    <col min="784" max="784" width="13" customWidth="1"/>
    <col min="785" max="785" width="8.83203125" customWidth="1"/>
    <col min="786" max="786" width="9.5" bestFit="1" customWidth="1"/>
    <col min="787" max="787" width="8.83203125" customWidth="1"/>
    <col min="788" max="790" width="9.5" bestFit="1" customWidth="1"/>
    <col min="791" max="1024" width="8.83203125" customWidth="1"/>
    <col min="1025" max="1025" width="18.83203125" customWidth="1"/>
    <col min="1026" max="1026" width="12.33203125" customWidth="1"/>
    <col min="1027" max="1027" width="11.1640625" customWidth="1"/>
    <col min="1028" max="1028" width="10.6640625" customWidth="1"/>
    <col min="1029" max="1031" width="9.5" bestFit="1" customWidth="1"/>
    <col min="1032" max="1032" width="6.5" customWidth="1"/>
    <col min="1033" max="1033" width="41" customWidth="1"/>
    <col min="1034" max="1034" width="8.83203125" customWidth="1"/>
    <col min="1035" max="1035" width="9.5" bestFit="1" customWidth="1"/>
    <col min="1036" max="1036" width="8.83203125" customWidth="1"/>
    <col min="1037" max="1038" width="9.5" bestFit="1" customWidth="1"/>
    <col min="1039" max="1039" width="11" customWidth="1"/>
    <col min="1040" max="1040" width="13" customWidth="1"/>
    <col min="1041" max="1041" width="8.83203125" customWidth="1"/>
    <col min="1042" max="1042" width="9.5" bestFit="1" customWidth="1"/>
    <col min="1043" max="1043" width="8.83203125" customWidth="1"/>
    <col min="1044" max="1046" width="9.5" bestFit="1" customWidth="1"/>
    <col min="1047" max="1280" width="8.83203125" customWidth="1"/>
    <col min="1281" max="1281" width="18.83203125" customWidth="1"/>
    <col min="1282" max="1282" width="12.33203125" customWidth="1"/>
    <col min="1283" max="1283" width="11.1640625" customWidth="1"/>
    <col min="1284" max="1284" width="10.6640625" customWidth="1"/>
    <col min="1285" max="1287" width="9.5" bestFit="1" customWidth="1"/>
    <col min="1288" max="1288" width="6.5" customWidth="1"/>
    <col min="1289" max="1289" width="41" customWidth="1"/>
    <col min="1290" max="1290" width="8.83203125" customWidth="1"/>
    <col min="1291" max="1291" width="9.5" bestFit="1" customWidth="1"/>
    <col min="1292" max="1292" width="8.83203125" customWidth="1"/>
    <col min="1293" max="1294" width="9.5" bestFit="1" customWidth="1"/>
    <col min="1295" max="1295" width="11" customWidth="1"/>
    <col min="1296" max="1296" width="13" customWidth="1"/>
    <col min="1297" max="1297" width="8.83203125" customWidth="1"/>
    <col min="1298" max="1298" width="9.5" bestFit="1" customWidth="1"/>
    <col min="1299" max="1299" width="8.83203125" customWidth="1"/>
    <col min="1300" max="1302" width="9.5" bestFit="1" customWidth="1"/>
    <col min="1303" max="1536" width="8.83203125" customWidth="1"/>
    <col min="1537" max="1537" width="18.83203125" customWidth="1"/>
    <col min="1538" max="1538" width="12.33203125" customWidth="1"/>
    <col min="1539" max="1539" width="11.1640625" customWidth="1"/>
    <col min="1540" max="1540" width="10.6640625" customWidth="1"/>
    <col min="1541" max="1543" width="9.5" bestFit="1" customWidth="1"/>
    <col min="1544" max="1544" width="6.5" customWidth="1"/>
    <col min="1545" max="1545" width="41" customWidth="1"/>
    <col min="1546" max="1546" width="8.83203125" customWidth="1"/>
    <col min="1547" max="1547" width="9.5" bestFit="1" customWidth="1"/>
    <col min="1548" max="1548" width="8.83203125" customWidth="1"/>
    <col min="1549" max="1550" width="9.5" bestFit="1" customWidth="1"/>
    <col min="1551" max="1551" width="11" customWidth="1"/>
    <col min="1552" max="1552" width="13" customWidth="1"/>
    <col min="1553" max="1553" width="8.83203125" customWidth="1"/>
    <col min="1554" max="1554" width="9.5" bestFit="1" customWidth="1"/>
    <col min="1555" max="1555" width="8.83203125" customWidth="1"/>
    <col min="1556" max="1558" width="9.5" bestFit="1" customWidth="1"/>
    <col min="1559" max="1792" width="8.83203125" customWidth="1"/>
    <col min="1793" max="1793" width="18.83203125" customWidth="1"/>
    <col min="1794" max="1794" width="12.33203125" customWidth="1"/>
    <col min="1795" max="1795" width="11.1640625" customWidth="1"/>
    <col min="1796" max="1796" width="10.6640625" customWidth="1"/>
    <col min="1797" max="1799" width="9.5" bestFit="1" customWidth="1"/>
    <col min="1800" max="1800" width="6.5" customWidth="1"/>
    <col min="1801" max="1801" width="41" customWidth="1"/>
    <col min="1802" max="1802" width="8.83203125" customWidth="1"/>
    <col min="1803" max="1803" width="9.5" bestFit="1" customWidth="1"/>
    <col min="1804" max="1804" width="8.83203125" customWidth="1"/>
    <col min="1805" max="1806" width="9.5" bestFit="1" customWidth="1"/>
    <col min="1807" max="1807" width="11" customWidth="1"/>
    <col min="1808" max="1808" width="13" customWidth="1"/>
    <col min="1809" max="1809" width="8.83203125" customWidth="1"/>
    <col min="1810" max="1810" width="9.5" bestFit="1" customWidth="1"/>
    <col min="1811" max="1811" width="8.83203125" customWidth="1"/>
    <col min="1812" max="1814" width="9.5" bestFit="1" customWidth="1"/>
    <col min="1815" max="2048" width="8.83203125" customWidth="1"/>
    <col min="2049" max="2049" width="18.83203125" customWidth="1"/>
    <col min="2050" max="2050" width="12.33203125" customWidth="1"/>
    <col min="2051" max="2051" width="11.1640625" customWidth="1"/>
    <col min="2052" max="2052" width="10.6640625" customWidth="1"/>
    <col min="2053" max="2055" width="9.5" bestFit="1" customWidth="1"/>
    <col min="2056" max="2056" width="6.5" customWidth="1"/>
    <col min="2057" max="2057" width="41" customWidth="1"/>
    <col min="2058" max="2058" width="8.83203125" customWidth="1"/>
    <col min="2059" max="2059" width="9.5" bestFit="1" customWidth="1"/>
    <col min="2060" max="2060" width="8.83203125" customWidth="1"/>
    <col min="2061" max="2062" width="9.5" bestFit="1" customWidth="1"/>
    <col min="2063" max="2063" width="11" customWidth="1"/>
    <col min="2064" max="2064" width="13" customWidth="1"/>
    <col min="2065" max="2065" width="8.83203125" customWidth="1"/>
    <col min="2066" max="2066" width="9.5" bestFit="1" customWidth="1"/>
    <col min="2067" max="2067" width="8.83203125" customWidth="1"/>
    <col min="2068" max="2070" width="9.5" bestFit="1" customWidth="1"/>
    <col min="2071" max="2304" width="8.83203125" customWidth="1"/>
    <col min="2305" max="2305" width="18.83203125" customWidth="1"/>
    <col min="2306" max="2306" width="12.33203125" customWidth="1"/>
    <col min="2307" max="2307" width="11.1640625" customWidth="1"/>
    <col min="2308" max="2308" width="10.6640625" customWidth="1"/>
    <col min="2309" max="2311" width="9.5" bestFit="1" customWidth="1"/>
    <col min="2312" max="2312" width="6.5" customWidth="1"/>
    <col min="2313" max="2313" width="41" customWidth="1"/>
    <col min="2314" max="2314" width="8.83203125" customWidth="1"/>
    <col min="2315" max="2315" width="9.5" bestFit="1" customWidth="1"/>
    <col min="2316" max="2316" width="8.83203125" customWidth="1"/>
    <col min="2317" max="2318" width="9.5" bestFit="1" customWidth="1"/>
    <col min="2319" max="2319" width="11" customWidth="1"/>
    <col min="2320" max="2320" width="13" customWidth="1"/>
    <col min="2321" max="2321" width="8.83203125" customWidth="1"/>
    <col min="2322" max="2322" width="9.5" bestFit="1" customWidth="1"/>
    <col min="2323" max="2323" width="8.83203125" customWidth="1"/>
    <col min="2324" max="2326" width="9.5" bestFit="1" customWidth="1"/>
    <col min="2327" max="2560" width="8.83203125" customWidth="1"/>
    <col min="2561" max="2561" width="18.83203125" customWidth="1"/>
    <col min="2562" max="2562" width="12.33203125" customWidth="1"/>
    <col min="2563" max="2563" width="11.1640625" customWidth="1"/>
    <col min="2564" max="2564" width="10.6640625" customWidth="1"/>
    <col min="2565" max="2567" width="9.5" bestFit="1" customWidth="1"/>
    <col min="2568" max="2568" width="6.5" customWidth="1"/>
    <col min="2569" max="2569" width="41" customWidth="1"/>
    <col min="2570" max="2570" width="8.83203125" customWidth="1"/>
    <col min="2571" max="2571" width="9.5" bestFit="1" customWidth="1"/>
    <col min="2572" max="2572" width="8.83203125" customWidth="1"/>
    <col min="2573" max="2574" width="9.5" bestFit="1" customWidth="1"/>
    <col min="2575" max="2575" width="11" customWidth="1"/>
    <col min="2576" max="2576" width="13" customWidth="1"/>
    <col min="2577" max="2577" width="8.83203125" customWidth="1"/>
    <col min="2578" max="2578" width="9.5" bestFit="1" customWidth="1"/>
    <col min="2579" max="2579" width="8.83203125" customWidth="1"/>
    <col min="2580" max="2582" width="9.5" bestFit="1" customWidth="1"/>
    <col min="2583" max="2816" width="8.83203125" customWidth="1"/>
    <col min="2817" max="2817" width="18.83203125" customWidth="1"/>
    <col min="2818" max="2818" width="12.33203125" customWidth="1"/>
    <col min="2819" max="2819" width="11.1640625" customWidth="1"/>
    <col min="2820" max="2820" width="10.6640625" customWidth="1"/>
    <col min="2821" max="2823" width="9.5" bestFit="1" customWidth="1"/>
    <col min="2824" max="2824" width="6.5" customWidth="1"/>
    <col min="2825" max="2825" width="41" customWidth="1"/>
    <col min="2826" max="2826" width="8.83203125" customWidth="1"/>
    <col min="2827" max="2827" width="9.5" bestFit="1" customWidth="1"/>
    <col min="2828" max="2828" width="8.83203125" customWidth="1"/>
    <col min="2829" max="2830" width="9.5" bestFit="1" customWidth="1"/>
    <col min="2831" max="2831" width="11" customWidth="1"/>
    <col min="2832" max="2832" width="13" customWidth="1"/>
    <col min="2833" max="2833" width="8.83203125" customWidth="1"/>
    <col min="2834" max="2834" width="9.5" bestFit="1" customWidth="1"/>
    <col min="2835" max="2835" width="8.83203125" customWidth="1"/>
    <col min="2836" max="2838" width="9.5" bestFit="1" customWidth="1"/>
    <col min="2839" max="3072" width="8.83203125" customWidth="1"/>
    <col min="3073" max="3073" width="18.83203125" customWidth="1"/>
    <col min="3074" max="3074" width="12.33203125" customWidth="1"/>
    <col min="3075" max="3075" width="11.1640625" customWidth="1"/>
    <col min="3076" max="3076" width="10.6640625" customWidth="1"/>
    <col min="3077" max="3079" width="9.5" bestFit="1" customWidth="1"/>
    <col min="3080" max="3080" width="6.5" customWidth="1"/>
    <col min="3081" max="3081" width="41" customWidth="1"/>
    <col min="3082" max="3082" width="8.83203125" customWidth="1"/>
    <col min="3083" max="3083" width="9.5" bestFit="1" customWidth="1"/>
    <col min="3084" max="3084" width="8.83203125" customWidth="1"/>
    <col min="3085" max="3086" width="9.5" bestFit="1" customWidth="1"/>
    <col min="3087" max="3087" width="11" customWidth="1"/>
    <col min="3088" max="3088" width="13" customWidth="1"/>
    <col min="3089" max="3089" width="8.83203125" customWidth="1"/>
    <col min="3090" max="3090" width="9.5" bestFit="1" customWidth="1"/>
    <col min="3091" max="3091" width="8.83203125" customWidth="1"/>
    <col min="3092" max="3094" width="9.5" bestFit="1" customWidth="1"/>
    <col min="3095" max="3328" width="8.83203125" customWidth="1"/>
    <col min="3329" max="3329" width="18.83203125" customWidth="1"/>
    <col min="3330" max="3330" width="12.33203125" customWidth="1"/>
    <col min="3331" max="3331" width="11.1640625" customWidth="1"/>
    <col min="3332" max="3332" width="10.6640625" customWidth="1"/>
    <col min="3333" max="3335" width="9.5" bestFit="1" customWidth="1"/>
    <col min="3336" max="3336" width="6.5" customWidth="1"/>
    <col min="3337" max="3337" width="41" customWidth="1"/>
    <col min="3338" max="3338" width="8.83203125" customWidth="1"/>
    <col min="3339" max="3339" width="9.5" bestFit="1" customWidth="1"/>
    <col min="3340" max="3340" width="8.83203125" customWidth="1"/>
    <col min="3341" max="3342" width="9.5" bestFit="1" customWidth="1"/>
    <col min="3343" max="3343" width="11" customWidth="1"/>
    <col min="3344" max="3344" width="13" customWidth="1"/>
    <col min="3345" max="3345" width="8.83203125" customWidth="1"/>
    <col min="3346" max="3346" width="9.5" bestFit="1" customWidth="1"/>
    <col min="3347" max="3347" width="8.83203125" customWidth="1"/>
    <col min="3348" max="3350" width="9.5" bestFit="1" customWidth="1"/>
    <col min="3351" max="3584" width="8.83203125" customWidth="1"/>
    <col min="3585" max="3585" width="18.83203125" customWidth="1"/>
    <col min="3586" max="3586" width="12.33203125" customWidth="1"/>
    <col min="3587" max="3587" width="11.1640625" customWidth="1"/>
    <col min="3588" max="3588" width="10.6640625" customWidth="1"/>
    <col min="3589" max="3591" width="9.5" bestFit="1" customWidth="1"/>
    <col min="3592" max="3592" width="6.5" customWidth="1"/>
    <col min="3593" max="3593" width="41" customWidth="1"/>
    <col min="3594" max="3594" width="8.83203125" customWidth="1"/>
    <col min="3595" max="3595" width="9.5" bestFit="1" customWidth="1"/>
    <col min="3596" max="3596" width="8.83203125" customWidth="1"/>
    <col min="3597" max="3598" width="9.5" bestFit="1" customWidth="1"/>
    <col min="3599" max="3599" width="11" customWidth="1"/>
    <col min="3600" max="3600" width="13" customWidth="1"/>
    <col min="3601" max="3601" width="8.83203125" customWidth="1"/>
    <col min="3602" max="3602" width="9.5" bestFit="1" customWidth="1"/>
    <col min="3603" max="3603" width="8.83203125" customWidth="1"/>
    <col min="3604" max="3606" width="9.5" bestFit="1" customWidth="1"/>
    <col min="3607" max="3840" width="8.83203125" customWidth="1"/>
    <col min="3841" max="3841" width="18.83203125" customWidth="1"/>
    <col min="3842" max="3842" width="12.33203125" customWidth="1"/>
    <col min="3843" max="3843" width="11.1640625" customWidth="1"/>
    <col min="3844" max="3844" width="10.6640625" customWidth="1"/>
    <col min="3845" max="3847" width="9.5" bestFit="1" customWidth="1"/>
    <col min="3848" max="3848" width="6.5" customWidth="1"/>
    <col min="3849" max="3849" width="41" customWidth="1"/>
    <col min="3850" max="3850" width="8.83203125" customWidth="1"/>
    <col min="3851" max="3851" width="9.5" bestFit="1" customWidth="1"/>
    <col min="3852" max="3852" width="8.83203125" customWidth="1"/>
    <col min="3853" max="3854" width="9.5" bestFit="1" customWidth="1"/>
    <col min="3855" max="3855" width="11" customWidth="1"/>
    <col min="3856" max="3856" width="13" customWidth="1"/>
    <col min="3857" max="3857" width="8.83203125" customWidth="1"/>
    <col min="3858" max="3858" width="9.5" bestFit="1" customWidth="1"/>
    <col min="3859" max="3859" width="8.83203125" customWidth="1"/>
    <col min="3860" max="3862" width="9.5" bestFit="1" customWidth="1"/>
    <col min="3863" max="4096" width="8.83203125" customWidth="1"/>
    <col min="4097" max="4097" width="18.83203125" customWidth="1"/>
    <col min="4098" max="4098" width="12.33203125" customWidth="1"/>
    <col min="4099" max="4099" width="11.1640625" customWidth="1"/>
    <col min="4100" max="4100" width="10.6640625" customWidth="1"/>
    <col min="4101" max="4103" width="9.5" bestFit="1" customWidth="1"/>
    <col min="4104" max="4104" width="6.5" customWidth="1"/>
    <col min="4105" max="4105" width="41" customWidth="1"/>
    <col min="4106" max="4106" width="8.83203125" customWidth="1"/>
    <col min="4107" max="4107" width="9.5" bestFit="1" customWidth="1"/>
    <col min="4108" max="4108" width="8.83203125" customWidth="1"/>
    <col min="4109" max="4110" width="9.5" bestFit="1" customWidth="1"/>
    <col min="4111" max="4111" width="11" customWidth="1"/>
    <col min="4112" max="4112" width="13" customWidth="1"/>
    <col min="4113" max="4113" width="8.83203125" customWidth="1"/>
    <col min="4114" max="4114" width="9.5" bestFit="1" customWidth="1"/>
    <col min="4115" max="4115" width="8.83203125" customWidth="1"/>
    <col min="4116" max="4118" width="9.5" bestFit="1" customWidth="1"/>
    <col min="4119" max="4352" width="8.83203125" customWidth="1"/>
    <col min="4353" max="4353" width="18.83203125" customWidth="1"/>
    <col min="4354" max="4354" width="12.33203125" customWidth="1"/>
    <col min="4355" max="4355" width="11.1640625" customWidth="1"/>
    <col min="4356" max="4356" width="10.6640625" customWidth="1"/>
    <col min="4357" max="4359" width="9.5" bestFit="1" customWidth="1"/>
    <col min="4360" max="4360" width="6.5" customWidth="1"/>
    <col min="4361" max="4361" width="41" customWidth="1"/>
    <col min="4362" max="4362" width="8.83203125" customWidth="1"/>
    <col min="4363" max="4363" width="9.5" bestFit="1" customWidth="1"/>
    <col min="4364" max="4364" width="8.83203125" customWidth="1"/>
    <col min="4365" max="4366" width="9.5" bestFit="1" customWidth="1"/>
    <col min="4367" max="4367" width="11" customWidth="1"/>
    <col min="4368" max="4368" width="13" customWidth="1"/>
    <col min="4369" max="4369" width="8.83203125" customWidth="1"/>
    <col min="4370" max="4370" width="9.5" bestFit="1" customWidth="1"/>
    <col min="4371" max="4371" width="8.83203125" customWidth="1"/>
    <col min="4372" max="4374" width="9.5" bestFit="1" customWidth="1"/>
    <col min="4375" max="4608" width="8.83203125" customWidth="1"/>
    <col min="4609" max="4609" width="18.83203125" customWidth="1"/>
    <col min="4610" max="4610" width="12.33203125" customWidth="1"/>
    <col min="4611" max="4611" width="11.1640625" customWidth="1"/>
    <col min="4612" max="4612" width="10.6640625" customWidth="1"/>
    <col min="4613" max="4615" width="9.5" bestFit="1" customWidth="1"/>
    <col min="4616" max="4616" width="6.5" customWidth="1"/>
    <col min="4617" max="4617" width="41" customWidth="1"/>
    <col min="4618" max="4618" width="8.83203125" customWidth="1"/>
    <col min="4619" max="4619" width="9.5" bestFit="1" customWidth="1"/>
    <col min="4620" max="4620" width="8.83203125" customWidth="1"/>
    <col min="4621" max="4622" width="9.5" bestFit="1" customWidth="1"/>
    <col min="4623" max="4623" width="11" customWidth="1"/>
    <col min="4624" max="4624" width="13" customWidth="1"/>
    <col min="4625" max="4625" width="8.83203125" customWidth="1"/>
    <col min="4626" max="4626" width="9.5" bestFit="1" customWidth="1"/>
    <col min="4627" max="4627" width="8.83203125" customWidth="1"/>
    <col min="4628" max="4630" width="9.5" bestFit="1" customWidth="1"/>
    <col min="4631" max="4864" width="8.83203125" customWidth="1"/>
    <col min="4865" max="4865" width="18.83203125" customWidth="1"/>
    <col min="4866" max="4866" width="12.33203125" customWidth="1"/>
    <col min="4867" max="4867" width="11.1640625" customWidth="1"/>
    <col min="4868" max="4868" width="10.6640625" customWidth="1"/>
    <col min="4869" max="4871" width="9.5" bestFit="1" customWidth="1"/>
    <col min="4872" max="4872" width="6.5" customWidth="1"/>
    <col min="4873" max="4873" width="41" customWidth="1"/>
    <col min="4874" max="4874" width="8.83203125" customWidth="1"/>
    <col min="4875" max="4875" width="9.5" bestFit="1" customWidth="1"/>
    <col min="4876" max="4876" width="8.83203125" customWidth="1"/>
    <col min="4877" max="4878" width="9.5" bestFit="1" customWidth="1"/>
    <col min="4879" max="4879" width="11" customWidth="1"/>
    <col min="4880" max="4880" width="13" customWidth="1"/>
    <col min="4881" max="4881" width="8.83203125" customWidth="1"/>
    <col min="4882" max="4882" width="9.5" bestFit="1" customWidth="1"/>
    <col min="4883" max="4883" width="8.83203125" customWidth="1"/>
    <col min="4884" max="4886" width="9.5" bestFit="1" customWidth="1"/>
    <col min="4887" max="5120" width="8.83203125" customWidth="1"/>
    <col min="5121" max="5121" width="18.83203125" customWidth="1"/>
    <col min="5122" max="5122" width="12.33203125" customWidth="1"/>
    <col min="5123" max="5123" width="11.1640625" customWidth="1"/>
    <col min="5124" max="5124" width="10.6640625" customWidth="1"/>
    <col min="5125" max="5127" width="9.5" bestFit="1" customWidth="1"/>
    <col min="5128" max="5128" width="6.5" customWidth="1"/>
    <col min="5129" max="5129" width="41" customWidth="1"/>
    <col min="5130" max="5130" width="8.83203125" customWidth="1"/>
    <col min="5131" max="5131" width="9.5" bestFit="1" customWidth="1"/>
    <col min="5132" max="5132" width="8.83203125" customWidth="1"/>
    <col min="5133" max="5134" width="9.5" bestFit="1" customWidth="1"/>
    <col min="5135" max="5135" width="11" customWidth="1"/>
    <col min="5136" max="5136" width="13" customWidth="1"/>
    <col min="5137" max="5137" width="8.83203125" customWidth="1"/>
    <col min="5138" max="5138" width="9.5" bestFit="1" customWidth="1"/>
    <col min="5139" max="5139" width="8.83203125" customWidth="1"/>
    <col min="5140" max="5142" width="9.5" bestFit="1" customWidth="1"/>
    <col min="5143" max="5376" width="8.83203125" customWidth="1"/>
    <col min="5377" max="5377" width="18.83203125" customWidth="1"/>
    <col min="5378" max="5378" width="12.33203125" customWidth="1"/>
    <col min="5379" max="5379" width="11.1640625" customWidth="1"/>
    <col min="5380" max="5380" width="10.6640625" customWidth="1"/>
    <col min="5381" max="5383" width="9.5" bestFit="1" customWidth="1"/>
    <col min="5384" max="5384" width="6.5" customWidth="1"/>
    <col min="5385" max="5385" width="41" customWidth="1"/>
    <col min="5386" max="5386" width="8.83203125" customWidth="1"/>
    <col min="5387" max="5387" width="9.5" bestFit="1" customWidth="1"/>
    <col min="5388" max="5388" width="8.83203125" customWidth="1"/>
    <col min="5389" max="5390" width="9.5" bestFit="1" customWidth="1"/>
    <col min="5391" max="5391" width="11" customWidth="1"/>
    <col min="5392" max="5392" width="13" customWidth="1"/>
    <col min="5393" max="5393" width="8.83203125" customWidth="1"/>
    <col min="5394" max="5394" width="9.5" bestFit="1" customWidth="1"/>
    <col min="5395" max="5395" width="8.83203125" customWidth="1"/>
    <col min="5396" max="5398" width="9.5" bestFit="1" customWidth="1"/>
    <col min="5399" max="5632" width="8.83203125" customWidth="1"/>
    <col min="5633" max="5633" width="18.83203125" customWidth="1"/>
    <col min="5634" max="5634" width="12.33203125" customWidth="1"/>
    <col min="5635" max="5635" width="11.1640625" customWidth="1"/>
    <col min="5636" max="5636" width="10.6640625" customWidth="1"/>
    <col min="5637" max="5639" width="9.5" bestFit="1" customWidth="1"/>
    <col min="5640" max="5640" width="6.5" customWidth="1"/>
    <col min="5641" max="5641" width="41" customWidth="1"/>
    <col min="5642" max="5642" width="8.83203125" customWidth="1"/>
    <col min="5643" max="5643" width="9.5" bestFit="1" customWidth="1"/>
    <col min="5644" max="5644" width="8.83203125" customWidth="1"/>
    <col min="5645" max="5646" width="9.5" bestFit="1" customWidth="1"/>
    <col min="5647" max="5647" width="11" customWidth="1"/>
    <col min="5648" max="5648" width="13" customWidth="1"/>
    <col min="5649" max="5649" width="8.83203125" customWidth="1"/>
    <col min="5650" max="5650" width="9.5" bestFit="1" customWidth="1"/>
    <col min="5651" max="5651" width="8.83203125" customWidth="1"/>
    <col min="5652" max="5654" width="9.5" bestFit="1" customWidth="1"/>
    <col min="5655" max="5888" width="8.83203125" customWidth="1"/>
    <col min="5889" max="5889" width="18.83203125" customWidth="1"/>
    <col min="5890" max="5890" width="12.33203125" customWidth="1"/>
    <col min="5891" max="5891" width="11.1640625" customWidth="1"/>
    <col min="5892" max="5892" width="10.6640625" customWidth="1"/>
    <col min="5893" max="5895" width="9.5" bestFit="1" customWidth="1"/>
    <col min="5896" max="5896" width="6.5" customWidth="1"/>
    <col min="5897" max="5897" width="41" customWidth="1"/>
    <col min="5898" max="5898" width="8.83203125" customWidth="1"/>
    <col min="5899" max="5899" width="9.5" bestFit="1" customWidth="1"/>
    <col min="5900" max="5900" width="8.83203125" customWidth="1"/>
    <col min="5901" max="5902" width="9.5" bestFit="1" customWidth="1"/>
    <col min="5903" max="5903" width="11" customWidth="1"/>
    <col min="5904" max="5904" width="13" customWidth="1"/>
    <col min="5905" max="5905" width="8.83203125" customWidth="1"/>
    <col min="5906" max="5906" width="9.5" bestFit="1" customWidth="1"/>
    <col min="5907" max="5907" width="8.83203125" customWidth="1"/>
    <col min="5908" max="5910" width="9.5" bestFit="1" customWidth="1"/>
    <col min="5911" max="6144" width="8.83203125" customWidth="1"/>
    <col min="6145" max="6145" width="18.83203125" customWidth="1"/>
    <col min="6146" max="6146" width="12.33203125" customWidth="1"/>
    <col min="6147" max="6147" width="11.1640625" customWidth="1"/>
    <col min="6148" max="6148" width="10.6640625" customWidth="1"/>
    <col min="6149" max="6151" width="9.5" bestFit="1" customWidth="1"/>
    <col min="6152" max="6152" width="6.5" customWidth="1"/>
    <col min="6153" max="6153" width="41" customWidth="1"/>
    <col min="6154" max="6154" width="8.83203125" customWidth="1"/>
    <col min="6155" max="6155" width="9.5" bestFit="1" customWidth="1"/>
    <col min="6156" max="6156" width="8.83203125" customWidth="1"/>
    <col min="6157" max="6158" width="9.5" bestFit="1" customWidth="1"/>
    <col min="6159" max="6159" width="11" customWidth="1"/>
    <col min="6160" max="6160" width="13" customWidth="1"/>
    <col min="6161" max="6161" width="8.83203125" customWidth="1"/>
    <col min="6162" max="6162" width="9.5" bestFit="1" customWidth="1"/>
    <col min="6163" max="6163" width="8.83203125" customWidth="1"/>
    <col min="6164" max="6166" width="9.5" bestFit="1" customWidth="1"/>
    <col min="6167" max="6400" width="8.83203125" customWidth="1"/>
    <col min="6401" max="6401" width="18.83203125" customWidth="1"/>
    <col min="6402" max="6402" width="12.33203125" customWidth="1"/>
    <col min="6403" max="6403" width="11.1640625" customWidth="1"/>
    <col min="6404" max="6404" width="10.6640625" customWidth="1"/>
    <col min="6405" max="6407" width="9.5" bestFit="1" customWidth="1"/>
    <col min="6408" max="6408" width="6.5" customWidth="1"/>
    <col min="6409" max="6409" width="41" customWidth="1"/>
    <col min="6410" max="6410" width="8.83203125" customWidth="1"/>
    <col min="6411" max="6411" width="9.5" bestFit="1" customWidth="1"/>
    <col min="6412" max="6412" width="8.83203125" customWidth="1"/>
    <col min="6413" max="6414" width="9.5" bestFit="1" customWidth="1"/>
    <col min="6415" max="6415" width="11" customWidth="1"/>
    <col min="6416" max="6416" width="13" customWidth="1"/>
    <col min="6417" max="6417" width="8.83203125" customWidth="1"/>
    <col min="6418" max="6418" width="9.5" bestFit="1" customWidth="1"/>
    <col min="6419" max="6419" width="8.83203125" customWidth="1"/>
    <col min="6420" max="6422" width="9.5" bestFit="1" customWidth="1"/>
    <col min="6423" max="6656" width="8.83203125" customWidth="1"/>
    <col min="6657" max="6657" width="18.83203125" customWidth="1"/>
    <col min="6658" max="6658" width="12.33203125" customWidth="1"/>
    <col min="6659" max="6659" width="11.1640625" customWidth="1"/>
    <col min="6660" max="6660" width="10.6640625" customWidth="1"/>
    <col min="6661" max="6663" width="9.5" bestFit="1" customWidth="1"/>
    <col min="6664" max="6664" width="6.5" customWidth="1"/>
    <col min="6665" max="6665" width="41" customWidth="1"/>
    <col min="6666" max="6666" width="8.83203125" customWidth="1"/>
    <col min="6667" max="6667" width="9.5" bestFit="1" customWidth="1"/>
    <col min="6668" max="6668" width="8.83203125" customWidth="1"/>
    <col min="6669" max="6670" width="9.5" bestFit="1" customWidth="1"/>
    <col min="6671" max="6671" width="11" customWidth="1"/>
    <col min="6672" max="6672" width="13" customWidth="1"/>
    <col min="6673" max="6673" width="8.83203125" customWidth="1"/>
    <col min="6674" max="6674" width="9.5" bestFit="1" customWidth="1"/>
    <col min="6675" max="6675" width="8.83203125" customWidth="1"/>
    <col min="6676" max="6678" width="9.5" bestFit="1" customWidth="1"/>
    <col min="6679" max="6912" width="8.83203125" customWidth="1"/>
    <col min="6913" max="6913" width="18.83203125" customWidth="1"/>
    <col min="6914" max="6914" width="12.33203125" customWidth="1"/>
    <col min="6915" max="6915" width="11.1640625" customWidth="1"/>
    <col min="6916" max="6916" width="10.6640625" customWidth="1"/>
    <col min="6917" max="6919" width="9.5" bestFit="1" customWidth="1"/>
    <col min="6920" max="6920" width="6.5" customWidth="1"/>
    <col min="6921" max="6921" width="41" customWidth="1"/>
    <col min="6922" max="6922" width="8.83203125" customWidth="1"/>
    <col min="6923" max="6923" width="9.5" bestFit="1" customWidth="1"/>
    <col min="6924" max="6924" width="8.83203125" customWidth="1"/>
    <col min="6925" max="6926" width="9.5" bestFit="1" customWidth="1"/>
    <col min="6927" max="6927" width="11" customWidth="1"/>
    <col min="6928" max="6928" width="13" customWidth="1"/>
    <col min="6929" max="6929" width="8.83203125" customWidth="1"/>
    <col min="6930" max="6930" width="9.5" bestFit="1" customWidth="1"/>
    <col min="6931" max="6931" width="8.83203125" customWidth="1"/>
    <col min="6932" max="6934" width="9.5" bestFit="1" customWidth="1"/>
    <col min="6935" max="7168" width="8.83203125" customWidth="1"/>
    <col min="7169" max="7169" width="18.83203125" customWidth="1"/>
    <col min="7170" max="7170" width="12.33203125" customWidth="1"/>
    <col min="7171" max="7171" width="11.1640625" customWidth="1"/>
    <col min="7172" max="7172" width="10.6640625" customWidth="1"/>
    <col min="7173" max="7175" width="9.5" bestFit="1" customWidth="1"/>
    <col min="7176" max="7176" width="6.5" customWidth="1"/>
    <col min="7177" max="7177" width="41" customWidth="1"/>
    <col min="7178" max="7178" width="8.83203125" customWidth="1"/>
    <col min="7179" max="7179" width="9.5" bestFit="1" customWidth="1"/>
    <col min="7180" max="7180" width="8.83203125" customWidth="1"/>
    <col min="7181" max="7182" width="9.5" bestFit="1" customWidth="1"/>
    <col min="7183" max="7183" width="11" customWidth="1"/>
    <col min="7184" max="7184" width="13" customWidth="1"/>
    <col min="7185" max="7185" width="8.83203125" customWidth="1"/>
    <col min="7186" max="7186" width="9.5" bestFit="1" customWidth="1"/>
    <col min="7187" max="7187" width="8.83203125" customWidth="1"/>
    <col min="7188" max="7190" width="9.5" bestFit="1" customWidth="1"/>
    <col min="7191" max="7424" width="8.83203125" customWidth="1"/>
    <col min="7425" max="7425" width="18.83203125" customWidth="1"/>
    <col min="7426" max="7426" width="12.33203125" customWidth="1"/>
    <col min="7427" max="7427" width="11.1640625" customWidth="1"/>
    <col min="7428" max="7428" width="10.6640625" customWidth="1"/>
    <col min="7429" max="7431" width="9.5" bestFit="1" customWidth="1"/>
    <col min="7432" max="7432" width="6.5" customWidth="1"/>
    <col min="7433" max="7433" width="41" customWidth="1"/>
    <col min="7434" max="7434" width="8.83203125" customWidth="1"/>
    <col min="7435" max="7435" width="9.5" bestFit="1" customWidth="1"/>
    <col min="7436" max="7436" width="8.83203125" customWidth="1"/>
    <col min="7437" max="7438" width="9.5" bestFit="1" customWidth="1"/>
    <col min="7439" max="7439" width="11" customWidth="1"/>
    <col min="7440" max="7440" width="13" customWidth="1"/>
    <col min="7441" max="7441" width="8.83203125" customWidth="1"/>
    <col min="7442" max="7442" width="9.5" bestFit="1" customWidth="1"/>
    <col min="7443" max="7443" width="8.83203125" customWidth="1"/>
    <col min="7444" max="7446" width="9.5" bestFit="1" customWidth="1"/>
    <col min="7447" max="7680" width="8.83203125" customWidth="1"/>
    <col min="7681" max="7681" width="18.83203125" customWidth="1"/>
    <col min="7682" max="7682" width="12.33203125" customWidth="1"/>
    <col min="7683" max="7683" width="11.1640625" customWidth="1"/>
    <col min="7684" max="7684" width="10.6640625" customWidth="1"/>
    <col min="7685" max="7687" width="9.5" bestFit="1" customWidth="1"/>
    <col min="7688" max="7688" width="6.5" customWidth="1"/>
    <col min="7689" max="7689" width="41" customWidth="1"/>
    <col min="7690" max="7690" width="8.83203125" customWidth="1"/>
    <col min="7691" max="7691" width="9.5" bestFit="1" customWidth="1"/>
    <col min="7692" max="7692" width="8.83203125" customWidth="1"/>
    <col min="7693" max="7694" width="9.5" bestFit="1" customWidth="1"/>
    <col min="7695" max="7695" width="11" customWidth="1"/>
    <col min="7696" max="7696" width="13" customWidth="1"/>
    <col min="7697" max="7697" width="8.83203125" customWidth="1"/>
    <col min="7698" max="7698" width="9.5" bestFit="1" customWidth="1"/>
    <col min="7699" max="7699" width="8.83203125" customWidth="1"/>
    <col min="7700" max="7702" width="9.5" bestFit="1" customWidth="1"/>
    <col min="7703" max="7936" width="8.83203125" customWidth="1"/>
    <col min="7937" max="7937" width="18.83203125" customWidth="1"/>
    <col min="7938" max="7938" width="12.33203125" customWidth="1"/>
    <col min="7939" max="7939" width="11.1640625" customWidth="1"/>
    <col min="7940" max="7940" width="10.6640625" customWidth="1"/>
    <col min="7941" max="7943" width="9.5" bestFit="1" customWidth="1"/>
    <col min="7944" max="7944" width="6.5" customWidth="1"/>
    <col min="7945" max="7945" width="41" customWidth="1"/>
    <col min="7946" max="7946" width="8.83203125" customWidth="1"/>
    <col min="7947" max="7947" width="9.5" bestFit="1" customWidth="1"/>
    <col min="7948" max="7948" width="8.83203125" customWidth="1"/>
    <col min="7949" max="7950" width="9.5" bestFit="1" customWidth="1"/>
    <col min="7951" max="7951" width="11" customWidth="1"/>
    <col min="7952" max="7952" width="13" customWidth="1"/>
    <col min="7953" max="7953" width="8.83203125" customWidth="1"/>
    <col min="7954" max="7954" width="9.5" bestFit="1" customWidth="1"/>
    <col min="7955" max="7955" width="8.83203125" customWidth="1"/>
    <col min="7956" max="7958" width="9.5" bestFit="1" customWidth="1"/>
    <col min="7959" max="8192" width="8.83203125" customWidth="1"/>
    <col min="8193" max="8193" width="18.83203125" customWidth="1"/>
    <col min="8194" max="8194" width="12.33203125" customWidth="1"/>
    <col min="8195" max="8195" width="11.1640625" customWidth="1"/>
    <col min="8196" max="8196" width="10.6640625" customWidth="1"/>
    <col min="8197" max="8199" width="9.5" bestFit="1" customWidth="1"/>
    <col min="8200" max="8200" width="6.5" customWidth="1"/>
    <col min="8201" max="8201" width="41" customWidth="1"/>
    <col min="8202" max="8202" width="8.83203125" customWidth="1"/>
    <col min="8203" max="8203" width="9.5" bestFit="1" customWidth="1"/>
    <col min="8204" max="8204" width="8.83203125" customWidth="1"/>
    <col min="8205" max="8206" width="9.5" bestFit="1" customWidth="1"/>
    <col min="8207" max="8207" width="11" customWidth="1"/>
    <col min="8208" max="8208" width="13" customWidth="1"/>
    <col min="8209" max="8209" width="8.83203125" customWidth="1"/>
    <col min="8210" max="8210" width="9.5" bestFit="1" customWidth="1"/>
    <col min="8211" max="8211" width="8.83203125" customWidth="1"/>
    <col min="8212" max="8214" width="9.5" bestFit="1" customWidth="1"/>
    <col min="8215" max="8448" width="8.83203125" customWidth="1"/>
    <col min="8449" max="8449" width="18.83203125" customWidth="1"/>
    <col min="8450" max="8450" width="12.33203125" customWidth="1"/>
    <col min="8451" max="8451" width="11.1640625" customWidth="1"/>
    <col min="8452" max="8452" width="10.6640625" customWidth="1"/>
    <col min="8453" max="8455" width="9.5" bestFit="1" customWidth="1"/>
    <col min="8456" max="8456" width="6.5" customWidth="1"/>
    <col min="8457" max="8457" width="41" customWidth="1"/>
    <col min="8458" max="8458" width="8.83203125" customWidth="1"/>
    <col min="8459" max="8459" width="9.5" bestFit="1" customWidth="1"/>
    <col min="8460" max="8460" width="8.83203125" customWidth="1"/>
    <col min="8461" max="8462" width="9.5" bestFit="1" customWidth="1"/>
    <col min="8463" max="8463" width="11" customWidth="1"/>
    <col min="8464" max="8464" width="13" customWidth="1"/>
    <col min="8465" max="8465" width="8.83203125" customWidth="1"/>
    <col min="8466" max="8466" width="9.5" bestFit="1" customWidth="1"/>
    <col min="8467" max="8467" width="8.83203125" customWidth="1"/>
    <col min="8468" max="8470" width="9.5" bestFit="1" customWidth="1"/>
    <col min="8471" max="8704" width="8.83203125" customWidth="1"/>
    <col min="8705" max="8705" width="18.83203125" customWidth="1"/>
    <col min="8706" max="8706" width="12.33203125" customWidth="1"/>
    <col min="8707" max="8707" width="11.1640625" customWidth="1"/>
    <col min="8708" max="8708" width="10.6640625" customWidth="1"/>
    <col min="8709" max="8711" width="9.5" bestFit="1" customWidth="1"/>
    <col min="8712" max="8712" width="6.5" customWidth="1"/>
    <col min="8713" max="8713" width="41" customWidth="1"/>
    <col min="8714" max="8714" width="8.83203125" customWidth="1"/>
    <col min="8715" max="8715" width="9.5" bestFit="1" customWidth="1"/>
    <col min="8716" max="8716" width="8.83203125" customWidth="1"/>
    <col min="8717" max="8718" width="9.5" bestFit="1" customWidth="1"/>
    <col min="8719" max="8719" width="11" customWidth="1"/>
    <col min="8720" max="8720" width="13" customWidth="1"/>
    <col min="8721" max="8721" width="8.83203125" customWidth="1"/>
    <col min="8722" max="8722" width="9.5" bestFit="1" customWidth="1"/>
    <col min="8723" max="8723" width="8.83203125" customWidth="1"/>
    <col min="8724" max="8726" width="9.5" bestFit="1" customWidth="1"/>
    <col min="8727" max="8960" width="8.83203125" customWidth="1"/>
    <col min="8961" max="8961" width="18.83203125" customWidth="1"/>
    <col min="8962" max="8962" width="12.33203125" customWidth="1"/>
    <col min="8963" max="8963" width="11.1640625" customWidth="1"/>
    <col min="8964" max="8964" width="10.6640625" customWidth="1"/>
    <col min="8965" max="8967" width="9.5" bestFit="1" customWidth="1"/>
    <col min="8968" max="8968" width="6.5" customWidth="1"/>
    <col min="8969" max="8969" width="41" customWidth="1"/>
    <col min="8970" max="8970" width="8.83203125" customWidth="1"/>
    <col min="8971" max="8971" width="9.5" bestFit="1" customWidth="1"/>
    <col min="8972" max="8972" width="8.83203125" customWidth="1"/>
    <col min="8973" max="8974" width="9.5" bestFit="1" customWidth="1"/>
    <col min="8975" max="8975" width="11" customWidth="1"/>
    <col min="8976" max="8976" width="13" customWidth="1"/>
    <col min="8977" max="8977" width="8.83203125" customWidth="1"/>
    <col min="8978" max="8978" width="9.5" bestFit="1" customWidth="1"/>
    <col min="8979" max="8979" width="8.83203125" customWidth="1"/>
    <col min="8980" max="8982" width="9.5" bestFit="1" customWidth="1"/>
    <col min="8983" max="9216" width="8.83203125" customWidth="1"/>
    <col min="9217" max="9217" width="18.83203125" customWidth="1"/>
    <col min="9218" max="9218" width="12.33203125" customWidth="1"/>
    <col min="9219" max="9219" width="11.1640625" customWidth="1"/>
    <col min="9220" max="9220" width="10.6640625" customWidth="1"/>
    <col min="9221" max="9223" width="9.5" bestFit="1" customWidth="1"/>
    <col min="9224" max="9224" width="6.5" customWidth="1"/>
    <col min="9225" max="9225" width="41" customWidth="1"/>
    <col min="9226" max="9226" width="8.83203125" customWidth="1"/>
    <col min="9227" max="9227" width="9.5" bestFit="1" customWidth="1"/>
    <col min="9228" max="9228" width="8.83203125" customWidth="1"/>
    <col min="9229" max="9230" width="9.5" bestFit="1" customWidth="1"/>
    <col min="9231" max="9231" width="11" customWidth="1"/>
    <col min="9232" max="9232" width="13" customWidth="1"/>
    <col min="9233" max="9233" width="8.83203125" customWidth="1"/>
    <col min="9234" max="9234" width="9.5" bestFit="1" customWidth="1"/>
    <col min="9235" max="9235" width="8.83203125" customWidth="1"/>
    <col min="9236" max="9238" width="9.5" bestFit="1" customWidth="1"/>
    <col min="9239" max="9472" width="8.83203125" customWidth="1"/>
    <col min="9473" max="9473" width="18.83203125" customWidth="1"/>
    <col min="9474" max="9474" width="12.33203125" customWidth="1"/>
    <col min="9475" max="9475" width="11.1640625" customWidth="1"/>
    <col min="9476" max="9476" width="10.6640625" customWidth="1"/>
    <col min="9477" max="9479" width="9.5" bestFit="1" customWidth="1"/>
    <col min="9480" max="9480" width="6.5" customWidth="1"/>
    <col min="9481" max="9481" width="41" customWidth="1"/>
    <col min="9482" max="9482" width="8.83203125" customWidth="1"/>
    <col min="9483" max="9483" width="9.5" bestFit="1" customWidth="1"/>
    <col min="9484" max="9484" width="8.83203125" customWidth="1"/>
    <col min="9485" max="9486" width="9.5" bestFit="1" customWidth="1"/>
    <col min="9487" max="9487" width="11" customWidth="1"/>
    <col min="9488" max="9488" width="13" customWidth="1"/>
    <col min="9489" max="9489" width="8.83203125" customWidth="1"/>
    <col min="9490" max="9490" width="9.5" bestFit="1" customWidth="1"/>
    <col min="9491" max="9491" width="8.83203125" customWidth="1"/>
    <col min="9492" max="9494" width="9.5" bestFit="1" customWidth="1"/>
    <col min="9495" max="9728" width="8.83203125" customWidth="1"/>
    <col min="9729" max="9729" width="18.83203125" customWidth="1"/>
    <col min="9730" max="9730" width="12.33203125" customWidth="1"/>
    <col min="9731" max="9731" width="11.1640625" customWidth="1"/>
    <col min="9732" max="9732" width="10.6640625" customWidth="1"/>
    <col min="9733" max="9735" width="9.5" bestFit="1" customWidth="1"/>
    <col min="9736" max="9736" width="6.5" customWidth="1"/>
    <col min="9737" max="9737" width="41" customWidth="1"/>
    <col min="9738" max="9738" width="8.83203125" customWidth="1"/>
    <col min="9739" max="9739" width="9.5" bestFit="1" customWidth="1"/>
    <col min="9740" max="9740" width="8.83203125" customWidth="1"/>
    <col min="9741" max="9742" width="9.5" bestFit="1" customWidth="1"/>
    <col min="9743" max="9743" width="11" customWidth="1"/>
    <col min="9744" max="9744" width="13" customWidth="1"/>
    <col min="9745" max="9745" width="8.83203125" customWidth="1"/>
    <col min="9746" max="9746" width="9.5" bestFit="1" customWidth="1"/>
    <col min="9747" max="9747" width="8.83203125" customWidth="1"/>
    <col min="9748" max="9750" width="9.5" bestFit="1" customWidth="1"/>
    <col min="9751" max="9984" width="8.83203125" customWidth="1"/>
    <col min="9985" max="9985" width="18.83203125" customWidth="1"/>
    <col min="9986" max="9986" width="12.33203125" customWidth="1"/>
    <col min="9987" max="9987" width="11.1640625" customWidth="1"/>
    <col min="9988" max="9988" width="10.6640625" customWidth="1"/>
    <col min="9989" max="9991" width="9.5" bestFit="1" customWidth="1"/>
    <col min="9992" max="9992" width="6.5" customWidth="1"/>
    <col min="9993" max="9993" width="41" customWidth="1"/>
    <col min="9994" max="9994" width="8.83203125" customWidth="1"/>
    <col min="9995" max="9995" width="9.5" bestFit="1" customWidth="1"/>
    <col min="9996" max="9996" width="8.83203125" customWidth="1"/>
    <col min="9997" max="9998" width="9.5" bestFit="1" customWidth="1"/>
    <col min="9999" max="9999" width="11" customWidth="1"/>
    <col min="10000" max="10000" width="13" customWidth="1"/>
    <col min="10001" max="10001" width="8.83203125" customWidth="1"/>
    <col min="10002" max="10002" width="9.5" bestFit="1" customWidth="1"/>
    <col min="10003" max="10003" width="8.83203125" customWidth="1"/>
    <col min="10004" max="10006" width="9.5" bestFit="1" customWidth="1"/>
    <col min="10007" max="10240" width="8.83203125" customWidth="1"/>
    <col min="10241" max="10241" width="18.83203125" customWidth="1"/>
    <col min="10242" max="10242" width="12.33203125" customWidth="1"/>
    <col min="10243" max="10243" width="11.1640625" customWidth="1"/>
    <col min="10244" max="10244" width="10.6640625" customWidth="1"/>
    <col min="10245" max="10247" width="9.5" bestFit="1" customWidth="1"/>
    <col min="10248" max="10248" width="6.5" customWidth="1"/>
    <col min="10249" max="10249" width="41" customWidth="1"/>
    <col min="10250" max="10250" width="8.83203125" customWidth="1"/>
    <col min="10251" max="10251" width="9.5" bestFit="1" customWidth="1"/>
    <col min="10252" max="10252" width="8.83203125" customWidth="1"/>
    <col min="10253" max="10254" width="9.5" bestFit="1" customWidth="1"/>
    <col min="10255" max="10255" width="11" customWidth="1"/>
    <col min="10256" max="10256" width="13" customWidth="1"/>
    <col min="10257" max="10257" width="8.83203125" customWidth="1"/>
    <col min="10258" max="10258" width="9.5" bestFit="1" customWidth="1"/>
    <col min="10259" max="10259" width="8.83203125" customWidth="1"/>
    <col min="10260" max="10262" width="9.5" bestFit="1" customWidth="1"/>
    <col min="10263" max="10496" width="8.83203125" customWidth="1"/>
    <col min="10497" max="10497" width="18.83203125" customWidth="1"/>
    <col min="10498" max="10498" width="12.33203125" customWidth="1"/>
    <col min="10499" max="10499" width="11.1640625" customWidth="1"/>
    <col min="10500" max="10500" width="10.6640625" customWidth="1"/>
    <col min="10501" max="10503" width="9.5" bestFit="1" customWidth="1"/>
    <col min="10504" max="10504" width="6.5" customWidth="1"/>
    <col min="10505" max="10505" width="41" customWidth="1"/>
    <col min="10506" max="10506" width="8.83203125" customWidth="1"/>
    <col min="10507" max="10507" width="9.5" bestFit="1" customWidth="1"/>
    <col min="10508" max="10508" width="8.83203125" customWidth="1"/>
    <col min="10509" max="10510" width="9.5" bestFit="1" customWidth="1"/>
    <col min="10511" max="10511" width="11" customWidth="1"/>
    <col min="10512" max="10512" width="13" customWidth="1"/>
    <col min="10513" max="10513" width="8.83203125" customWidth="1"/>
    <col min="10514" max="10514" width="9.5" bestFit="1" customWidth="1"/>
    <col min="10515" max="10515" width="8.83203125" customWidth="1"/>
    <col min="10516" max="10518" width="9.5" bestFit="1" customWidth="1"/>
    <col min="10519" max="10752" width="8.83203125" customWidth="1"/>
    <col min="10753" max="10753" width="18.83203125" customWidth="1"/>
    <col min="10754" max="10754" width="12.33203125" customWidth="1"/>
    <col min="10755" max="10755" width="11.1640625" customWidth="1"/>
    <col min="10756" max="10756" width="10.6640625" customWidth="1"/>
    <col min="10757" max="10759" width="9.5" bestFit="1" customWidth="1"/>
    <col min="10760" max="10760" width="6.5" customWidth="1"/>
    <col min="10761" max="10761" width="41" customWidth="1"/>
    <col min="10762" max="10762" width="8.83203125" customWidth="1"/>
    <col min="10763" max="10763" width="9.5" bestFit="1" customWidth="1"/>
    <col min="10764" max="10764" width="8.83203125" customWidth="1"/>
    <col min="10765" max="10766" width="9.5" bestFit="1" customWidth="1"/>
    <col min="10767" max="10767" width="11" customWidth="1"/>
    <col min="10768" max="10768" width="13" customWidth="1"/>
    <col min="10769" max="10769" width="8.83203125" customWidth="1"/>
    <col min="10770" max="10770" width="9.5" bestFit="1" customWidth="1"/>
    <col min="10771" max="10771" width="8.83203125" customWidth="1"/>
    <col min="10772" max="10774" width="9.5" bestFit="1" customWidth="1"/>
    <col min="10775" max="11008" width="8.83203125" customWidth="1"/>
    <col min="11009" max="11009" width="18.83203125" customWidth="1"/>
    <col min="11010" max="11010" width="12.33203125" customWidth="1"/>
    <col min="11011" max="11011" width="11.1640625" customWidth="1"/>
    <col min="11012" max="11012" width="10.6640625" customWidth="1"/>
    <col min="11013" max="11015" width="9.5" bestFit="1" customWidth="1"/>
    <col min="11016" max="11016" width="6.5" customWidth="1"/>
    <col min="11017" max="11017" width="41" customWidth="1"/>
    <col min="11018" max="11018" width="8.83203125" customWidth="1"/>
    <col min="11019" max="11019" width="9.5" bestFit="1" customWidth="1"/>
    <col min="11020" max="11020" width="8.83203125" customWidth="1"/>
    <col min="11021" max="11022" width="9.5" bestFit="1" customWidth="1"/>
    <col min="11023" max="11023" width="11" customWidth="1"/>
    <col min="11024" max="11024" width="13" customWidth="1"/>
    <col min="11025" max="11025" width="8.83203125" customWidth="1"/>
    <col min="11026" max="11026" width="9.5" bestFit="1" customWidth="1"/>
    <col min="11027" max="11027" width="8.83203125" customWidth="1"/>
    <col min="11028" max="11030" width="9.5" bestFit="1" customWidth="1"/>
    <col min="11031" max="11264" width="8.83203125" customWidth="1"/>
    <col min="11265" max="11265" width="18.83203125" customWidth="1"/>
    <col min="11266" max="11266" width="12.33203125" customWidth="1"/>
    <col min="11267" max="11267" width="11.1640625" customWidth="1"/>
    <col min="11268" max="11268" width="10.6640625" customWidth="1"/>
    <col min="11269" max="11271" width="9.5" bestFit="1" customWidth="1"/>
    <col min="11272" max="11272" width="6.5" customWidth="1"/>
    <col min="11273" max="11273" width="41" customWidth="1"/>
    <col min="11274" max="11274" width="8.83203125" customWidth="1"/>
    <col min="11275" max="11275" width="9.5" bestFit="1" customWidth="1"/>
    <col min="11276" max="11276" width="8.83203125" customWidth="1"/>
    <col min="11277" max="11278" width="9.5" bestFit="1" customWidth="1"/>
    <col min="11279" max="11279" width="11" customWidth="1"/>
    <col min="11280" max="11280" width="13" customWidth="1"/>
    <col min="11281" max="11281" width="8.83203125" customWidth="1"/>
    <col min="11282" max="11282" width="9.5" bestFit="1" customWidth="1"/>
    <col min="11283" max="11283" width="8.83203125" customWidth="1"/>
    <col min="11284" max="11286" width="9.5" bestFit="1" customWidth="1"/>
    <col min="11287" max="11520" width="8.83203125" customWidth="1"/>
    <col min="11521" max="11521" width="18.83203125" customWidth="1"/>
    <col min="11522" max="11522" width="12.33203125" customWidth="1"/>
    <col min="11523" max="11523" width="11.1640625" customWidth="1"/>
    <col min="11524" max="11524" width="10.6640625" customWidth="1"/>
    <col min="11525" max="11527" width="9.5" bestFit="1" customWidth="1"/>
    <col min="11528" max="11528" width="6.5" customWidth="1"/>
    <col min="11529" max="11529" width="41" customWidth="1"/>
    <col min="11530" max="11530" width="8.83203125" customWidth="1"/>
    <col min="11531" max="11531" width="9.5" bestFit="1" customWidth="1"/>
    <col min="11532" max="11532" width="8.83203125" customWidth="1"/>
    <col min="11533" max="11534" width="9.5" bestFit="1" customWidth="1"/>
    <col min="11535" max="11535" width="11" customWidth="1"/>
    <col min="11536" max="11536" width="13" customWidth="1"/>
    <col min="11537" max="11537" width="8.83203125" customWidth="1"/>
    <col min="11538" max="11538" width="9.5" bestFit="1" customWidth="1"/>
    <col min="11539" max="11539" width="8.83203125" customWidth="1"/>
    <col min="11540" max="11542" width="9.5" bestFit="1" customWidth="1"/>
    <col min="11543" max="11776" width="8.83203125" customWidth="1"/>
    <col min="11777" max="11777" width="18.83203125" customWidth="1"/>
    <col min="11778" max="11778" width="12.33203125" customWidth="1"/>
    <col min="11779" max="11779" width="11.1640625" customWidth="1"/>
    <col min="11780" max="11780" width="10.6640625" customWidth="1"/>
    <col min="11781" max="11783" width="9.5" bestFit="1" customWidth="1"/>
    <col min="11784" max="11784" width="6.5" customWidth="1"/>
    <col min="11785" max="11785" width="41" customWidth="1"/>
    <col min="11786" max="11786" width="8.83203125" customWidth="1"/>
    <col min="11787" max="11787" width="9.5" bestFit="1" customWidth="1"/>
    <col min="11788" max="11788" width="8.83203125" customWidth="1"/>
    <col min="11789" max="11790" width="9.5" bestFit="1" customWidth="1"/>
    <col min="11791" max="11791" width="11" customWidth="1"/>
    <col min="11792" max="11792" width="13" customWidth="1"/>
    <col min="11793" max="11793" width="8.83203125" customWidth="1"/>
    <col min="11794" max="11794" width="9.5" bestFit="1" customWidth="1"/>
    <col min="11795" max="11795" width="8.83203125" customWidth="1"/>
    <col min="11796" max="11798" width="9.5" bestFit="1" customWidth="1"/>
    <col min="11799" max="12032" width="8.83203125" customWidth="1"/>
    <col min="12033" max="12033" width="18.83203125" customWidth="1"/>
    <col min="12034" max="12034" width="12.33203125" customWidth="1"/>
    <col min="12035" max="12035" width="11.1640625" customWidth="1"/>
    <col min="12036" max="12036" width="10.6640625" customWidth="1"/>
    <col min="12037" max="12039" width="9.5" bestFit="1" customWidth="1"/>
    <col min="12040" max="12040" width="6.5" customWidth="1"/>
    <col min="12041" max="12041" width="41" customWidth="1"/>
    <col min="12042" max="12042" width="8.83203125" customWidth="1"/>
    <col min="12043" max="12043" width="9.5" bestFit="1" customWidth="1"/>
    <col min="12044" max="12044" width="8.83203125" customWidth="1"/>
    <col min="12045" max="12046" width="9.5" bestFit="1" customWidth="1"/>
    <col min="12047" max="12047" width="11" customWidth="1"/>
    <col min="12048" max="12048" width="13" customWidth="1"/>
    <col min="12049" max="12049" width="8.83203125" customWidth="1"/>
    <col min="12050" max="12050" width="9.5" bestFit="1" customWidth="1"/>
    <col min="12051" max="12051" width="8.83203125" customWidth="1"/>
    <col min="12052" max="12054" width="9.5" bestFit="1" customWidth="1"/>
    <col min="12055" max="12288" width="8.83203125" customWidth="1"/>
    <col min="12289" max="12289" width="18.83203125" customWidth="1"/>
    <col min="12290" max="12290" width="12.33203125" customWidth="1"/>
    <col min="12291" max="12291" width="11.1640625" customWidth="1"/>
    <col min="12292" max="12292" width="10.6640625" customWidth="1"/>
    <col min="12293" max="12295" width="9.5" bestFit="1" customWidth="1"/>
    <col min="12296" max="12296" width="6.5" customWidth="1"/>
    <col min="12297" max="12297" width="41" customWidth="1"/>
    <col min="12298" max="12298" width="8.83203125" customWidth="1"/>
    <col min="12299" max="12299" width="9.5" bestFit="1" customWidth="1"/>
    <col min="12300" max="12300" width="8.83203125" customWidth="1"/>
    <col min="12301" max="12302" width="9.5" bestFit="1" customWidth="1"/>
    <col min="12303" max="12303" width="11" customWidth="1"/>
    <col min="12304" max="12304" width="13" customWidth="1"/>
    <col min="12305" max="12305" width="8.83203125" customWidth="1"/>
    <col min="12306" max="12306" width="9.5" bestFit="1" customWidth="1"/>
    <col min="12307" max="12307" width="8.83203125" customWidth="1"/>
    <col min="12308" max="12310" width="9.5" bestFit="1" customWidth="1"/>
    <col min="12311" max="12544" width="8.83203125" customWidth="1"/>
    <col min="12545" max="12545" width="18.83203125" customWidth="1"/>
    <col min="12546" max="12546" width="12.33203125" customWidth="1"/>
    <col min="12547" max="12547" width="11.1640625" customWidth="1"/>
    <col min="12548" max="12548" width="10.6640625" customWidth="1"/>
    <col min="12549" max="12551" width="9.5" bestFit="1" customWidth="1"/>
    <col min="12552" max="12552" width="6.5" customWidth="1"/>
    <col min="12553" max="12553" width="41" customWidth="1"/>
    <col min="12554" max="12554" width="8.83203125" customWidth="1"/>
    <col min="12555" max="12555" width="9.5" bestFit="1" customWidth="1"/>
    <col min="12556" max="12556" width="8.83203125" customWidth="1"/>
    <col min="12557" max="12558" width="9.5" bestFit="1" customWidth="1"/>
    <col min="12559" max="12559" width="11" customWidth="1"/>
    <col min="12560" max="12560" width="13" customWidth="1"/>
    <col min="12561" max="12561" width="8.83203125" customWidth="1"/>
    <col min="12562" max="12562" width="9.5" bestFit="1" customWidth="1"/>
    <col min="12563" max="12563" width="8.83203125" customWidth="1"/>
    <col min="12564" max="12566" width="9.5" bestFit="1" customWidth="1"/>
    <col min="12567" max="12800" width="8.83203125" customWidth="1"/>
    <col min="12801" max="12801" width="18.83203125" customWidth="1"/>
    <col min="12802" max="12802" width="12.33203125" customWidth="1"/>
    <col min="12803" max="12803" width="11.1640625" customWidth="1"/>
    <col min="12804" max="12804" width="10.6640625" customWidth="1"/>
    <col min="12805" max="12807" width="9.5" bestFit="1" customWidth="1"/>
    <col min="12808" max="12808" width="6.5" customWidth="1"/>
    <col min="12809" max="12809" width="41" customWidth="1"/>
    <col min="12810" max="12810" width="8.83203125" customWidth="1"/>
    <col min="12811" max="12811" width="9.5" bestFit="1" customWidth="1"/>
    <col min="12812" max="12812" width="8.83203125" customWidth="1"/>
    <col min="12813" max="12814" width="9.5" bestFit="1" customWidth="1"/>
    <col min="12815" max="12815" width="11" customWidth="1"/>
    <col min="12816" max="12816" width="13" customWidth="1"/>
    <col min="12817" max="12817" width="8.83203125" customWidth="1"/>
    <col min="12818" max="12818" width="9.5" bestFit="1" customWidth="1"/>
    <col min="12819" max="12819" width="8.83203125" customWidth="1"/>
    <col min="12820" max="12822" width="9.5" bestFit="1" customWidth="1"/>
    <col min="12823" max="13056" width="8.83203125" customWidth="1"/>
    <col min="13057" max="13057" width="18.83203125" customWidth="1"/>
    <col min="13058" max="13058" width="12.33203125" customWidth="1"/>
    <col min="13059" max="13059" width="11.1640625" customWidth="1"/>
    <col min="13060" max="13060" width="10.6640625" customWidth="1"/>
    <col min="13061" max="13063" width="9.5" bestFit="1" customWidth="1"/>
    <col min="13064" max="13064" width="6.5" customWidth="1"/>
    <col min="13065" max="13065" width="41" customWidth="1"/>
    <col min="13066" max="13066" width="8.83203125" customWidth="1"/>
    <col min="13067" max="13067" width="9.5" bestFit="1" customWidth="1"/>
    <col min="13068" max="13068" width="8.83203125" customWidth="1"/>
    <col min="13069" max="13070" width="9.5" bestFit="1" customWidth="1"/>
    <col min="13071" max="13071" width="11" customWidth="1"/>
    <col min="13072" max="13072" width="13" customWidth="1"/>
    <col min="13073" max="13073" width="8.83203125" customWidth="1"/>
    <col min="13074" max="13074" width="9.5" bestFit="1" customWidth="1"/>
    <col min="13075" max="13075" width="8.83203125" customWidth="1"/>
    <col min="13076" max="13078" width="9.5" bestFit="1" customWidth="1"/>
    <col min="13079" max="13312" width="8.83203125" customWidth="1"/>
    <col min="13313" max="13313" width="18.83203125" customWidth="1"/>
    <col min="13314" max="13314" width="12.33203125" customWidth="1"/>
    <col min="13315" max="13315" width="11.1640625" customWidth="1"/>
    <col min="13316" max="13316" width="10.6640625" customWidth="1"/>
    <col min="13317" max="13319" width="9.5" bestFit="1" customWidth="1"/>
    <col min="13320" max="13320" width="6.5" customWidth="1"/>
    <col min="13321" max="13321" width="41" customWidth="1"/>
    <col min="13322" max="13322" width="8.83203125" customWidth="1"/>
    <col min="13323" max="13323" width="9.5" bestFit="1" customWidth="1"/>
    <col min="13324" max="13324" width="8.83203125" customWidth="1"/>
    <col min="13325" max="13326" width="9.5" bestFit="1" customWidth="1"/>
    <col min="13327" max="13327" width="11" customWidth="1"/>
    <col min="13328" max="13328" width="13" customWidth="1"/>
    <col min="13329" max="13329" width="8.83203125" customWidth="1"/>
    <col min="13330" max="13330" width="9.5" bestFit="1" customWidth="1"/>
    <col min="13331" max="13331" width="8.83203125" customWidth="1"/>
    <col min="13332" max="13334" width="9.5" bestFit="1" customWidth="1"/>
    <col min="13335" max="13568" width="8.83203125" customWidth="1"/>
    <col min="13569" max="13569" width="18.83203125" customWidth="1"/>
    <col min="13570" max="13570" width="12.33203125" customWidth="1"/>
    <col min="13571" max="13571" width="11.1640625" customWidth="1"/>
    <col min="13572" max="13572" width="10.6640625" customWidth="1"/>
    <col min="13573" max="13575" width="9.5" bestFit="1" customWidth="1"/>
    <col min="13576" max="13576" width="6.5" customWidth="1"/>
    <col min="13577" max="13577" width="41" customWidth="1"/>
    <col min="13578" max="13578" width="8.83203125" customWidth="1"/>
    <col min="13579" max="13579" width="9.5" bestFit="1" customWidth="1"/>
    <col min="13580" max="13580" width="8.83203125" customWidth="1"/>
    <col min="13581" max="13582" width="9.5" bestFit="1" customWidth="1"/>
    <col min="13583" max="13583" width="11" customWidth="1"/>
    <col min="13584" max="13584" width="13" customWidth="1"/>
    <col min="13585" max="13585" width="8.83203125" customWidth="1"/>
    <col min="13586" max="13586" width="9.5" bestFit="1" customWidth="1"/>
    <col min="13587" max="13587" width="8.83203125" customWidth="1"/>
    <col min="13588" max="13590" width="9.5" bestFit="1" customWidth="1"/>
    <col min="13591" max="13824" width="8.83203125" customWidth="1"/>
    <col min="13825" max="13825" width="18.83203125" customWidth="1"/>
    <col min="13826" max="13826" width="12.33203125" customWidth="1"/>
    <col min="13827" max="13827" width="11.1640625" customWidth="1"/>
    <col min="13828" max="13828" width="10.6640625" customWidth="1"/>
    <col min="13829" max="13831" width="9.5" bestFit="1" customWidth="1"/>
    <col min="13832" max="13832" width="6.5" customWidth="1"/>
    <col min="13833" max="13833" width="41" customWidth="1"/>
    <col min="13834" max="13834" width="8.83203125" customWidth="1"/>
    <col min="13835" max="13835" width="9.5" bestFit="1" customWidth="1"/>
    <col min="13836" max="13836" width="8.83203125" customWidth="1"/>
    <col min="13837" max="13838" width="9.5" bestFit="1" customWidth="1"/>
    <col min="13839" max="13839" width="11" customWidth="1"/>
    <col min="13840" max="13840" width="13" customWidth="1"/>
    <col min="13841" max="13841" width="8.83203125" customWidth="1"/>
    <col min="13842" max="13842" width="9.5" bestFit="1" customWidth="1"/>
    <col min="13843" max="13843" width="8.83203125" customWidth="1"/>
    <col min="13844" max="13846" width="9.5" bestFit="1" customWidth="1"/>
    <col min="13847" max="14080" width="8.83203125" customWidth="1"/>
    <col min="14081" max="14081" width="18.83203125" customWidth="1"/>
    <col min="14082" max="14082" width="12.33203125" customWidth="1"/>
    <col min="14083" max="14083" width="11.1640625" customWidth="1"/>
    <col min="14084" max="14084" width="10.6640625" customWidth="1"/>
    <col min="14085" max="14087" width="9.5" bestFit="1" customWidth="1"/>
    <col min="14088" max="14088" width="6.5" customWidth="1"/>
    <col min="14089" max="14089" width="41" customWidth="1"/>
    <col min="14090" max="14090" width="8.83203125" customWidth="1"/>
    <col min="14091" max="14091" width="9.5" bestFit="1" customWidth="1"/>
    <col min="14092" max="14092" width="8.83203125" customWidth="1"/>
    <col min="14093" max="14094" width="9.5" bestFit="1" customWidth="1"/>
    <col min="14095" max="14095" width="11" customWidth="1"/>
    <col min="14096" max="14096" width="13" customWidth="1"/>
    <col min="14097" max="14097" width="8.83203125" customWidth="1"/>
    <col min="14098" max="14098" width="9.5" bestFit="1" customWidth="1"/>
    <col min="14099" max="14099" width="8.83203125" customWidth="1"/>
    <col min="14100" max="14102" width="9.5" bestFit="1" customWidth="1"/>
    <col min="14103" max="14336" width="8.83203125" customWidth="1"/>
    <col min="14337" max="14337" width="18.83203125" customWidth="1"/>
    <col min="14338" max="14338" width="12.33203125" customWidth="1"/>
    <col min="14339" max="14339" width="11.1640625" customWidth="1"/>
    <col min="14340" max="14340" width="10.6640625" customWidth="1"/>
    <col min="14341" max="14343" width="9.5" bestFit="1" customWidth="1"/>
    <col min="14344" max="14344" width="6.5" customWidth="1"/>
    <col min="14345" max="14345" width="41" customWidth="1"/>
    <col min="14346" max="14346" width="8.83203125" customWidth="1"/>
    <col min="14347" max="14347" width="9.5" bestFit="1" customWidth="1"/>
    <col min="14348" max="14348" width="8.83203125" customWidth="1"/>
    <col min="14349" max="14350" width="9.5" bestFit="1" customWidth="1"/>
    <col min="14351" max="14351" width="11" customWidth="1"/>
    <col min="14352" max="14352" width="13" customWidth="1"/>
    <col min="14353" max="14353" width="8.83203125" customWidth="1"/>
    <col min="14354" max="14354" width="9.5" bestFit="1" customWidth="1"/>
    <col min="14355" max="14355" width="8.83203125" customWidth="1"/>
    <col min="14356" max="14358" width="9.5" bestFit="1" customWidth="1"/>
    <col min="14359" max="14592" width="8.83203125" customWidth="1"/>
    <col min="14593" max="14593" width="18.83203125" customWidth="1"/>
    <col min="14594" max="14594" width="12.33203125" customWidth="1"/>
    <col min="14595" max="14595" width="11.1640625" customWidth="1"/>
    <col min="14596" max="14596" width="10.6640625" customWidth="1"/>
    <col min="14597" max="14599" width="9.5" bestFit="1" customWidth="1"/>
    <col min="14600" max="14600" width="6.5" customWidth="1"/>
    <col min="14601" max="14601" width="41" customWidth="1"/>
    <col min="14602" max="14602" width="8.83203125" customWidth="1"/>
    <col min="14603" max="14603" width="9.5" bestFit="1" customWidth="1"/>
    <col min="14604" max="14604" width="8.83203125" customWidth="1"/>
    <col min="14605" max="14606" width="9.5" bestFit="1" customWidth="1"/>
    <col min="14607" max="14607" width="11" customWidth="1"/>
    <col min="14608" max="14608" width="13" customWidth="1"/>
    <col min="14609" max="14609" width="8.83203125" customWidth="1"/>
    <col min="14610" max="14610" width="9.5" bestFit="1" customWidth="1"/>
    <col min="14611" max="14611" width="8.83203125" customWidth="1"/>
    <col min="14612" max="14614" width="9.5" bestFit="1" customWidth="1"/>
    <col min="14615" max="14848" width="8.83203125" customWidth="1"/>
    <col min="14849" max="14849" width="18.83203125" customWidth="1"/>
    <col min="14850" max="14850" width="12.33203125" customWidth="1"/>
    <col min="14851" max="14851" width="11.1640625" customWidth="1"/>
    <col min="14852" max="14852" width="10.6640625" customWidth="1"/>
    <col min="14853" max="14855" width="9.5" bestFit="1" customWidth="1"/>
    <col min="14856" max="14856" width="6.5" customWidth="1"/>
    <col min="14857" max="14857" width="41" customWidth="1"/>
    <col min="14858" max="14858" width="8.83203125" customWidth="1"/>
    <col min="14859" max="14859" width="9.5" bestFit="1" customWidth="1"/>
    <col min="14860" max="14860" width="8.83203125" customWidth="1"/>
    <col min="14861" max="14862" width="9.5" bestFit="1" customWidth="1"/>
    <col min="14863" max="14863" width="11" customWidth="1"/>
    <col min="14864" max="14864" width="13" customWidth="1"/>
    <col min="14865" max="14865" width="8.83203125" customWidth="1"/>
    <col min="14866" max="14866" width="9.5" bestFit="1" customWidth="1"/>
    <col min="14867" max="14867" width="8.83203125" customWidth="1"/>
    <col min="14868" max="14870" width="9.5" bestFit="1" customWidth="1"/>
    <col min="14871" max="15104" width="8.83203125" customWidth="1"/>
    <col min="15105" max="15105" width="18.83203125" customWidth="1"/>
    <col min="15106" max="15106" width="12.33203125" customWidth="1"/>
    <col min="15107" max="15107" width="11.1640625" customWidth="1"/>
    <col min="15108" max="15108" width="10.6640625" customWidth="1"/>
    <col min="15109" max="15111" width="9.5" bestFit="1" customWidth="1"/>
    <col min="15112" max="15112" width="6.5" customWidth="1"/>
    <col min="15113" max="15113" width="41" customWidth="1"/>
    <col min="15114" max="15114" width="8.83203125" customWidth="1"/>
    <col min="15115" max="15115" width="9.5" bestFit="1" customWidth="1"/>
    <col min="15116" max="15116" width="8.83203125" customWidth="1"/>
    <col min="15117" max="15118" width="9.5" bestFit="1" customWidth="1"/>
    <col min="15119" max="15119" width="11" customWidth="1"/>
    <col min="15120" max="15120" width="13" customWidth="1"/>
    <col min="15121" max="15121" width="8.83203125" customWidth="1"/>
    <col min="15122" max="15122" width="9.5" bestFit="1" customWidth="1"/>
    <col min="15123" max="15123" width="8.83203125" customWidth="1"/>
    <col min="15124" max="15126" width="9.5" bestFit="1" customWidth="1"/>
    <col min="15127" max="15360" width="8.83203125" customWidth="1"/>
    <col min="15361" max="15361" width="18.83203125" customWidth="1"/>
    <col min="15362" max="15362" width="12.33203125" customWidth="1"/>
    <col min="15363" max="15363" width="11.1640625" customWidth="1"/>
    <col min="15364" max="15364" width="10.6640625" customWidth="1"/>
    <col min="15365" max="15367" width="9.5" bestFit="1" customWidth="1"/>
    <col min="15368" max="15368" width="6.5" customWidth="1"/>
    <col min="15369" max="15369" width="41" customWidth="1"/>
    <col min="15370" max="15370" width="8.83203125" customWidth="1"/>
    <col min="15371" max="15371" width="9.5" bestFit="1" customWidth="1"/>
    <col min="15372" max="15372" width="8.83203125" customWidth="1"/>
    <col min="15373" max="15374" width="9.5" bestFit="1" customWidth="1"/>
    <col min="15375" max="15375" width="11" customWidth="1"/>
    <col min="15376" max="15376" width="13" customWidth="1"/>
    <col min="15377" max="15377" width="8.83203125" customWidth="1"/>
    <col min="15378" max="15378" width="9.5" bestFit="1" customWidth="1"/>
    <col min="15379" max="15379" width="8.83203125" customWidth="1"/>
    <col min="15380" max="15382" width="9.5" bestFit="1" customWidth="1"/>
    <col min="15383" max="15616" width="8.83203125" customWidth="1"/>
    <col min="15617" max="15617" width="18.83203125" customWidth="1"/>
    <col min="15618" max="15618" width="12.33203125" customWidth="1"/>
    <col min="15619" max="15619" width="11.1640625" customWidth="1"/>
    <col min="15620" max="15620" width="10.6640625" customWidth="1"/>
    <col min="15621" max="15623" width="9.5" bestFit="1" customWidth="1"/>
    <col min="15624" max="15624" width="6.5" customWidth="1"/>
    <col min="15625" max="15625" width="41" customWidth="1"/>
    <col min="15626" max="15626" width="8.83203125" customWidth="1"/>
    <col min="15627" max="15627" width="9.5" bestFit="1" customWidth="1"/>
    <col min="15628" max="15628" width="8.83203125" customWidth="1"/>
    <col min="15629" max="15630" width="9.5" bestFit="1" customWidth="1"/>
    <col min="15631" max="15631" width="11" customWidth="1"/>
    <col min="15632" max="15632" width="13" customWidth="1"/>
    <col min="15633" max="15633" width="8.83203125" customWidth="1"/>
    <col min="15634" max="15634" width="9.5" bestFit="1" customWidth="1"/>
    <col min="15635" max="15635" width="8.83203125" customWidth="1"/>
    <col min="15636" max="15638" width="9.5" bestFit="1" customWidth="1"/>
    <col min="15639" max="15872" width="8.83203125" customWidth="1"/>
    <col min="15873" max="15873" width="18.83203125" customWidth="1"/>
    <col min="15874" max="15874" width="12.33203125" customWidth="1"/>
    <col min="15875" max="15875" width="11.1640625" customWidth="1"/>
    <col min="15876" max="15876" width="10.6640625" customWidth="1"/>
    <col min="15877" max="15879" width="9.5" bestFit="1" customWidth="1"/>
    <col min="15880" max="15880" width="6.5" customWidth="1"/>
    <col min="15881" max="15881" width="41" customWidth="1"/>
    <col min="15882" max="15882" width="8.83203125" customWidth="1"/>
    <col min="15883" max="15883" width="9.5" bestFit="1" customWidth="1"/>
    <col min="15884" max="15884" width="8.83203125" customWidth="1"/>
    <col min="15885" max="15886" width="9.5" bestFit="1" customWidth="1"/>
    <col min="15887" max="15887" width="11" customWidth="1"/>
    <col min="15888" max="15888" width="13" customWidth="1"/>
    <col min="15889" max="15889" width="8.83203125" customWidth="1"/>
    <col min="15890" max="15890" width="9.5" bestFit="1" customWidth="1"/>
    <col min="15891" max="15891" width="8.83203125" customWidth="1"/>
    <col min="15892" max="15894" width="9.5" bestFit="1" customWidth="1"/>
    <col min="15895" max="16128" width="8.83203125" customWidth="1"/>
    <col min="16129" max="16129" width="18.83203125" customWidth="1"/>
    <col min="16130" max="16130" width="12.33203125" customWidth="1"/>
    <col min="16131" max="16131" width="11.1640625" customWidth="1"/>
    <col min="16132" max="16132" width="10.6640625" customWidth="1"/>
    <col min="16133" max="16135" width="9.5" bestFit="1" customWidth="1"/>
    <col min="16136" max="16136" width="6.5" customWidth="1"/>
    <col min="16137" max="16137" width="41" customWidth="1"/>
    <col min="16138" max="16138" width="8.83203125" customWidth="1"/>
    <col min="16139" max="16139" width="9.5" bestFit="1" customWidth="1"/>
    <col min="16140" max="16140" width="8.83203125" customWidth="1"/>
    <col min="16141" max="16142" width="9.5" bestFit="1" customWidth="1"/>
    <col min="16143" max="16143" width="11" customWidth="1"/>
    <col min="16144" max="16144" width="13" customWidth="1"/>
    <col min="16145" max="16145" width="8.83203125" customWidth="1"/>
    <col min="16146" max="16146" width="9.5" bestFit="1" customWidth="1"/>
    <col min="16147" max="16147" width="8.83203125" customWidth="1"/>
    <col min="16148" max="16150" width="9.5" bestFit="1" customWidth="1"/>
    <col min="16151" max="16384" width="8.83203125" customWidth="1"/>
  </cols>
  <sheetData>
    <row r="1" spans="1:26" ht="19" x14ac:dyDescent="0.25">
      <c r="A1" s="3" t="s">
        <v>80</v>
      </c>
    </row>
    <row r="2" spans="1:26" x14ac:dyDescent="0.2">
      <c r="A2" t="s">
        <v>81</v>
      </c>
    </row>
    <row r="3" spans="1:26" x14ac:dyDescent="0.2">
      <c r="A3" s="2" t="s">
        <v>82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6" x14ac:dyDescent="0.2">
      <c r="A4" s="43" t="s">
        <v>83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3" t="s">
        <v>84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3" t="s">
        <v>85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4" t="s">
        <v>86</v>
      </c>
      <c r="B10" s="44"/>
      <c r="C10" s="44"/>
      <c r="D10" s="44"/>
      <c r="E10" s="44"/>
      <c r="F10" s="44"/>
      <c r="G10" s="44"/>
      <c r="H10" s="44"/>
      <c r="I10" s="38"/>
      <c r="J10" s="38"/>
      <c r="K10" s="38"/>
      <c r="L10" s="38"/>
      <c r="M10" s="38"/>
      <c r="N10" s="3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6" ht="19" x14ac:dyDescent="0.25">
      <c r="A12" s="48" t="s">
        <v>87</v>
      </c>
      <c r="B12" s="49"/>
      <c r="C12" s="49"/>
      <c r="D12" s="49"/>
      <c r="E12" s="49"/>
      <c r="F12" s="49"/>
      <c r="G12" s="50"/>
    </row>
    <row r="13" spans="1:26" ht="16" x14ac:dyDescent="0.2">
      <c r="A13" s="40" t="s">
        <v>21</v>
      </c>
      <c r="B13" s="41"/>
      <c r="C13" s="41"/>
      <c r="D13" s="41"/>
      <c r="E13" s="41"/>
      <c r="F13" s="41"/>
      <c r="G13" s="42"/>
    </row>
    <row r="14" spans="1:26" ht="32" x14ac:dyDescent="0.2">
      <c r="A14" s="4" t="s">
        <v>0</v>
      </c>
      <c r="B14" s="5" t="s">
        <v>4</v>
      </c>
      <c r="C14" s="5" t="s">
        <v>5</v>
      </c>
      <c r="D14" s="5" t="s">
        <v>6</v>
      </c>
      <c r="E14" s="5" t="s">
        <v>7</v>
      </c>
      <c r="F14" s="8" t="s">
        <v>8</v>
      </c>
      <c r="G14" s="6" t="s">
        <v>9</v>
      </c>
      <c r="H14" s="1"/>
      <c r="I14" s="1"/>
      <c r="J14" s="1"/>
      <c r="K14" s="1"/>
      <c r="L14" s="1"/>
      <c r="M14" s="1"/>
      <c r="N14" s="1"/>
      <c r="O14" s="1"/>
    </row>
    <row r="15" spans="1:26" x14ac:dyDescent="0.2">
      <c r="A15" s="13" t="s">
        <v>1</v>
      </c>
      <c r="B15" s="14">
        <v>45</v>
      </c>
      <c r="C15" s="15">
        <f>B15*400</f>
        <v>18000</v>
      </c>
      <c r="D15" s="14">
        <v>2.5</v>
      </c>
      <c r="E15" s="15">
        <f>C15*D15</f>
        <v>45000</v>
      </c>
      <c r="F15" s="16">
        <f>AVERAGE(E15:E17)</f>
        <v>49333.333333333336</v>
      </c>
      <c r="G15" s="17">
        <f>_xlfn.STDEV.S(E15:E17)</f>
        <v>6658.328118479405</v>
      </c>
      <c r="H15" s="1"/>
      <c r="I15" s="1"/>
      <c r="J15" s="1"/>
      <c r="K15" s="1"/>
      <c r="L15" s="1"/>
      <c r="M15" s="1"/>
      <c r="N15" s="1"/>
      <c r="O15" s="1"/>
    </row>
    <row r="16" spans="1:26" x14ac:dyDescent="0.2">
      <c r="A16" s="13" t="s">
        <v>2</v>
      </c>
      <c r="B16" s="14">
        <v>46</v>
      </c>
      <c r="C16" s="15">
        <f>B16*400</f>
        <v>18400</v>
      </c>
      <c r="D16" s="14">
        <v>2.5</v>
      </c>
      <c r="E16" s="15">
        <f>C16*D16</f>
        <v>46000</v>
      </c>
      <c r="F16" s="15"/>
      <c r="G16" s="18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9" t="s">
        <v>3</v>
      </c>
      <c r="B17" s="20">
        <v>57</v>
      </c>
      <c r="C17" s="21">
        <f>B17*400</f>
        <v>22800</v>
      </c>
      <c r="D17" s="20">
        <v>2.5</v>
      </c>
      <c r="E17" s="21">
        <f>C17*D17</f>
        <v>57000</v>
      </c>
      <c r="F17" s="21"/>
      <c r="G17" s="22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9" x14ac:dyDescent="0.25">
      <c r="A19" s="45" t="s">
        <v>88</v>
      </c>
      <c r="B19" s="46"/>
      <c r="C19" s="46"/>
      <c r="D19" s="46"/>
      <c r="E19" s="46"/>
      <c r="F19" s="46"/>
      <c r="G19" s="47"/>
    </row>
    <row r="20" spans="1:15" ht="16" x14ac:dyDescent="0.2">
      <c r="A20" s="40" t="s">
        <v>22</v>
      </c>
      <c r="B20" s="41"/>
      <c r="C20" s="41"/>
      <c r="D20" s="41"/>
      <c r="E20" s="41"/>
      <c r="F20" s="41"/>
      <c r="G20" s="42"/>
    </row>
    <row r="21" spans="1:15" ht="32" x14ac:dyDescent="0.2">
      <c r="A21" s="9" t="s">
        <v>0</v>
      </c>
      <c r="B21" s="10" t="s">
        <v>4</v>
      </c>
      <c r="C21" s="10" t="s">
        <v>5</v>
      </c>
      <c r="D21" s="10" t="s">
        <v>6</v>
      </c>
      <c r="E21" s="10" t="s">
        <v>7</v>
      </c>
      <c r="F21" s="11" t="s">
        <v>8</v>
      </c>
      <c r="G21" s="12" t="s">
        <v>9</v>
      </c>
    </row>
    <row r="22" spans="1:15" x14ac:dyDescent="0.2">
      <c r="A22" s="13" t="s">
        <v>31</v>
      </c>
      <c r="B22" s="14">
        <v>188</v>
      </c>
      <c r="C22" s="15">
        <f>B22*400</f>
        <v>75200</v>
      </c>
      <c r="D22" s="14">
        <v>2.5</v>
      </c>
      <c r="E22" s="15">
        <f>C22*D22</f>
        <v>188000</v>
      </c>
      <c r="F22" s="16">
        <f>AVERAGE(E22:E24)</f>
        <v>163333.33333333334</v>
      </c>
      <c r="G22" s="17">
        <f>_xlfn.STDEV.S(E22:E24)</f>
        <v>21939.310229205836</v>
      </c>
    </row>
    <row r="23" spans="1:15" x14ac:dyDescent="0.2">
      <c r="A23" s="13" t="s">
        <v>32</v>
      </c>
      <c r="B23" s="14">
        <v>146</v>
      </c>
      <c r="C23" s="15">
        <f>B23*400</f>
        <v>58400</v>
      </c>
      <c r="D23" s="14">
        <v>2.5</v>
      </c>
      <c r="E23" s="15">
        <f>C23*D23</f>
        <v>146000</v>
      </c>
      <c r="F23" s="15"/>
      <c r="G23" s="18"/>
    </row>
    <row r="24" spans="1:15" x14ac:dyDescent="0.2">
      <c r="A24" s="19" t="s">
        <v>33</v>
      </c>
      <c r="B24" s="20">
        <v>156</v>
      </c>
      <c r="C24" s="21">
        <f>B24*400</f>
        <v>62400</v>
      </c>
      <c r="D24" s="20">
        <v>2.5</v>
      </c>
      <c r="E24" s="21">
        <f>C24*D24</f>
        <v>156000</v>
      </c>
      <c r="F24" s="21"/>
      <c r="G24" s="22"/>
    </row>
    <row r="25" spans="1:15" x14ac:dyDescent="0.2">
      <c r="A25" s="13"/>
      <c r="B25" s="14"/>
      <c r="C25" s="15"/>
      <c r="D25" s="14"/>
      <c r="E25" s="15"/>
      <c r="F25" s="15"/>
      <c r="G25" s="15"/>
      <c r="H25" s="23"/>
      <c r="I25" s="14"/>
      <c r="J25" s="15"/>
      <c r="K25" s="14"/>
      <c r="L25" s="15"/>
      <c r="M25" s="15"/>
      <c r="N25" s="15"/>
      <c r="O25" s="7"/>
    </row>
    <row r="26" spans="1:15" x14ac:dyDescent="0.2">
      <c r="A26" s="13"/>
      <c r="B26" s="14"/>
      <c r="C26" s="15"/>
      <c r="D26" s="14"/>
      <c r="E26" s="15"/>
      <c r="F26" s="15"/>
      <c r="G26" s="15"/>
    </row>
    <row r="27" spans="1:15" ht="19" x14ac:dyDescent="0.25">
      <c r="A27" s="45" t="s">
        <v>89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6" x14ac:dyDescent="0.2">
      <c r="A28" s="51" t="s">
        <v>23</v>
      </c>
      <c r="B28" s="52"/>
      <c r="C28" s="52"/>
      <c r="D28" s="52"/>
      <c r="E28" s="52"/>
      <c r="F28" s="52"/>
      <c r="G28" s="53"/>
      <c r="H28" s="14"/>
      <c r="I28" s="61" t="s">
        <v>90</v>
      </c>
      <c r="J28" s="58"/>
      <c r="K28" s="58"/>
      <c r="L28" s="58"/>
      <c r="M28" s="58"/>
      <c r="N28" s="58"/>
      <c r="O28" s="59"/>
    </row>
    <row r="29" spans="1:15" ht="32" x14ac:dyDescent="0.2">
      <c r="A29" s="9" t="s">
        <v>0</v>
      </c>
      <c r="B29" s="10" t="s">
        <v>4</v>
      </c>
      <c r="C29" s="10" t="s">
        <v>5</v>
      </c>
      <c r="D29" s="10" t="s">
        <v>6</v>
      </c>
      <c r="E29" s="10" t="s">
        <v>7</v>
      </c>
      <c r="F29" s="11" t="s">
        <v>8</v>
      </c>
      <c r="G29" s="12" t="s">
        <v>9</v>
      </c>
      <c r="H29" s="14"/>
      <c r="I29" s="9" t="s">
        <v>0</v>
      </c>
      <c r="J29" s="10" t="s">
        <v>4</v>
      </c>
      <c r="K29" s="10" t="s">
        <v>5</v>
      </c>
      <c r="L29" s="10" t="s">
        <v>6</v>
      </c>
      <c r="M29" s="10" t="s">
        <v>7</v>
      </c>
      <c r="N29" s="11" t="s">
        <v>8</v>
      </c>
      <c r="O29" s="12" t="s">
        <v>9</v>
      </c>
    </row>
    <row r="30" spans="1:15" x14ac:dyDescent="0.2">
      <c r="A30" s="13" t="s">
        <v>31</v>
      </c>
      <c r="B30" s="14">
        <v>480</v>
      </c>
      <c r="C30" s="15">
        <f>B30*400</f>
        <v>192000</v>
      </c>
      <c r="D30" s="14">
        <v>2.5</v>
      </c>
      <c r="E30" s="15">
        <f>C30*D30</f>
        <v>480000</v>
      </c>
      <c r="F30" s="16">
        <f>AVERAGE(E30:E32)</f>
        <v>459666.66666666669</v>
      </c>
      <c r="G30" s="17">
        <f>_xlfn.STDEV.S(E30:E32)</f>
        <v>28571.547618799603</v>
      </c>
      <c r="H30" s="14"/>
      <c r="I30" s="13" t="s">
        <v>25</v>
      </c>
      <c r="J30" s="14">
        <v>822</v>
      </c>
      <c r="K30" s="15">
        <f>J30*400</f>
        <v>328800</v>
      </c>
      <c r="L30" s="14">
        <v>2.5</v>
      </c>
      <c r="M30" s="15">
        <f>K30*L30</f>
        <v>822000</v>
      </c>
      <c r="N30" s="16">
        <f>AVERAGE(M30:M32)</f>
        <v>848666.66666666663</v>
      </c>
      <c r="O30" s="17">
        <f>_xlfn.STDEV.S(K30:K32)</f>
        <v>9652.6334921270754</v>
      </c>
    </row>
    <row r="31" spans="1:15" x14ac:dyDescent="0.2">
      <c r="A31" s="13" t="s">
        <v>32</v>
      </c>
      <c r="B31" s="14">
        <v>472</v>
      </c>
      <c r="C31" s="15">
        <f>B31*400</f>
        <v>188800</v>
      </c>
      <c r="D31" s="14">
        <v>2.5</v>
      </c>
      <c r="E31" s="15">
        <f>C31*D31</f>
        <v>472000</v>
      </c>
      <c r="F31" s="15"/>
      <c r="G31" s="18"/>
      <c r="H31" s="14"/>
      <c r="I31" s="13" t="s">
        <v>26</v>
      </c>
      <c r="J31" s="14">
        <v>869</v>
      </c>
      <c r="K31" s="15">
        <f>J31*400</f>
        <v>347600</v>
      </c>
      <c r="L31" s="14">
        <v>2.5</v>
      </c>
      <c r="M31" s="15">
        <f>K31*L31</f>
        <v>869000</v>
      </c>
      <c r="N31" s="15"/>
      <c r="O31" s="18"/>
    </row>
    <row r="32" spans="1:15" x14ac:dyDescent="0.2">
      <c r="A32" s="19" t="s">
        <v>33</v>
      </c>
      <c r="B32" s="20">
        <v>427</v>
      </c>
      <c r="C32" s="21">
        <f>B32*400</f>
        <v>170800</v>
      </c>
      <c r="D32" s="20">
        <v>2.5</v>
      </c>
      <c r="E32" s="21">
        <f>C32*D32</f>
        <v>427000</v>
      </c>
      <c r="F32" s="21"/>
      <c r="G32" s="22"/>
      <c r="H32" s="20"/>
      <c r="I32" s="19" t="s">
        <v>27</v>
      </c>
      <c r="J32" s="20">
        <v>855</v>
      </c>
      <c r="K32" s="21">
        <f>J32*400</f>
        <v>342000</v>
      </c>
      <c r="L32" s="20">
        <v>2.5</v>
      </c>
      <c r="M32" s="21">
        <f>K32*L32</f>
        <v>855000</v>
      </c>
      <c r="N32" s="21"/>
      <c r="O32" s="22"/>
    </row>
    <row r="33" spans="1:16" x14ac:dyDescent="0.2">
      <c r="A33" s="13"/>
      <c r="B33" s="14"/>
      <c r="C33" s="15"/>
      <c r="D33" s="14"/>
      <c r="E33" s="15"/>
      <c r="F33" s="15"/>
      <c r="G33" s="15"/>
      <c r="H33" s="14"/>
      <c r="I33" s="23"/>
      <c r="J33" s="14"/>
      <c r="K33" s="15"/>
      <c r="L33" s="14"/>
      <c r="M33" s="15"/>
      <c r="N33" s="15"/>
      <c r="O33" s="15"/>
      <c r="P33" s="7"/>
    </row>
    <row r="34" spans="1:16" x14ac:dyDescent="0.2">
      <c r="A34" s="23"/>
      <c r="B34" s="14"/>
      <c r="C34" s="15"/>
      <c r="D34" s="14"/>
      <c r="E34" s="15"/>
      <c r="F34" s="15"/>
      <c r="G34" s="15"/>
      <c r="H34" s="14"/>
      <c r="I34" s="23"/>
      <c r="J34" s="14"/>
      <c r="K34" s="15"/>
      <c r="L34" s="14"/>
      <c r="M34" s="15"/>
      <c r="N34" s="15"/>
      <c r="O34" s="15"/>
    </row>
    <row r="35" spans="1:16" ht="15.75" customHeight="1" x14ac:dyDescent="0.2">
      <c r="A35" s="13"/>
      <c r="B35" s="14"/>
      <c r="C35" s="15"/>
      <c r="D35" s="14"/>
      <c r="E35" s="15"/>
      <c r="F35" s="15"/>
      <c r="G35" s="15"/>
      <c r="H35" s="14"/>
      <c r="I35" s="23"/>
      <c r="J35" s="14"/>
      <c r="K35" s="15"/>
      <c r="L35" s="14"/>
      <c r="M35" s="15"/>
      <c r="N35" s="15"/>
      <c r="O35" s="15"/>
      <c r="P35" s="7"/>
    </row>
    <row r="36" spans="1:16" ht="19" x14ac:dyDescent="0.25">
      <c r="A36" s="45" t="s">
        <v>91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7"/>
    </row>
    <row r="37" spans="1:16" ht="16" x14ac:dyDescent="0.2">
      <c r="A37" s="51" t="s">
        <v>23</v>
      </c>
      <c r="B37" s="52"/>
      <c r="C37" s="52"/>
      <c r="D37" s="52"/>
      <c r="E37" s="52"/>
      <c r="F37" s="52"/>
      <c r="G37" s="53"/>
      <c r="H37" s="14"/>
      <c r="I37" s="54" t="s">
        <v>24</v>
      </c>
      <c r="J37" s="55"/>
      <c r="K37" s="55"/>
      <c r="L37" s="55"/>
      <c r="M37" s="55"/>
      <c r="N37" s="55"/>
      <c r="O37" s="56"/>
    </row>
    <row r="38" spans="1:16" ht="32" x14ac:dyDescent="0.2">
      <c r="A38" s="9" t="s">
        <v>0</v>
      </c>
      <c r="B38" s="10" t="s">
        <v>4</v>
      </c>
      <c r="C38" s="10" t="s">
        <v>5</v>
      </c>
      <c r="D38" s="10" t="s">
        <v>6</v>
      </c>
      <c r="E38" s="10" t="s">
        <v>7</v>
      </c>
      <c r="F38" s="11" t="s">
        <v>8</v>
      </c>
      <c r="G38" s="12" t="s">
        <v>9</v>
      </c>
      <c r="H38" s="14"/>
      <c r="I38" s="9" t="s">
        <v>0</v>
      </c>
      <c r="J38" s="10" t="s">
        <v>4</v>
      </c>
      <c r="K38" s="10" t="s">
        <v>5</v>
      </c>
      <c r="L38" s="10" t="s">
        <v>6</v>
      </c>
      <c r="M38" s="10" t="s">
        <v>7</v>
      </c>
      <c r="N38" s="11" t="s">
        <v>8</v>
      </c>
      <c r="O38" s="12" t="s">
        <v>9</v>
      </c>
    </row>
    <row r="39" spans="1:16" x14ac:dyDescent="0.2">
      <c r="A39" s="13" t="s">
        <v>31</v>
      </c>
      <c r="B39" s="14">
        <v>2052</v>
      </c>
      <c r="C39" s="15">
        <f>B39*400</f>
        <v>820800</v>
      </c>
      <c r="D39" s="14">
        <v>2.5</v>
      </c>
      <c r="E39" s="15">
        <f>C39*D39</f>
        <v>2052000</v>
      </c>
      <c r="F39" s="16">
        <f>AVERAGE(E39:E41)</f>
        <v>2015000</v>
      </c>
      <c r="G39" s="17">
        <f>_xlfn.STDEV.S(E39:E41)</f>
        <v>42883.563284783137</v>
      </c>
      <c r="H39" s="14"/>
      <c r="I39" s="13" t="s">
        <v>28</v>
      </c>
      <c r="J39" s="14">
        <v>3012</v>
      </c>
      <c r="K39" s="15">
        <f>J39*400</f>
        <v>1204800</v>
      </c>
      <c r="L39" s="14">
        <v>2.5</v>
      </c>
      <c r="M39" s="15">
        <f>K39*L39</f>
        <v>3012000</v>
      </c>
      <c r="N39" s="16">
        <f>AVERAGE(M39:M41)</f>
        <v>3020666.6666666665</v>
      </c>
      <c r="O39" s="17">
        <f>_xlfn.STDEV.S(K39:K41)</f>
        <v>17066.145825385804</v>
      </c>
    </row>
    <row r="40" spans="1:16" x14ac:dyDescent="0.2">
      <c r="A40" s="13" t="s">
        <v>32</v>
      </c>
      <c r="B40" s="14">
        <v>2025</v>
      </c>
      <c r="C40" s="15">
        <f>B40*400</f>
        <v>810000</v>
      </c>
      <c r="D40" s="14">
        <v>2.5</v>
      </c>
      <c r="E40" s="15">
        <f>C40*D40</f>
        <v>2025000</v>
      </c>
      <c r="F40" s="15"/>
      <c r="G40" s="18"/>
      <c r="H40" s="14"/>
      <c r="I40" s="13" t="s">
        <v>29</v>
      </c>
      <c r="J40" s="14">
        <v>3067</v>
      </c>
      <c r="K40" s="15">
        <f>J40*400</f>
        <v>1226800</v>
      </c>
      <c r="L40" s="14">
        <v>2.5</v>
      </c>
      <c r="M40" s="15">
        <f>K40*L40</f>
        <v>3067000</v>
      </c>
      <c r="N40" s="15"/>
      <c r="O40" s="18"/>
    </row>
    <row r="41" spans="1:16" x14ac:dyDescent="0.2">
      <c r="A41" s="19" t="s">
        <v>33</v>
      </c>
      <c r="B41" s="20">
        <v>1968</v>
      </c>
      <c r="C41" s="21">
        <f>B41*400</f>
        <v>787200</v>
      </c>
      <c r="D41" s="20">
        <v>2.5</v>
      </c>
      <c r="E41" s="21">
        <f>C41*D41</f>
        <v>1968000</v>
      </c>
      <c r="F41" s="21"/>
      <c r="G41" s="22"/>
      <c r="H41" s="20"/>
      <c r="I41" s="19" t="s">
        <v>30</v>
      </c>
      <c r="J41" s="20">
        <v>2983</v>
      </c>
      <c r="K41" s="21">
        <f>J41*400</f>
        <v>1193200</v>
      </c>
      <c r="L41" s="20">
        <v>2.5</v>
      </c>
      <c r="M41" s="21">
        <f>K41*L41</f>
        <v>2983000</v>
      </c>
      <c r="N41" s="21"/>
      <c r="O41" s="22"/>
    </row>
    <row r="42" spans="1:16" ht="15.75" customHeight="1" x14ac:dyDescent="0.2">
      <c r="A42" s="13"/>
      <c r="B42" s="14"/>
      <c r="C42" s="15"/>
      <c r="D42" s="14"/>
      <c r="E42" s="15"/>
      <c r="F42" s="15"/>
      <c r="G42" s="15"/>
      <c r="H42" s="14"/>
      <c r="I42" s="23"/>
      <c r="J42" s="14"/>
      <c r="K42" s="15"/>
      <c r="L42" s="14"/>
      <c r="M42" s="15"/>
      <c r="N42" s="15"/>
      <c r="O42" s="15"/>
      <c r="P42" s="7"/>
    </row>
    <row r="45" spans="1:16" ht="19" x14ac:dyDescent="0.25">
      <c r="A45" s="45" t="s">
        <v>92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7"/>
    </row>
    <row r="46" spans="1:16" ht="16" x14ac:dyDescent="0.2">
      <c r="A46" s="51" t="s">
        <v>23</v>
      </c>
      <c r="B46" s="52"/>
      <c r="C46" s="52"/>
      <c r="D46" s="52"/>
      <c r="E46" s="52"/>
      <c r="F46" s="52"/>
      <c r="G46" s="53"/>
      <c r="H46" s="14"/>
      <c r="I46" s="54" t="s">
        <v>35</v>
      </c>
      <c r="J46" s="55"/>
      <c r="K46" s="55"/>
      <c r="L46" s="55"/>
      <c r="M46" s="55"/>
      <c r="N46" s="55"/>
      <c r="O46" s="56"/>
    </row>
    <row r="47" spans="1:16" ht="32" x14ac:dyDescent="0.2">
      <c r="A47" s="9" t="s">
        <v>0</v>
      </c>
      <c r="B47" s="10" t="s">
        <v>4</v>
      </c>
      <c r="C47" s="10" t="s">
        <v>5</v>
      </c>
      <c r="D47" s="10" t="s">
        <v>6</v>
      </c>
      <c r="E47" s="10" t="s">
        <v>7</v>
      </c>
      <c r="F47" s="11" t="s">
        <v>8</v>
      </c>
      <c r="G47" s="12" t="s">
        <v>9</v>
      </c>
      <c r="H47" s="14"/>
      <c r="I47" s="9" t="s">
        <v>0</v>
      </c>
      <c r="J47" s="10" t="s">
        <v>4</v>
      </c>
      <c r="K47" s="10" t="s">
        <v>5</v>
      </c>
      <c r="L47" s="10" t="s">
        <v>6</v>
      </c>
      <c r="M47" s="10" t="s">
        <v>7</v>
      </c>
      <c r="N47" s="11" t="s">
        <v>8</v>
      </c>
      <c r="O47" s="12" t="s">
        <v>9</v>
      </c>
    </row>
    <row r="48" spans="1:16" x14ac:dyDescent="0.2">
      <c r="A48" s="13" t="s">
        <v>31</v>
      </c>
      <c r="B48" s="14">
        <v>2654</v>
      </c>
      <c r="C48" s="15">
        <f>B48*400</f>
        <v>1061600</v>
      </c>
      <c r="D48" s="14">
        <v>2.5</v>
      </c>
      <c r="E48" s="15">
        <f>C48*D48</f>
        <v>2654000</v>
      </c>
      <c r="F48" s="16">
        <f>AVERAGE(E48:E50)</f>
        <v>2603333.3333333335</v>
      </c>
      <c r="G48" s="17">
        <f>_xlfn.STDEV.S(E48:E50)</f>
        <v>45489.92562461862</v>
      </c>
      <c r="H48" s="14"/>
      <c r="I48" s="13" t="s">
        <v>36</v>
      </c>
      <c r="J48" s="14">
        <v>3402</v>
      </c>
      <c r="K48" s="15">
        <f>J48*400</f>
        <v>1360800</v>
      </c>
      <c r="L48" s="14">
        <v>2.5</v>
      </c>
      <c r="M48" s="15">
        <f>K48*L48</f>
        <v>3402000</v>
      </c>
      <c r="N48" s="16">
        <f>AVERAGE(M48:M50)</f>
        <v>3378666.6666666665</v>
      </c>
      <c r="O48" s="17">
        <f>_xlfn.STDEV.S(K48:K50)</f>
        <v>11657.329597010345</v>
      </c>
    </row>
    <row r="49" spans="1:22" x14ac:dyDescent="0.2">
      <c r="A49" s="13" t="s">
        <v>32</v>
      </c>
      <c r="B49" s="14">
        <v>2590</v>
      </c>
      <c r="C49" s="15">
        <f>B49*400</f>
        <v>1036000</v>
      </c>
      <c r="D49" s="14">
        <v>2.5</v>
      </c>
      <c r="E49" s="15">
        <f>C49*D49</f>
        <v>2590000</v>
      </c>
      <c r="F49" s="15"/>
      <c r="G49" s="18"/>
      <c r="H49" s="14"/>
      <c r="I49" s="13" t="s">
        <v>37</v>
      </c>
      <c r="J49" s="14">
        <v>3346</v>
      </c>
      <c r="K49" s="15">
        <f>J49*400</f>
        <v>1338400</v>
      </c>
      <c r="L49" s="14">
        <v>2.5</v>
      </c>
      <c r="M49" s="15">
        <f>K49*L49</f>
        <v>3346000</v>
      </c>
      <c r="N49" s="15"/>
      <c r="O49" s="18"/>
    </row>
    <row r="50" spans="1:22" x14ac:dyDescent="0.2">
      <c r="A50" s="19" t="s">
        <v>33</v>
      </c>
      <c r="B50" s="20">
        <v>2566</v>
      </c>
      <c r="C50" s="21">
        <f>B50*400</f>
        <v>1026400</v>
      </c>
      <c r="D50" s="20">
        <v>2.5</v>
      </c>
      <c r="E50" s="21">
        <f>C50*D50</f>
        <v>2566000</v>
      </c>
      <c r="F50" s="21"/>
      <c r="G50" s="22"/>
      <c r="H50" s="20"/>
      <c r="I50" s="19" t="s">
        <v>38</v>
      </c>
      <c r="J50" s="20">
        <v>3388</v>
      </c>
      <c r="K50" s="21">
        <f>J50*400</f>
        <v>1355200</v>
      </c>
      <c r="L50" s="20">
        <v>2.5</v>
      </c>
      <c r="M50" s="21">
        <f>K50*L50</f>
        <v>3388000</v>
      </c>
      <c r="N50" s="21"/>
      <c r="O50" s="22"/>
      <c r="P50" s="23"/>
      <c r="Q50" s="14"/>
      <c r="R50" s="15"/>
      <c r="S50" s="14"/>
      <c r="T50" s="15"/>
      <c r="U50" s="15"/>
      <c r="V50" s="15"/>
    </row>
    <row r="51" spans="1:22" x14ac:dyDescent="0.2">
      <c r="B51" s="26"/>
    </row>
    <row r="57" spans="1:22" ht="15.75" customHeight="1" x14ac:dyDescent="0.2"/>
  </sheetData>
  <mergeCells count="17">
    <mergeCell ref="A37:G37"/>
    <mergeCell ref="I37:O37"/>
    <mergeCell ref="A45:O45"/>
    <mergeCell ref="A46:G46"/>
    <mergeCell ref="I46:O46"/>
    <mergeCell ref="A19:G19"/>
    <mergeCell ref="A20:G20"/>
    <mergeCell ref="A27:O27"/>
    <mergeCell ref="A28:G28"/>
    <mergeCell ref="I28:O28"/>
    <mergeCell ref="A36:O36"/>
    <mergeCell ref="A4:N5"/>
    <mergeCell ref="A6:N7"/>
    <mergeCell ref="A8:N9"/>
    <mergeCell ref="A10:H10"/>
    <mergeCell ref="A12:G12"/>
    <mergeCell ref="A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36"/>
  <sheetViews>
    <sheetView tabSelected="1" workbookViewId="0">
      <selection activeCell="O6" sqref="O6"/>
    </sheetView>
  </sheetViews>
  <sheetFormatPr baseColWidth="10" defaultRowHeight="15" x14ac:dyDescent="0.2"/>
  <cols>
    <col min="1" max="1" width="28" customWidth="1"/>
    <col min="2" max="2" width="10.33203125" bestFit="1" customWidth="1"/>
    <col min="3" max="3" width="13" bestFit="1" customWidth="1"/>
    <col min="4" max="4" width="60.83203125" customWidth="1"/>
    <col min="5" max="5" width="11.6640625" customWidth="1"/>
    <col min="7" max="7" width="28" customWidth="1"/>
    <col min="8" max="8" width="14" customWidth="1"/>
    <col min="10" max="10" width="60.83203125" customWidth="1"/>
    <col min="11" max="11" width="11.6640625" customWidth="1"/>
  </cols>
  <sheetData>
    <row r="2" spans="1:15" ht="21" x14ac:dyDescent="0.25">
      <c r="A2" s="27" t="s">
        <v>52</v>
      </c>
      <c r="B2" s="27"/>
      <c r="C2" s="27"/>
      <c r="D2" s="27"/>
      <c r="E2" s="27"/>
    </row>
    <row r="3" spans="1:15" ht="21" x14ac:dyDescent="0.25">
      <c r="A3" s="28" t="s">
        <v>53</v>
      </c>
      <c r="B3" s="27"/>
      <c r="C3" s="27"/>
      <c r="D3" s="27"/>
      <c r="E3" s="27"/>
    </row>
    <row r="4" spans="1:15" ht="44" x14ac:dyDescent="0.25">
      <c r="A4" s="29" t="s">
        <v>0</v>
      </c>
      <c r="B4" s="30" t="s">
        <v>4</v>
      </c>
      <c r="C4" s="27"/>
      <c r="D4" s="27"/>
      <c r="E4" s="27"/>
      <c r="J4" s="27"/>
      <c r="K4" s="27" t="s">
        <v>54</v>
      </c>
      <c r="L4" s="27" t="s">
        <v>55</v>
      </c>
      <c r="M4" s="27" t="s">
        <v>56</v>
      </c>
      <c r="N4" s="27" t="s">
        <v>57</v>
      </c>
      <c r="O4" s="27" t="s">
        <v>58</v>
      </c>
    </row>
    <row r="5" spans="1:15" ht="21" x14ac:dyDescent="0.25">
      <c r="A5" s="31" t="s">
        <v>1</v>
      </c>
      <c r="B5" s="32">
        <f>[1]Rep1!B8</f>
        <v>38</v>
      </c>
      <c r="C5" s="27"/>
      <c r="D5" s="27"/>
      <c r="E5" s="27"/>
      <c r="J5" s="27" t="s">
        <v>59</v>
      </c>
      <c r="K5" s="27">
        <v>1</v>
      </c>
      <c r="L5" s="27">
        <f>AVERAGE(H12:H14)</f>
        <v>4.9018201187723829</v>
      </c>
      <c r="M5" s="27">
        <f>AVERAGE(H20:H22)</f>
        <v>25.464390951539055</v>
      </c>
      <c r="N5" s="27">
        <f>AVERAGE(H27:H29)</f>
        <v>67.399372138356227</v>
      </c>
      <c r="O5" s="27">
        <f>AVERAGE(H34:H36)</f>
        <v>99.331542680991888</v>
      </c>
    </row>
    <row r="6" spans="1:15" ht="21" x14ac:dyDescent="0.25">
      <c r="A6" s="31" t="s">
        <v>2</v>
      </c>
      <c r="B6" s="32">
        <f>[1]Rep1!B9</f>
        <v>36</v>
      </c>
      <c r="C6" s="27"/>
      <c r="D6" s="27"/>
      <c r="E6" s="27"/>
      <c r="J6" s="32" t="s">
        <v>60</v>
      </c>
      <c r="K6" s="27">
        <v>1</v>
      </c>
      <c r="L6" s="27">
        <f>AVERAGE(H12:H14)</f>
        <v>4.9018201187723829</v>
      </c>
      <c r="M6" s="27">
        <f>AVERAGE(K20:K22)</f>
        <v>39.72069223446212</v>
      </c>
      <c r="N6" s="27">
        <f>AVERAGE(K27:K29)</f>
        <v>78.337379300965594</v>
      </c>
      <c r="O6" s="27">
        <f>AVERAGE(K34:K36)</f>
        <v>102.15749807334875</v>
      </c>
    </row>
    <row r="7" spans="1:15" ht="21" x14ac:dyDescent="0.25">
      <c r="A7" s="33" t="s">
        <v>3</v>
      </c>
      <c r="B7" s="32">
        <f>[1]Rep1!B10</f>
        <v>43</v>
      </c>
      <c r="C7" s="27"/>
      <c r="D7" s="27"/>
      <c r="E7" s="27"/>
    </row>
    <row r="8" spans="1:15" ht="21" x14ac:dyDescent="0.25">
      <c r="A8" s="27"/>
      <c r="B8" s="27"/>
      <c r="C8" s="27"/>
      <c r="D8" s="27"/>
      <c r="E8" s="27"/>
    </row>
    <row r="9" spans="1:15" ht="21" x14ac:dyDescent="0.25">
      <c r="A9" s="34" t="s">
        <v>61</v>
      </c>
      <c r="B9" s="27"/>
      <c r="C9" s="27"/>
      <c r="G9" s="35" t="s">
        <v>61</v>
      </c>
      <c r="H9" s="27"/>
    </row>
    <row r="10" spans="1:15" ht="21" x14ac:dyDescent="0.25">
      <c r="A10" s="28" t="s">
        <v>59</v>
      </c>
      <c r="B10" s="27"/>
      <c r="C10" s="27"/>
      <c r="G10" s="28" t="s">
        <v>59</v>
      </c>
    </row>
    <row r="11" spans="1:15" ht="44" x14ac:dyDescent="0.25">
      <c r="A11" s="30" t="s">
        <v>0</v>
      </c>
      <c r="B11" s="30" t="s">
        <v>4</v>
      </c>
      <c r="C11" s="27"/>
      <c r="G11" s="30" t="s">
        <v>0</v>
      </c>
      <c r="H11" s="30" t="s">
        <v>4</v>
      </c>
    </row>
    <row r="12" spans="1:15" ht="21" x14ac:dyDescent="0.25">
      <c r="A12" s="28" t="s">
        <v>62</v>
      </c>
      <c r="B12" s="27">
        <f>[1]Rep1!B21</f>
        <v>205</v>
      </c>
      <c r="C12" s="27"/>
      <c r="F12" s="27"/>
      <c r="G12" s="28" t="s">
        <v>62</v>
      </c>
      <c r="H12" s="27">
        <f>B12/B5</f>
        <v>5.3947368421052628</v>
      </c>
    </row>
    <row r="13" spans="1:15" ht="21" x14ac:dyDescent="0.25">
      <c r="A13" s="28" t="s">
        <v>63</v>
      </c>
      <c r="B13" s="27">
        <f>[1]Rep1!B22</f>
        <v>187</v>
      </c>
      <c r="C13" s="27"/>
      <c r="G13" s="28" t="s">
        <v>63</v>
      </c>
      <c r="H13" s="27">
        <f>B13/B6</f>
        <v>5.1944444444444446</v>
      </c>
    </row>
    <row r="14" spans="1:15" ht="21" x14ac:dyDescent="0.25">
      <c r="A14" s="28" t="s">
        <v>64</v>
      </c>
      <c r="B14" s="27">
        <f>[1]Rep1!B23</f>
        <v>177</v>
      </c>
      <c r="C14" s="27"/>
      <c r="G14" s="28" t="s">
        <v>64</v>
      </c>
      <c r="H14" s="27">
        <f>B14/B7</f>
        <v>4.1162790697674421</v>
      </c>
    </row>
    <row r="15" spans="1:15" ht="21" x14ac:dyDescent="0.25">
      <c r="A15" s="28"/>
      <c r="B15" s="27"/>
      <c r="C15" s="27"/>
      <c r="D15" s="33"/>
      <c r="E15" s="32"/>
    </row>
    <row r="16" spans="1:15" ht="21" x14ac:dyDescent="0.25">
      <c r="A16" s="27"/>
      <c r="B16" s="27"/>
      <c r="C16" s="27"/>
      <c r="D16" s="27"/>
      <c r="E16" s="27"/>
    </row>
    <row r="17" spans="1:12" ht="21" x14ac:dyDescent="0.25">
      <c r="A17" s="34" t="s">
        <v>65</v>
      </c>
      <c r="B17" s="27"/>
      <c r="C17" s="27"/>
      <c r="D17" s="27"/>
      <c r="E17" s="27"/>
      <c r="G17" s="34" t="s">
        <v>65</v>
      </c>
      <c r="H17" s="27"/>
    </row>
    <row r="18" spans="1:12" ht="21" x14ac:dyDescent="0.25">
      <c r="A18" s="28" t="s">
        <v>59</v>
      </c>
      <c r="B18" s="27"/>
      <c r="C18" s="32"/>
      <c r="D18" s="60" t="s">
        <v>66</v>
      </c>
      <c r="E18" s="60"/>
      <c r="G18" s="28" t="s">
        <v>59</v>
      </c>
      <c r="H18" s="27"/>
      <c r="J18" s="60" t="s">
        <v>66</v>
      </c>
      <c r="K18" s="60"/>
    </row>
    <row r="19" spans="1:12" ht="44" x14ac:dyDescent="0.25">
      <c r="A19" s="30" t="s">
        <v>0</v>
      </c>
      <c r="B19" s="30" t="s">
        <v>4</v>
      </c>
      <c r="C19" s="32"/>
      <c r="D19" s="30" t="s">
        <v>0</v>
      </c>
      <c r="E19" s="30" t="s">
        <v>4</v>
      </c>
      <c r="G19" s="30" t="s">
        <v>0</v>
      </c>
      <c r="H19" s="30" t="s">
        <v>4</v>
      </c>
      <c r="J19" s="30" t="s">
        <v>0</v>
      </c>
      <c r="K19" s="30" t="s">
        <v>4</v>
      </c>
    </row>
    <row r="20" spans="1:12" ht="21" x14ac:dyDescent="0.25">
      <c r="A20" s="28" t="s">
        <v>62</v>
      </c>
      <c r="B20" s="27">
        <f>[2]Rep1!B30</f>
        <v>997</v>
      </c>
      <c r="C20" s="32"/>
      <c r="D20" s="36" t="s">
        <v>67</v>
      </c>
      <c r="E20" s="32">
        <f>[2]Rep1!J30</f>
        <v>1528</v>
      </c>
      <c r="G20" s="28" t="s">
        <v>62</v>
      </c>
      <c r="H20" s="27">
        <f>B20/B5</f>
        <v>26.236842105263158</v>
      </c>
      <c r="J20" s="36" t="s">
        <v>67</v>
      </c>
      <c r="K20" s="32">
        <f>E20/B5</f>
        <v>40.210526315789473</v>
      </c>
    </row>
    <row r="21" spans="1:12" ht="21" x14ac:dyDescent="0.25">
      <c r="A21" s="28" t="s">
        <v>63</v>
      </c>
      <c r="B21" s="27">
        <f>[2]Rep1!B31</f>
        <v>986</v>
      </c>
      <c r="C21" s="32"/>
      <c r="D21" s="36" t="s">
        <v>68</v>
      </c>
      <c r="E21" s="32">
        <f>[2]Rep1!J31</f>
        <v>1563</v>
      </c>
      <c r="G21" s="28" t="s">
        <v>63</v>
      </c>
      <c r="H21" s="27">
        <f>B21/B6</f>
        <v>27.388888888888889</v>
      </c>
      <c r="J21" s="36" t="s">
        <v>68</v>
      </c>
      <c r="K21" s="32">
        <f>E21/B6</f>
        <v>43.416666666666664</v>
      </c>
    </row>
    <row r="22" spans="1:12" ht="21" x14ac:dyDescent="0.25">
      <c r="A22" s="28" t="s">
        <v>64</v>
      </c>
      <c r="B22" s="27">
        <f>[2]Rep1!B32</f>
        <v>979</v>
      </c>
      <c r="C22" s="37"/>
      <c r="D22" s="36" t="s">
        <v>69</v>
      </c>
      <c r="E22" s="32">
        <f>[2]Rep1!J32</f>
        <v>1528</v>
      </c>
      <c r="G22" s="28" t="s">
        <v>64</v>
      </c>
      <c r="H22" s="27">
        <f>B22/B7</f>
        <v>22.767441860465116</v>
      </c>
      <c r="J22" s="36" t="s">
        <v>69</v>
      </c>
      <c r="K22" s="32">
        <f>E22/B7</f>
        <v>35.534883720930232</v>
      </c>
    </row>
    <row r="23" spans="1:12" ht="21" x14ac:dyDescent="0.25">
      <c r="A23" s="28"/>
      <c r="B23" s="27"/>
      <c r="C23" s="27"/>
      <c r="D23" s="33"/>
      <c r="E23" s="32"/>
    </row>
    <row r="24" spans="1:12" ht="21" x14ac:dyDescent="0.25">
      <c r="A24" s="34" t="s">
        <v>70</v>
      </c>
      <c r="B24" s="27"/>
      <c r="C24" s="27"/>
      <c r="D24" s="27"/>
      <c r="E24" s="27"/>
      <c r="G24" s="34" t="s">
        <v>70</v>
      </c>
    </row>
    <row r="25" spans="1:12" ht="21" x14ac:dyDescent="0.25">
      <c r="A25" s="28" t="s">
        <v>59</v>
      </c>
      <c r="B25" s="27"/>
      <c r="C25" s="27"/>
      <c r="D25" s="60" t="s">
        <v>71</v>
      </c>
      <c r="E25" s="60"/>
      <c r="G25" s="28" t="s">
        <v>59</v>
      </c>
      <c r="H25" s="27"/>
      <c r="J25" s="60" t="s">
        <v>71</v>
      </c>
      <c r="K25" s="60"/>
    </row>
    <row r="26" spans="1:12" ht="44" x14ac:dyDescent="0.25">
      <c r="A26" s="30" t="s">
        <v>0</v>
      </c>
      <c r="B26" s="30" t="s">
        <v>4</v>
      </c>
      <c r="C26" s="27"/>
      <c r="D26" s="30" t="s">
        <v>0</v>
      </c>
      <c r="E26" s="30" t="s">
        <v>4</v>
      </c>
      <c r="G26" s="30" t="s">
        <v>0</v>
      </c>
      <c r="H26" s="30" t="s">
        <v>4</v>
      </c>
      <c r="J26" s="30" t="s">
        <v>0</v>
      </c>
      <c r="K26" s="30" t="s">
        <v>4</v>
      </c>
    </row>
    <row r="27" spans="1:12" ht="21" x14ac:dyDescent="0.25">
      <c r="A27" s="28" t="s">
        <v>62</v>
      </c>
      <c r="B27" s="32">
        <f>[2]Rep1!B39</f>
        <v>2760</v>
      </c>
      <c r="C27" s="27"/>
      <c r="D27" s="36" t="s">
        <v>72</v>
      </c>
      <c r="E27" s="27">
        <f>[2]Rep1!J39</f>
        <v>3132</v>
      </c>
      <c r="G27" s="28" t="s">
        <v>62</v>
      </c>
      <c r="H27" s="32">
        <f>B27/B5</f>
        <v>72.631578947368425</v>
      </c>
      <c r="J27" s="36" t="s">
        <v>72</v>
      </c>
      <c r="K27" s="32">
        <f>E27/B5</f>
        <v>82.421052631578945</v>
      </c>
    </row>
    <row r="28" spans="1:12" ht="21" x14ac:dyDescent="0.25">
      <c r="A28" s="28" t="s">
        <v>63</v>
      </c>
      <c r="B28" s="32">
        <f>[2]Rep1!B40</f>
        <v>2491</v>
      </c>
      <c r="C28" s="27"/>
      <c r="D28" s="36" t="s">
        <v>73</v>
      </c>
      <c r="E28" s="27">
        <f>[2]Rep1!J40</f>
        <v>2985</v>
      </c>
      <c r="G28" s="28" t="s">
        <v>63</v>
      </c>
      <c r="H28" s="32">
        <f>B28/B6</f>
        <v>69.194444444444443</v>
      </c>
      <c r="J28" s="36" t="s">
        <v>73</v>
      </c>
      <c r="K28" s="32">
        <f>E28/B6</f>
        <v>82.916666666666671</v>
      </c>
      <c r="L28" s="32"/>
    </row>
    <row r="29" spans="1:12" ht="21" x14ac:dyDescent="0.25">
      <c r="A29" s="28" t="s">
        <v>64</v>
      </c>
      <c r="B29" s="32">
        <f>[2]Rep1!B41</f>
        <v>2596</v>
      </c>
      <c r="C29" s="27"/>
      <c r="D29" s="36" t="s">
        <v>74</v>
      </c>
      <c r="E29" s="27">
        <f>[2]Rep1!J41</f>
        <v>2996</v>
      </c>
      <c r="G29" s="28" t="s">
        <v>64</v>
      </c>
      <c r="H29" s="32">
        <f>B29/B7</f>
        <v>60.372093023255815</v>
      </c>
      <c r="J29" s="36" t="s">
        <v>74</v>
      </c>
      <c r="K29" s="32">
        <f>E29/B7</f>
        <v>69.674418604651166</v>
      </c>
      <c r="L29" s="32"/>
    </row>
    <row r="30" spans="1:12" ht="21" x14ac:dyDescent="0.25">
      <c r="A30" s="33"/>
      <c r="B30" s="32"/>
      <c r="C30" s="27"/>
      <c r="D30" s="32"/>
      <c r="E30" s="37"/>
    </row>
    <row r="31" spans="1:12" ht="21" x14ac:dyDescent="0.25">
      <c r="A31" s="34" t="s">
        <v>75</v>
      </c>
      <c r="G31" s="34" t="s">
        <v>75</v>
      </c>
    </row>
    <row r="32" spans="1:12" ht="21" x14ac:dyDescent="0.25">
      <c r="A32" s="28" t="s">
        <v>59</v>
      </c>
      <c r="D32" s="60" t="s">
        <v>76</v>
      </c>
      <c r="E32" s="60"/>
      <c r="G32" s="28" t="s">
        <v>59</v>
      </c>
      <c r="J32" s="60" t="s">
        <v>76</v>
      </c>
      <c r="K32" s="60"/>
    </row>
    <row r="33" spans="1:11" ht="44" x14ac:dyDescent="0.25">
      <c r="A33" s="30" t="s">
        <v>0</v>
      </c>
      <c r="B33" s="30" t="s">
        <v>4</v>
      </c>
      <c r="D33" s="30" t="s">
        <v>0</v>
      </c>
      <c r="E33" s="30" t="s">
        <v>4</v>
      </c>
      <c r="G33" s="30" t="s">
        <v>0</v>
      </c>
      <c r="H33" s="30" t="s">
        <v>4</v>
      </c>
      <c r="J33" s="30" t="s">
        <v>0</v>
      </c>
      <c r="K33" s="30" t="s">
        <v>4</v>
      </c>
    </row>
    <row r="34" spans="1:11" ht="21" x14ac:dyDescent="0.25">
      <c r="A34" s="28" t="s">
        <v>62</v>
      </c>
      <c r="B34" s="32">
        <f>[2]Rep1!B48</f>
        <v>3482</v>
      </c>
      <c r="D34" s="36" t="s">
        <v>77</v>
      </c>
      <c r="E34" s="32">
        <f>[2]Rep1!J48</f>
        <v>3844</v>
      </c>
      <c r="G34" s="28" t="s">
        <v>62</v>
      </c>
      <c r="H34" s="32">
        <f>B34/B5</f>
        <v>91.631578947368425</v>
      </c>
      <c r="J34" s="36" t="s">
        <v>77</v>
      </c>
      <c r="K34" s="32">
        <f>E34/B5</f>
        <v>101.15789473684211</v>
      </c>
    </row>
    <row r="35" spans="1:11" ht="21" x14ac:dyDescent="0.25">
      <c r="A35" s="28" t="s">
        <v>63</v>
      </c>
      <c r="B35" s="32">
        <f>[2]Rep1!B49</f>
        <v>4066</v>
      </c>
      <c r="D35" s="36" t="s">
        <v>78</v>
      </c>
      <c r="E35" s="32">
        <f>[2]Rep1!J49</f>
        <v>4045</v>
      </c>
      <c r="G35" s="28" t="s">
        <v>63</v>
      </c>
      <c r="H35" s="32">
        <f>B35/B6</f>
        <v>112.94444444444444</v>
      </c>
      <c r="J35" s="36" t="s">
        <v>78</v>
      </c>
      <c r="K35" s="32">
        <f>E35/B6</f>
        <v>112.36111111111111</v>
      </c>
    </row>
    <row r="36" spans="1:11" ht="21" x14ac:dyDescent="0.25">
      <c r="A36" s="28" t="s">
        <v>64</v>
      </c>
      <c r="B36" s="32">
        <f>[2]Rep1!B50</f>
        <v>4017</v>
      </c>
      <c r="D36" s="36" t="s">
        <v>79</v>
      </c>
      <c r="E36" s="32">
        <f>[2]Rep1!J50</f>
        <v>3997</v>
      </c>
      <c r="G36" s="28" t="s">
        <v>64</v>
      </c>
      <c r="H36" s="32">
        <f>B36/B7</f>
        <v>93.418604651162795</v>
      </c>
      <c r="J36" s="36" t="s">
        <v>79</v>
      </c>
      <c r="K36" s="32">
        <f>E36/B7</f>
        <v>92.95348837209302</v>
      </c>
    </row>
  </sheetData>
  <mergeCells count="6">
    <mergeCell ref="D18:E18"/>
    <mergeCell ref="J18:K18"/>
    <mergeCell ref="D25:E25"/>
    <mergeCell ref="J25:K25"/>
    <mergeCell ref="D32:E32"/>
    <mergeCell ref="J32:K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6"/>
  <sheetViews>
    <sheetView topLeftCell="I1" workbookViewId="0">
      <selection activeCell="W19" sqref="W19"/>
    </sheetView>
  </sheetViews>
  <sheetFormatPr baseColWidth="10" defaultRowHeight="15" x14ac:dyDescent="0.2"/>
  <cols>
    <col min="1" max="1" width="28" customWidth="1"/>
    <col min="2" max="2" width="10.33203125" bestFit="1" customWidth="1"/>
    <col min="3" max="3" width="13" bestFit="1" customWidth="1"/>
    <col min="4" max="4" width="60.83203125" customWidth="1"/>
    <col min="5" max="5" width="11.6640625" customWidth="1"/>
    <col min="7" max="7" width="28" customWidth="1"/>
    <col min="8" max="8" width="14" customWidth="1"/>
    <col min="10" max="10" width="60.83203125" customWidth="1"/>
    <col min="11" max="11" width="11.6640625" customWidth="1"/>
  </cols>
  <sheetData>
    <row r="2" spans="1:15" ht="21" x14ac:dyDescent="0.25">
      <c r="A2" s="27" t="s">
        <v>52</v>
      </c>
      <c r="B2" s="27"/>
      <c r="C2" s="27"/>
      <c r="D2" s="27"/>
      <c r="E2" s="27"/>
    </row>
    <row r="3" spans="1:15" ht="21" x14ac:dyDescent="0.25">
      <c r="A3" s="28" t="s">
        <v>53</v>
      </c>
      <c r="B3" s="27"/>
      <c r="C3" s="27"/>
      <c r="D3" s="27"/>
      <c r="E3" s="27"/>
    </row>
    <row r="4" spans="1:15" ht="44" x14ac:dyDescent="0.25">
      <c r="A4" s="29" t="s">
        <v>0</v>
      </c>
      <c r="B4" s="30" t="s">
        <v>4</v>
      </c>
      <c r="C4" s="27"/>
      <c r="D4" s="27"/>
      <c r="E4" s="27"/>
      <c r="J4" s="27"/>
      <c r="K4" s="27" t="s">
        <v>54</v>
      </c>
      <c r="L4" s="27" t="s">
        <v>55</v>
      </c>
      <c r="M4" s="27" t="s">
        <v>56</v>
      </c>
      <c r="N4" s="27" t="s">
        <v>57</v>
      </c>
      <c r="O4" s="27" t="s">
        <v>58</v>
      </c>
    </row>
    <row r="5" spans="1:15" ht="21" x14ac:dyDescent="0.25">
      <c r="A5" s="31" t="s">
        <v>1</v>
      </c>
      <c r="B5" s="32">
        <f>'Rep2 10.17.19'!B15</f>
        <v>40</v>
      </c>
      <c r="C5" s="27"/>
      <c r="D5" s="27"/>
      <c r="E5" s="27"/>
      <c r="J5" s="27" t="s">
        <v>59</v>
      </c>
      <c r="K5" s="27">
        <v>1</v>
      </c>
      <c r="L5" s="27">
        <f>AVERAGE(H12:H14)</f>
        <v>3.1075091575091576</v>
      </c>
      <c r="M5" s="27">
        <f>AVERAGE(H20:H22)</f>
        <v>8.7181318681318682</v>
      </c>
      <c r="N5" s="27">
        <f>AVERAGE(H27:H29)</f>
        <v>29.360164835164838</v>
      </c>
      <c r="O5" s="27">
        <f>AVERAGE(H34:H36)</f>
        <v>77.220695970695971</v>
      </c>
    </row>
    <row r="6" spans="1:15" ht="21" x14ac:dyDescent="0.25">
      <c r="A6" s="31" t="s">
        <v>2</v>
      </c>
      <c r="B6" s="32">
        <f>'Rep2 10.17.19'!B16</f>
        <v>35</v>
      </c>
      <c r="C6" s="27"/>
      <c r="D6" s="27"/>
      <c r="E6" s="27"/>
      <c r="J6" s="32" t="s">
        <v>60</v>
      </c>
      <c r="K6" s="27">
        <v>1</v>
      </c>
      <c r="L6" s="27">
        <f>AVERAGE(H12:H14)</f>
        <v>3.1075091575091576</v>
      </c>
      <c r="M6" s="27">
        <f>AVERAGE(K20:K22)</f>
        <v>22.284981684981688</v>
      </c>
      <c r="N6" s="27">
        <f>AVERAGE(K27:K29)</f>
        <v>54.888736263736263</v>
      </c>
      <c r="O6" s="27">
        <f>AVERAGE(K34:K36)</f>
        <v>86.509981684981696</v>
      </c>
    </row>
    <row r="7" spans="1:15" ht="21" x14ac:dyDescent="0.25">
      <c r="A7" s="33" t="s">
        <v>3</v>
      </c>
      <c r="B7" s="32">
        <f>'Rep2 10.17.19'!B17</f>
        <v>52</v>
      </c>
      <c r="C7" s="27"/>
      <c r="D7" s="27"/>
      <c r="E7" s="27"/>
    </row>
    <row r="8" spans="1:15" ht="21" x14ac:dyDescent="0.25">
      <c r="A8" s="27"/>
      <c r="B8" s="27"/>
      <c r="C8" s="27"/>
      <c r="D8" s="27"/>
      <c r="E8" s="27"/>
    </row>
    <row r="9" spans="1:15" ht="21" x14ac:dyDescent="0.25">
      <c r="A9" s="34" t="s">
        <v>61</v>
      </c>
      <c r="B9" s="27"/>
      <c r="C9" s="27"/>
      <c r="G9" s="35" t="s">
        <v>61</v>
      </c>
      <c r="H9" s="27"/>
    </row>
    <row r="10" spans="1:15" ht="21" x14ac:dyDescent="0.25">
      <c r="A10" s="28" t="s">
        <v>59</v>
      </c>
      <c r="B10" s="27"/>
      <c r="C10" s="27"/>
      <c r="G10" s="28" t="s">
        <v>59</v>
      </c>
    </row>
    <row r="11" spans="1:15" ht="44" x14ac:dyDescent="0.25">
      <c r="A11" s="30" t="s">
        <v>0</v>
      </c>
      <c r="B11" s="30" t="s">
        <v>4</v>
      </c>
      <c r="C11" s="27"/>
      <c r="G11" s="30" t="s">
        <v>0</v>
      </c>
      <c r="H11" s="30" t="s">
        <v>4</v>
      </c>
    </row>
    <row r="12" spans="1:15" ht="21" x14ac:dyDescent="0.25">
      <c r="A12" s="28" t="s">
        <v>62</v>
      </c>
      <c r="B12" s="27">
        <f>'Rep2 10.17.19'!B22</f>
        <v>130</v>
      </c>
      <c r="C12" s="27"/>
      <c r="F12" s="27"/>
      <c r="G12" s="28" t="s">
        <v>62</v>
      </c>
      <c r="H12" s="27">
        <f>B12/B5</f>
        <v>3.25</v>
      </c>
    </row>
    <row r="13" spans="1:15" ht="21" x14ac:dyDescent="0.25">
      <c r="A13" s="28" t="s">
        <v>63</v>
      </c>
      <c r="B13" s="27">
        <f>'Rep2 10.17.19'!B23</f>
        <v>121</v>
      </c>
      <c r="C13" s="27"/>
      <c r="G13" s="28" t="s">
        <v>63</v>
      </c>
      <c r="H13" s="27">
        <f>B13/B6</f>
        <v>3.4571428571428573</v>
      </c>
    </row>
    <row r="14" spans="1:15" ht="21" x14ac:dyDescent="0.25">
      <c r="A14" s="28" t="s">
        <v>64</v>
      </c>
      <c r="B14" s="27">
        <f>'Rep2 10.17.19'!B24</f>
        <v>136</v>
      </c>
      <c r="C14" s="27"/>
      <c r="G14" s="28" t="s">
        <v>64</v>
      </c>
      <c r="H14" s="27">
        <f>B14/B7</f>
        <v>2.6153846153846154</v>
      </c>
    </row>
    <row r="15" spans="1:15" ht="21" x14ac:dyDescent="0.25">
      <c r="A15" s="28"/>
      <c r="B15" s="27"/>
      <c r="C15" s="27"/>
      <c r="D15" s="33"/>
      <c r="E15" s="32"/>
    </row>
    <row r="16" spans="1:15" ht="21" x14ac:dyDescent="0.25">
      <c r="A16" s="27"/>
      <c r="B16" s="27"/>
      <c r="C16" s="27"/>
      <c r="D16" s="27"/>
      <c r="E16" s="27"/>
    </row>
    <row r="17" spans="1:12" ht="21" x14ac:dyDescent="0.25">
      <c r="A17" s="34" t="s">
        <v>65</v>
      </c>
      <c r="B17" s="27"/>
      <c r="C17" s="27"/>
      <c r="D17" s="27"/>
      <c r="E17" s="27"/>
      <c r="G17" s="34" t="s">
        <v>65</v>
      </c>
      <c r="H17" s="27"/>
    </row>
    <row r="18" spans="1:12" ht="21" x14ac:dyDescent="0.25">
      <c r="A18" s="28" t="s">
        <v>59</v>
      </c>
      <c r="B18" s="27"/>
      <c r="C18" s="32"/>
      <c r="D18" s="60" t="s">
        <v>66</v>
      </c>
      <c r="E18" s="60"/>
      <c r="G18" s="28" t="s">
        <v>59</v>
      </c>
      <c r="H18" s="27"/>
      <c r="J18" s="60" t="s">
        <v>66</v>
      </c>
      <c r="K18" s="60"/>
    </row>
    <row r="19" spans="1:12" ht="44" x14ac:dyDescent="0.25">
      <c r="A19" s="30" t="s">
        <v>0</v>
      </c>
      <c r="B19" s="30" t="s">
        <v>4</v>
      </c>
      <c r="C19" s="32"/>
      <c r="D19" s="30" t="s">
        <v>0</v>
      </c>
      <c r="E19" s="30" t="s">
        <v>4</v>
      </c>
      <c r="G19" s="30" t="s">
        <v>0</v>
      </c>
      <c r="H19" s="30" t="s">
        <v>4</v>
      </c>
      <c r="J19" s="30" t="s">
        <v>0</v>
      </c>
      <c r="K19" s="30" t="s">
        <v>4</v>
      </c>
    </row>
    <row r="20" spans="1:12" ht="21" x14ac:dyDescent="0.25">
      <c r="A20" s="28" t="s">
        <v>62</v>
      </c>
      <c r="B20" s="27">
        <f>'Rep2 10.17.19'!B30</f>
        <v>330</v>
      </c>
      <c r="C20" s="32"/>
      <c r="D20" s="36" t="s">
        <v>67</v>
      </c>
      <c r="E20" s="32">
        <f>'Rep2 10.17.19'!J30</f>
        <v>926</v>
      </c>
      <c r="G20" s="28" t="s">
        <v>62</v>
      </c>
      <c r="H20" s="27">
        <f>B20/B5</f>
        <v>8.25</v>
      </c>
      <c r="J20" s="36" t="s">
        <v>67</v>
      </c>
      <c r="K20" s="32">
        <f>E20/B5</f>
        <v>23.15</v>
      </c>
    </row>
    <row r="21" spans="1:12" ht="21" x14ac:dyDescent="0.25">
      <c r="A21" s="28" t="s">
        <v>63</v>
      </c>
      <c r="B21" s="27">
        <f>'Rep2 10.17.19'!B31</f>
        <v>348</v>
      </c>
      <c r="C21" s="32"/>
      <c r="D21" s="36" t="s">
        <v>68</v>
      </c>
      <c r="E21" s="32">
        <f>'Rep2 10.17.19'!J31</f>
        <v>899</v>
      </c>
      <c r="G21" s="28" t="s">
        <v>63</v>
      </c>
      <c r="H21" s="27">
        <f>B21/B6</f>
        <v>9.9428571428571431</v>
      </c>
      <c r="J21" s="36" t="s">
        <v>68</v>
      </c>
      <c r="K21" s="32">
        <f>E21/B6</f>
        <v>25.685714285714287</v>
      </c>
    </row>
    <row r="22" spans="1:12" ht="21" x14ac:dyDescent="0.25">
      <c r="A22" s="28" t="s">
        <v>64</v>
      </c>
      <c r="B22" s="27">
        <f>'Rep2 10.17.19'!B32</f>
        <v>414</v>
      </c>
      <c r="C22" s="37"/>
      <c r="D22" s="36" t="s">
        <v>69</v>
      </c>
      <c r="E22" s="32">
        <f>'Rep2 10.17.19'!J32</f>
        <v>937</v>
      </c>
      <c r="G22" s="28" t="s">
        <v>64</v>
      </c>
      <c r="H22" s="27">
        <f>B22/B7</f>
        <v>7.9615384615384617</v>
      </c>
      <c r="J22" s="36" t="s">
        <v>69</v>
      </c>
      <c r="K22" s="32">
        <f>E22/B7</f>
        <v>18.01923076923077</v>
      </c>
    </row>
    <row r="23" spans="1:12" ht="21" x14ac:dyDescent="0.25">
      <c r="A23" s="28"/>
      <c r="B23" s="27"/>
      <c r="C23" s="27"/>
      <c r="D23" s="33"/>
      <c r="E23" s="32"/>
    </row>
    <row r="24" spans="1:12" ht="21" x14ac:dyDescent="0.25">
      <c r="A24" s="34" t="s">
        <v>70</v>
      </c>
      <c r="B24" s="27"/>
      <c r="C24" s="27"/>
      <c r="D24" s="27"/>
      <c r="E24" s="27"/>
      <c r="G24" s="34" t="s">
        <v>70</v>
      </c>
    </row>
    <row r="25" spans="1:12" ht="21" x14ac:dyDescent="0.25">
      <c r="A25" s="28" t="s">
        <v>59</v>
      </c>
      <c r="B25" s="27"/>
      <c r="C25" s="27"/>
      <c r="D25" s="60" t="s">
        <v>71</v>
      </c>
      <c r="E25" s="60"/>
      <c r="G25" s="28" t="s">
        <v>59</v>
      </c>
      <c r="H25" s="27"/>
      <c r="J25" s="60" t="s">
        <v>71</v>
      </c>
      <c r="K25" s="60"/>
    </row>
    <row r="26" spans="1:12" ht="44" x14ac:dyDescent="0.25">
      <c r="A26" s="30" t="s">
        <v>0</v>
      </c>
      <c r="B26" s="30" t="s">
        <v>4</v>
      </c>
      <c r="C26" s="27"/>
      <c r="D26" s="30" t="s">
        <v>0</v>
      </c>
      <c r="E26" s="30" t="s">
        <v>4</v>
      </c>
      <c r="G26" s="30" t="s">
        <v>0</v>
      </c>
      <c r="H26" s="30" t="s">
        <v>4</v>
      </c>
      <c r="J26" s="30" t="s">
        <v>0</v>
      </c>
      <c r="K26" s="30" t="s">
        <v>4</v>
      </c>
    </row>
    <row r="27" spans="1:12" ht="21" x14ac:dyDescent="0.25">
      <c r="A27" s="28" t="s">
        <v>62</v>
      </c>
      <c r="B27" s="32">
        <f>'Rep2 10.17.19'!B39</f>
        <v>1153</v>
      </c>
      <c r="C27" s="27"/>
      <c r="D27" s="36" t="s">
        <v>72</v>
      </c>
      <c r="E27" s="27">
        <f>'Rep2 10.17.19'!J39</f>
        <v>2257</v>
      </c>
      <c r="G27" s="28" t="s">
        <v>62</v>
      </c>
      <c r="H27" s="32">
        <f>B27/B5</f>
        <v>28.824999999999999</v>
      </c>
      <c r="J27" s="36" t="s">
        <v>72</v>
      </c>
      <c r="K27" s="32">
        <f>E27/B5</f>
        <v>56.424999999999997</v>
      </c>
    </row>
    <row r="28" spans="1:12" ht="21" x14ac:dyDescent="0.25">
      <c r="A28" s="28" t="s">
        <v>63</v>
      </c>
      <c r="B28" s="32">
        <f>'Rep2 10.17.19'!B40</f>
        <v>1240</v>
      </c>
      <c r="C28" s="27"/>
      <c r="D28" s="36" t="s">
        <v>73</v>
      </c>
      <c r="E28" s="27">
        <f>'Rep2 10.17.19'!J40</f>
        <v>2307</v>
      </c>
      <c r="G28" s="28" t="s">
        <v>63</v>
      </c>
      <c r="H28" s="32">
        <f>B28/B6</f>
        <v>35.428571428571431</v>
      </c>
      <c r="J28" s="36" t="s">
        <v>73</v>
      </c>
      <c r="K28" s="32">
        <f>E28/B6</f>
        <v>65.914285714285711</v>
      </c>
      <c r="L28" s="32"/>
    </row>
    <row r="29" spans="1:12" ht="21" x14ac:dyDescent="0.25">
      <c r="A29" s="28" t="s">
        <v>64</v>
      </c>
      <c r="B29" s="32">
        <f>'Rep2 10.17.19'!B41</f>
        <v>1239</v>
      </c>
      <c r="C29" s="27"/>
      <c r="D29" s="36" t="s">
        <v>74</v>
      </c>
      <c r="E29" s="27">
        <f>'Rep2 10.17.19'!J41</f>
        <v>2201</v>
      </c>
      <c r="G29" s="28" t="s">
        <v>64</v>
      </c>
      <c r="H29" s="32">
        <f>B29/B7</f>
        <v>23.826923076923077</v>
      </c>
      <c r="J29" s="36" t="s">
        <v>74</v>
      </c>
      <c r="K29" s="32">
        <f>E29/B7</f>
        <v>42.32692307692308</v>
      </c>
      <c r="L29" s="32"/>
    </row>
    <row r="30" spans="1:12" ht="21" x14ac:dyDescent="0.25">
      <c r="A30" s="33"/>
      <c r="B30" s="32"/>
      <c r="C30" s="27"/>
      <c r="D30" s="32"/>
      <c r="E30" s="37"/>
    </row>
    <row r="31" spans="1:12" ht="21" x14ac:dyDescent="0.25">
      <c r="A31" s="34" t="s">
        <v>75</v>
      </c>
      <c r="G31" s="34" t="s">
        <v>75</v>
      </c>
    </row>
    <row r="32" spans="1:12" ht="21" x14ac:dyDescent="0.25">
      <c r="A32" s="28" t="s">
        <v>59</v>
      </c>
      <c r="D32" s="60" t="s">
        <v>76</v>
      </c>
      <c r="E32" s="60"/>
      <c r="G32" s="28" t="s">
        <v>59</v>
      </c>
      <c r="J32" s="60" t="s">
        <v>76</v>
      </c>
      <c r="K32" s="60"/>
    </row>
    <row r="33" spans="1:11" ht="44" x14ac:dyDescent="0.25">
      <c r="A33" s="30" t="s">
        <v>0</v>
      </c>
      <c r="B33" s="30" t="s">
        <v>4</v>
      </c>
      <c r="D33" s="30" t="s">
        <v>0</v>
      </c>
      <c r="E33" s="30" t="s">
        <v>4</v>
      </c>
      <c r="G33" s="30" t="s">
        <v>0</v>
      </c>
      <c r="H33" s="30" t="s">
        <v>4</v>
      </c>
      <c r="J33" s="30" t="s">
        <v>0</v>
      </c>
      <c r="K33" s="30" t="s">
        <v>4</v>
      </c>
    </row>
    <row r="34" spans="1:11" ht="21" x14ac:dyDescent="0.25">
      <c r="A34" s="28" t="s">
        <v>62</v>
      </c>
      <c r="B34" s="32">
        <f>'Rep2 10.17.19'!B48</f>
        <v>3202</v>
      </c>
      <c r="D34" s="36" t="s">
        <v>77</v>
      </c>
      <c r="E34" s="32">
        <f>'Rep2 10.17.19'!J48</f>
        <v>3657</v>
      </c>
      <c r="G34" s="28" t="s">
        <v>62</v>
      </c>
      <c r="H34" s="32">
        <f>B34/B5</f>
        <v>80.05</v>
      </c>
      <c r="J34" s="36" t="s">
        <v>77</v>
      </c>
      <c r="K34" s="32">
        <f>E34/B5</f>
        <v>91.424999999999997</v>
      </c>
    </row>
    <row r="35" spans="1:11" ht="21" x14ac:dyDescent="0.25">
      <c r="A35" s="28" t="s">
        <v>63</v>
      </c>
      <c r="B35" s="32">
        <f>'Rep2 10.17.19'!B49</f>
        <v>3092</v>
      </c>
      <c r="D35" s="36" t="s">
        <v>78</v>
      </c>
      <c r="E35" s="32">
        <f>'Rep2 10.17.19'!J49</f>
        <v>3573</v>
      </c>
      <c r="G35" s="28" t="s">
        <v>63</v>
      </c>
      <c r="H35" s="32">
        <f>B35/B6</f>
        <v>88.342857142857142</v>
      </c>
      <c r="J35" s="36" t="s">
        <v>78</v>
      </c>
      <c r="K35" s="32">
        <f>E35/B6</f>
        <v>102.08571428571429</v>
      </c>
    </row>
    <row r="36" spans="1:11" ht="21" x14ac:dyDescent="0.25">
      <c r="A36" s="28" t="s">
        <v>64</v>
      </c>
      <c r="B36" s="32">
        <f>'Rep2 10.17.19'!B50</f>
        <v>3290</v>
      </c>
      <c r="D36" s="36" t="s">
        <v>79</v>
      </c>
      <c r="E36" s="32">
        <f>'Rep2 10.17.19'!J50</f>
        <v>3433</v>
      </c>
      <c r="G36" s="28" t="s">
        <v>64</v>
      </c>
      <c r="H36" s="32">
        <f>B36/B7</f>
        <v>63.269230769230766</v>
      </c>
      <c r="J36" s="36" t="s">
        <v>79</v>
      </c>
      <c r="K36" s="32">
        <f>E36/B7</f>
        <v>66.019230769230774</v>
      </c>
    </row>
  </sheetData>
  <mergeCells count="6">
    <mergeCell ref="D18:E18"/>
    <mergeCell ref="J18:K18"/>
    <mergeCell ref="D25:E25"/>
    <mergeCell ref="J25:K25"/>
    <mergeCell ref="D32:E32"/>
    <mergeCell ref="J32:K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9279-7D24-B94B-AB9D-909990053169}">
  <dimension ref="A2:O36"/>
  <sheetViews>
    <sheetView topLeftCell="C4" workbookViewId="0">
      <selection activeCell="O6" sqref="O6"/>
    </sheetView>
  </sheetViews>
  <sheetFormatPr baseColWidth="10" defaultRowHeight="15" x14ac:dyDescent="0.2"/>
  <cols>
    <col min="1" max="1" width="28" customWidth="1"/>
    <col min="2" max="2" width="10.33203125" bestFit="1" customWidth="1"/>
    <col min="3" max="3" width="13" bestFit="1" customWidth="1"/>
    <col min="4" max="4" width="60.83203125" customWidth="1"/>
    <col min="5" max="5" width="11.6640625" customWidth="1"/>
    <col min="7" max="7" width="28" customWidth="1"/>
    <col min="8" max="8" width="14" customWidth="1"/>
    <col min="10" max="10" width="60.83203125" customWidth="1"/>
    <col min="11" max="11" width="11.6640625" customWidth="1"/>
  </cols>
  <sheetData>
    <row r="2" spans="1:15" ht="21" x14ac:dyDescent="0.25">
      <c r="A2" s="27" t="s">
        <v>52</v>
      </c>
      <c r="B2" s="27"/>
      <c r="C2" s="27"/>
      <c r="D2" s="27"/>
      <c r="E2" s="27"/>
    </row>
    <row r="3" spans="1:15" ht="21" x14ac:dyDescent="0.25">
      <c r="A3" s="39" t="s">
        <v>53</v>
      </c>
      <c r="B3" s="27"/>
      <c r="C3" s="27"/>
      <c r="D3" s="27"/>
      <c r="E3" s="27"/>
    </row>
    <row r="4" spans="1:15" ht="44" x14ac:dyDescent="0.25">
      <c r="A4" s="29" t="s">
        <v>0</v>
      </c>
      <c r="B4" s="30" t="s">
        <v>4</v>
      </c>
      <c r="C4" s="27"/>
      <c r="D4" s="27"/>
      <c r="E4" s="27"/>
      <c r="J4" s="27"/>
      <c r="K4" s="27" t="s">
        <v>54</v>
      </c>
      <c r="L4" s="27" t="s">
        <v>55</v>
      </c>
      <c r="M4" s="27" t="s">
        <v>56</v>
      </c>
      <c r="N4" s="27" t="s">
        <v>57</v>
      </c>
      <c r="O4" s="27" t="s">
        <v>58</v>
      </c>
    </row>
    <row r="5" spans="1:15" ht="21" x14ac:dyDescent="0.25">
      <c r="A5" s="31" t="s">
        <v>1</v>
      </c>
      <c r="B5" s="32">
        <f>'Rep3 11.19.19'!B15</f>
        <v>45</v>
      </c>
      <c r="C5" s="27"/>
      <c r="D5" s="27"/>
      <c r="E5" s="27"/>
      <c r="J5" s="27" t="s">
        <v>59</v>
      </c>
      <c r="K5" s="27">
        <v>1</v>
      </c>
      <c r="L5" s="27">
        <f>AVERAGE(H12:H14)</f>
        <v>3.362844308839732</v>
      </c>
      <c r="M5" s="27">
        <f>AVERAGE(H20:H22)</f>
        <v>9.4729214340198311</v>
      </c>
      <c r="N5" s="27">
        <f>AVERAGE(H27:H29)</f>
        <v>41.382684973302823</v>
      </c>
      <c r="O5" s="27">
        <f>AVERAGE(H34:H36)</f>
        <v>53.433223154504617</v>
      </c>
    </row>
    <row r="6" spans="1:15" ht="21" x14ac:dyDescent="0.25">
      <c r="A6" s="31" t="s">
        <v>2</v>
      </c>
      <c r="B6" s="32">
        <f>'Rep3 11.19.19'!B16</f>
        <v>46</v>
      </c>
      <c r="C6" s="27"/>
      <c r="D6" s="27"/>
      <c r="E6" s="27"/>
      <c r="J6" s="32" t="s">
        <v>60</v>
      </c>
      <c r="K6" s="27">
        <v>1</v>
      </c>
      <c r="L6" s="27">
        <f>AVERAGE(H12:H14)</f>
        <v>3.362844308839732</v>
      </c>
      <c r="M6" s="27">
        <f>AVERAGE(K20:K22)</f>
        <v>17.385990338164252</v>
      </c>
      <c r="N6" s="27">
        <f>AVERAGE(K27:K29)</f>
        <v>61.980193236714975</v>
      </c>
      <c r="O6" s="27">
        <f>AVERAGE(K34:K36)</f>
        <v>69.25924230867021</v>
      </c>
    </row>
    <row r="7" spans="1:15" ht="21" x14ac:dyDescent="0.25">
      <c r="A7" s="33" t="s">
        <v>3</v>
      </c>
      <c r="B7" s="32">
        <f>'Rep3 11.19.19'!B17</f>
        <v>57</v>
      </c>
      <c r="C7" s="27"/>
      <c r="D7" s="27"/>
      <c r="E7" s="27"/>
    </row>
    <row r="8" spans="1:15" ht="21" x14ac:dyDescent="0.25">
      <c r="A8" s="27"/>
      <c r="B8" s="27"/>
      <c r="C8" s="27"/>
      <c r="D8" s="27"/>
      <c r="E8" s="27"/>
    </row>
    <row r="9" spans="1:15" ht="21" x14ac:dyDescent="0.25">
      <c r="A9" s="34" t="s">
        <v>61</v>
      </c>
      <c r="B9" s="27"/>
      <c r="C9" s="27"/>
      <c r="G9" s="35" t="s">
        <v>61</v>
      </c>
      <c r="H9" s="27"/>
    </row>
    <row r="10" spans="1:15" ht="21" x14ac:dyDescent="0.25">
      <c r="A10" s="39" t="s">
        <v>59</v>
      </c>
      <c r="B10" s="27"/>
      <c r="C10" s="27"/>
      <c r="G10" s="39" t="s">
        <v>59</v>
      </c>
    </row>
    <row r="11" spans="1:15" ht="44" x14ac:dyDescent="0.25">
      <c r="A11" s="30" t="s">
        <v>0</v>
      </c>
      <c r="B11" s="30" t="s">
        <v>4</v>
      </c>
      <c r="C11" s="27"/>
      <c r="G11" s="30" t="s">
        <v>0</v>
      </c>
      <c r="H11" s="30" t="s">
        <v>4</v>
      </c>
    </row>
    <row r="12" spans="1:15" ht="21" x14ac:dyDescent="0.25">
      <c r="A12" s="39" t="s">
        <v>62</v>
      </c>
      <c r="B12" s="27">
        <f>'Rep3 11.19.19'!B22</f>
        <v>188</v>
      </c>
      <c r="C12" s="27"/>
      <c r="F12" s="27"/>
      <c r="G12" s="39" t="s">
        <v>62</v>
      </c>
      <c r="H12" s="27">
        <f>B12/B5</f>
        <v>4.177777777777778</v>
      </c>
    </row>
    <row r="13" spans="1:15" ht="21" x14ac:dyDescent="0.25">
      <c r="A13" s="39" t="s">
        <v>63</v>
      </c>
      <c r="B13" s="27">
        <f>'Rep3 11.19.19'!B23</f>
        <v>146</v>
      </c>
      <c r="C13" s="27"/>
      <c r="G13" s="39" t="s">
        <v>63</v>
      </c>
      <c r="H13" s="27">
        <f>B13/B6</f>
        <v>3.1739130434782608</v>
      </c>
    </row>
    <row r="14" spans="1:15" ht="21" x14ac:dyDescent="0.25">
      <c r="A14" s="39" t="s">
        <v>64</v>
      </c>
      <c r="B14" s="27">
        <f>'Rep3 11.19.19'!B24</f>
        <v>156</v>
      </c>
      <c r="C14" s="27"/>
      <c r="G14" s="39" t="s">
        <v>64</v>
      </c>
      <c r="H14" s="27">
        <f>B14/B7</f>
        <v>2.736842105263158</v>
      </c>
    </row>
    <row r="15" spans="1:15" ht="21" x14ac:dyDescent="0.25">
      <c r="A15" s="39"/>
      <c r="B15" s="27"/>
      <c r="C15" s="27"/>
      <c r="D15" s="33"/>
      <c r="E15" s="32"/>
    </row>
    <row r="16" spans="1:15" ht="21" x14ac:dyDescent="0.25">
      <c r="A16" s="27"/>
      <c r="B16" s="27"/>
      <c r="C16" s="27"/>
      <c r="D16" s="27"/>
      <c r="E16" s="27"/>
    </row>
    <row r="17" spans="1:12" ht="21" x14ac:dyDescent="0.25">
      <c r="A17" s="34" t="s">
        <v>65</v>
      </c>
      <c r="B17" s="27"/>
      <c r="C17" s="27"/>
      <c r="D17" s="27"/>
      <c r="E17" s="27"/>
      <c r="G17" s="34" t="s">
        <v>65</v>
      </c>
      <c r="H17" s="27"/>
    </row>
    <row r="18" spans="1:12" ht="21" x14ac:dyDescent="0.25">
      <c r="A18" s="39" t="s">
        <v>59</v>
      </c>
      <c r="B18" s="27"/>
      <c r="C18" s="32"/>
      <c r="D18" s="60" t="s">
        <v>66</v>
      </c>
      <c r="E18" s="60"/>
      <c r="G18" s="39" t="s">
        <v>59</v>
      </c>
      <c r="H18" s="27"/>
      <c r="J18" s="60" t="s">
        <v>66</v>
      </c>
      <c r="K18" s="60"/>
    </row>
    <row r="19" spans="1:12" ht="44" x14ac:dyDescent="0.25">
      <c r="A19" s="30" t="s">
        <v>0</v>
      </c>
      <c r="B19" s="30" t="s">
        <v>4</v>
      </c>
      <c r="C19" s="32"/>
      <c r="D19" s="30" t="s">
        <v>0</v>
      </c>
      <c r="E19" s="30" t="s">
        <v>4</v>
      </c>
      <c r="G19" s="30" t="s">
        <v>0</v>
      </c>
      <c r="H19" s="30" t="s">
        <v>4</v>
      </c>
      <c r="J19" s="30" t="s">
        <v>0</v>
      </c>
      <c r="K19" s="30" t="s">
        <v>4</v>
      </c>
    </row>
    <row r="20" spans="1:12" ht="21" x14ac:dyDescent="0.25">
      <c r="A20" s="39" t="s">
        <v>62</v>
      </c>
      <c r="B20" s="27">
        <f>'Rep3 11.19.19'!B30</f>
        <v>480</v>
      </c>
      <c r="C20" s="32"/>
      <c r="D20" s="36" t="s">
        <v>67</v>
      </c>
      <c r="E20" s="32">
        <f>'Rep3 11.19.19'!J30</f>
        <v>822</v>
      </c>
      <c r="G20" s="39" t="s">
        <v>62</v>
      </c>
      <c r="H20" s="27">
        <f>B20/B5</f>
        <v>10.666666666666666</v>
      </c>
      <c r="J20" s="36" t="s">
        <v>67</v>
      </c>
      <c r="K20" s="32">
        <f>E20/B5</f>
        <v>18.266666666666666</v>
      </c>
    </row>
    <row r="21" spans="1:12" ht="21" x14ac:dyDescent="0.25">
      <c r="A21" s="39" t="s">
        <v>63</v>
      </c>
      <c r="B21" s="27">
        <f>'Rep3 11.19.19'!B31</f>
        <v>472</v>
      </c>
      <c r="C21" s="32"/>
      <c r="D21" s="36" t="s">
        <v>68</v>
      </c>
      <c r="E21" s="32">
        <f>'Rep3 11.19.19'!J31</f>
        <v>869</v>
      </c>
      <c r="G21" s="39" t="s">
        <v>63</v>
      </c>
      <c r="H21" s="27">
        <f>B21/B6</f>
        <v>10.260869565217391</v>
      </c>
      <c r="J21" s="36" t="s">
        <v>68</v>
      </c>
      <c r="K21" s="32">
        <f>E21/B6</f>
        <v>18.891304347826086</v>
      </c>
    </row>
    <row r="22" spans="1:12" ht="21" x14ac:dyDescent="0.25">
      <c r="A22" s="39" t="s">
        <v>64</v>
      </c>
      <c r="B22" s="27">
        <f>'Rep3 11.19.19'!B32</f>
        <v>427</v>
      </c>
      <c r="C22" s="37"/>
      <c r="D22" s="36" t="s">
        <v>69</v>
      </c>
      <c r="E22" s="32">
        <f>'Rep3 11.19.19'!J32</f>
        <v>855</v>
      </c>
      <c r="G22" s="39" t="s">
        <v>64</v>
      </c>
      <c r="H22" s="27">
        <f>B22/B7</f>
        <v>7.4912280701754383</v>
      </c>
      <c r="J22" s="36" t="s">
        <v>69</v>
      </c>
      <c r="K22" s="32">
        <f>E22/B7</f>
        <v>15</v>
      </c>
    </row>
    <row r="23" spans="1:12" ht="21" x14ac:dyDescent="0.25">
      <c r="A23" s="39"/>
      <c r="B23" s="27"/>
      <c r="C23" s="27"/>
      <c r="D23" s="33"/>
      <c r="E23" s="32"/>
    </row>
    <row r="24" spans="1:12" ht="21" x14ac:dyDescent="0.25">
      <c r="A24" s="34" t="s">
        <v>70</v>
      </c>
      <c r="B24" s="27"/>
      <c r="C24" s="27"/>
      <c r="D24" s="27"/>
      <c r="E24" s="27"/>
      <c r="G24" s="34" t="s">
        <v>70</v>
      </c>
    </row>
    <row r="25" spans="1:12" ht="21" x14ac:dyDescent="0.25">
      <c r="A25" s="39" t="s">
        <v>59</v>
      </c>
      <c r="B25" s="27"/>
      <c r="C25" s="27"/>
      <c r="D25" s="60" t="s">
        <v>71</v>
      </c>
      <c r="E25" s="60"/>
      <c r="G25" s="39" t="s">
        <v>59</v>
      </c>
      <c r="H25" s="27"/>
      <c r="J25" s="60" t="s">
        <v>71</v>
      </c>
      <c r="K25" s="60"/>
    </row>
    <row r="26" spans="1:12" ht="44" x14ac:dyDescent="0.25">
      <c r="A26" s="30" t="s">
        <v>0</v>
      </c>
      <c r="B26" s="30" t="s">
        <v>4</v>
      </c>
      <c r="C26" s="27"/>
      <c r="D26" s="30" t="s">
        <v>0</v>
      </c>
      <c r="E26" s="30" t="s">
        <v>4</v>
      </c>
      <c r="G26" s="30" t="s">
        <v>0</v>
      </c>
      <c r="H26" s="30" t="s">
        <v>4</v>
      </c>
      <c r="J26" s="30" t="s">
        <v>0</v>
      </c>
      <c r="K26" s="30" t="s">
        <v>4</v>
      </c>
    </row>
    <row r="27" spans="1:12" ht="21" x14ac:dyDescent="0.25">
      <c r="A27" s="39" t="s">
        <v>62</v>
      </c>
      <c r="B27" s="32">
        <f>'Rep3 11.19.19'!B39</f>
        <v>2052</v>
      </c>
      <c r="C27" s="27"/>
      <c r="D27" s="36" t="s">
        <v>72</v>
      </c>
      <c r="E27" s="27">
        <f>'Rep3 11.19.19'!J39</f>
        <v>3012</v>
      </c>
      <c r="G27" s="39" t="s">
        <v>62</v>
      </c>
      <c r="H27" s="32">
        <f>B27/B5</f>
        <v>45.6</v>
      </c>
      <c r="J27" s="36" t="s">
        <v>72</v>
      </c>
      <c r="K27" s="32">
        <f>E27/B5</f>
        <v>66.933333333333337</v>
      </c>
    </row>
    <row r="28" spans="1:12" ht="21" x14ac:dyDescent="0.25">
      <c r="A28" s="39" t="s">
        <v>63</v>
      </c>
      <c r="B28" s="32">
        <f>'Rep3 11.19.19'!B40</f>
        <v>2025</v>
      </c>
      <c r="C28" s="27"/>
      <c r="D28" s="36" t="s">
        <v>73</v>
      </c>
      <c r="E28" s="27">
        <f>'Rep3 11.19.19'!J40</f>
        <v>3067</v>
      </c>
      <c r="G28" s="39" t="s">
        <v>63</v>
      </c>
      <c r="H28" s="32">
        <f>B28/B6</f>
        <v>44.021739130434781</v>
      </c>
      <c r="J28" s="36" t="s">
        <v>73</v>
      </c>
      <c r="K28" s="32">
        <f>E28/B6</f>
        <v>66.673913043478265</v>
      </c>
      <c r="L28" s="32"/>
    </row>
    <row r="29" spans="1:12" ht="21" x14ac:dyDescent="0.25">
      <c r="A29" s="39" t="s">
        <v>64</v>
      </c>
      <c r="B29" s="32">
        <f>'Rep3 11.19.19'!B41</f>
        <v>1968</v>
      </c>
      <c r="C29" s="27"/>
      <c r="D29" s="36" t="s">
        <v>74</v>
      </c>
      <c r="E29" s="27">
        <f>'Rep3 11.19.19'!J41</f>
        <v>2983</v>
      </c>
      <c r="G29" s="39" t="s">
        <v>64</v>
      </c>
      <c r="H29" s="32">
        <f>B29/B7</f>
        <v>34.526315789473685</v>
      </c>
      <c r="J29" s="36" t="s">
        <v>74</v>
      </c>
      <c r="K29" s="32">
        <f>E29/B7</f>
        <v>52.333333333333336</v>
      </c>
      <c r="L29" s="32"/>
    </row>
    <row r="30" spans="1:12" ht="21" x14ac:dyDescent="0.25">
      <c r="A30" s="33"/>
      <c r="B30" s="32"/>
      <c r="C30" s="27"/>
      <c r="D30" s="32"/>
      <c r="E30" s="37"/>
    </row>
    <row r="31" spans="1:12" ht="21" x14ac:dyDescent="0.25">
      <c r="A31" s="34" t="s">
        <v>75</v>
      </c>
      <c r="G31" s="34" t="s">
        <v>75</v>
      </c>
    </row>
    <row r="32" spans="1:12" ht="21" x14ac:dyDescent="0.25">
      <c r="A32" s="39" t="s">
        <v>59</v>
      </c>
      <c r="D32" s="60" t="s">
        <v>76</v>
      </c>
      <c r="E32" s="60"/>
      <c r="G32" s="39" t="s">
        <v>59</v>
      </c>
      <c r="J32" s="60" t="s">
        <v>76</v>
      </c>
      <c r="K32" s="60"/>
    </row>
    <row r="33" spans="1:11" ht="44" x14ac:dyDescent="0.25">
      <c r="A33" s="30" t="s">
        <v>0</v>
      </c>
      <c r="B33" s="30" t="s">
        <v>4</v>
      </c>
      <c r="D33" s="30" t="s">
        <v>0</v>
      </c>
      <c r="E33" s="30" t="s">
        <v>4</v>
      </c>
      <c r="G33" s="30" t="s">
        <v>0</v>
      </c>
      <c r="H33" s="30" t="s">
        <v>4</v>
      </c>
      <c r="J33" s="30" t="s">
        <v>0</v>
      </c>
      <c r="K33" s="30" t="s">
        <v>4</v>
      </c>
    </row>
    <row r="34" spans="1:11" ht="21" x14ac:dyDescent="0.25">
      <c r="A34" s="39" t="s">
        <v>62</v>
      </c>
      <c r="B34" s="32">
        <f>'Rep3 11.19.19'!B48</f>
        <v>2654</v>
      </c>
      <c r="D34" s="36" t="s">
        <v>77</v>
      </c>
      <c r="E34" s="32">
        <f>'Rep3 11.19.19'!J48</f>
        <v>3402</v>
      </c>
      <c r="G34" s="39" t="s">
        <v>62</v>
      </c>
      <c r="H34" s="32">
        <f>B34/B5</f>
        <v>58.977777777777774</v>
      </c>
      <c r="J34" s="36" t="s">
        <v>77</v>
      </c>
      <c r="K34" s="32">
        <f>E34/B5</f>
        <v>75.599999999999994</v>
      </c>
    </row>
    <row r="35" spans="1:11" ht="21" x14ac:dyDescent="0.25">
      <c r="A35" s="39" t="s">
        <v>63</v>
      </c>
      <c r="B35" s="32">
        <f>'Rep3 11.19.19'!B49</f>
        <v>2590</v>
      </c>
      <c r="D35" s="36" t="s">
        <v>78</v>
      </c>
      <c r="E35" s="32">
        <f>'Rep3 11.19.19'!J49</f>
        <v>3346</v>
      </c>
      <c r="G35" s="39" t="s">
        <v>63</v>
      </c>
      <c r="H35" s="32">
        <f>B35/B6</f>
        <v>56.304347826086953</v>
      </c>
      <c r="J35" s="36" t="s">
        <v>78</v>
      </c>
      <c r="K35" s="32">
        <f>E35/B6</f>
        <v>72.739130434782609</v>
      </c>
    </row>
    <row r="36" spans="1:11" ht="21" x14ac:dyDescent="0.25">
      <c r="A36" s="39" t="s">
        <v>64</v>
      </c>
      <c r="B36" s="32">
        <f>'Rep3 11.19.19'!B50</f>
        <v>2566</v>
      </c>
      <c r="D36" s="36" t="s">
        <v>79</v>
      </c>
      <c r="E36" s="32">
        <f>'Rep3 11.19.19'!J50</f>
        <v>3388</v>
      </c>
      <c r="G36" s="39" t="s">
        <v>64</v>
      </c>
      <c r="H36" s="32">
        <f>B36/B7</f>
        <v>45.017543859649123</v>
      </c>
      <c r="J36" s="36" t="s">
        <v>79</v>
      </c>
      <c r="K36" s="32">
        <f>E36/B7</f>
        <v>59.438596491228068</v>
      </c>
    </row>
  </sheetData>
  <mergeCells count="6">
    <mergeCell ref="D18:E18"/>
    <mergeCell ref="J18:K18"/>
    <mergeCell ref="D25:E25"/>
    <mergeCell ref="J25:K25"/>
    <mergeCell ref="D32:E32"/>
    <mergeCell ref="J32:K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Rep1 6.14.19</vt:lpstr>
      <vt:lpstr>Rep2 10.17.19</vt:lpstr>
      <vt:lpstr>Rep3 11.19.19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2018-09-24T18:58:03Z</dcterms:created>
  <dcterms:modified xsi:type="dcterms:W3CDTF">2019-12-17T19:07:14Z</dcterms:modified>
</cp:coreProperties>
</file>