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raftsman/Documents/Wei He/Blacksburg/Study/research/R01/E2ER model long term/"/>
    </mc:Choice>
  </mc:AlternateContent>
  <xr:revisionPtr revIDLastSave="0" documentId="13_ncr:1_{0B07CB69-FABA-7244-97CD-590898CF40AD}" xr6:coauthVersionLast="37" xr6:coauthVersionMax="37" xr10:uidLastSave="{00000000-0000-0000-0000-000000000000}"/>
  <bookViews>
    <workbookView xWindow="760" yWindow="1040" windowWidth="39760" windowHeight="20220" activeTab="1" xr2:uid="{00000000-000D-0000-FFFF-FFFF00000000}"/>
  </bookViews>
  <sheets>
    <sheet name="Rep1" sheetId="7" r:id="rId1"/>
    <sheet name="Sheet1" sheetId="8" r:id="rId2"/>
  </sheets>
  <calcPr calcId="179021"/>
</workbook>
</file>

<file path=xl/calcChain.xml><?xml version="1.0" encoding="utf-8"?>
<calcChain xmlns="http://schemas.openxmlformats.org/spreadsheetml/2006/main">
  <c r="Q14" i="8" l="1"/>
  <c r="Q13" i="8"/>
  <c r="Q12" i="8"/>
  <c r="Q11" i="8"/>
  <c r="H47" i="8"/>
  <c r="H48" i="8"/>
  <c r="H46" i="8"/>
  <c r="H42" i="8"/>
  <c r="E47" i="8"/>
  <c r="E48" i="8"/>
  <c r="E46" i="8"/>
  <c r="E41" i="8"/>
  <c r="E42" i="8"/>
  <c r="E40" i="8"/>
  <c r="B47" i="8"/>
  <c r="B48" i="8"/>
  <c r="B46" i="8"/>
  <c r="B41" i="8"/>
  <c r="B42" i="8"/>
  <c r="B40" i="8"/>
  <c r="E33" i="8"/>
  <c r="E34" i="8"/>
  <c r="E32" i="8"/>
  <c r="E27" i="8"/>
  <c r="E28" i="8"/>
  <c r="E26" i="8"/>
  <c r="B33" i="8"/>
  <c r="B34" i="8"/>
  <c r="B32" i="8"/>
  <c r="B27" i="8"/>
  <c r="B28" i="8"/>
  <c r="B26" i="8"/>
  <c r="E19" i="8"/>
  <c r="E20" i="8"/>
  <c r="E18" i="8"/>
  <c r="E13" i="8"/>
  <c r="E14" i="8"/>
  <c r="E12" i="8"/>
  <c r="B19" i="8"/>
  <c r="B20" i="8"/>
  <c r="B18" i="8"/>
  <c r="B13" i="8"/>
  <c r="B14" i="8"/>
  <c r="B12" i="8"/>
  <c r="B6" i="8"/>
  <c r="B7" i="8"/>
  <c r="B5" i="8"/>
  <c r="K47" i="8" l="1"/>
  <c r="H14" i="8"/>
  <c r="H27" i="8"/>
  <c r="K28" i="8"/>
  <c r="K42" i="8"/>
  <c r="H20" i="8"/>
  <c r="H34" i="8"/>
  <c r="K48" i="8"/>
  <c r="K19" i="8"/>
  <c r="K33" i="8"/>
  <c r="H19" i="8"/>
  <c r="H13" i="8"/>
  <c r="H41" i="8"/>
  <c r="K41" i="8"/>
  <c r="K27" i="8"/>
  <c r="H33" i="8"/>
  <c r="K34" i="8"/>
  <c r="K13" i="8"/>
  <c r="K14" i="8"/>
  <c r="K20" i="8"/>
  <c r="H28" i="8"/>
  <c r="K12" i="8"/>
  <c r="H26" i="8"/>
  <c r="K18" i="8"/>
  <c r="K26" i="8"/>
  <c r="H32" i="8"/>
  <c r="P13" i="8" s="1"/>
  <c r="H40" i="8"/>
  <c r="H12" i="8"/>
  <c r="H18" i="8"/>
  <c r="K32" i="8"/>
  <c r="K40" i="8"/>
  <c r="K46" i="8"/>
  <c r="D66" i="7"/>
  <c r="D65" i="7"/>
  <c r="D64" i="7"/>
  <c r="D63" i="7"/>
  <c r="C66" i="7"/>
  <c r="C65" i="7"/>
  <c r="C64" i="7"/>
  <c r="C63" i="7"/>
  <c r="B66" i="7"/>
  <c r="B65" i="7"/>
  <c r="B64" i="7"/>
  <c r="B63" i="7"/>
  <c r="K53" i="7"/>
  <c r="M53" i="7"/>
  <c r="C53" i="7"/>
  <c r="E53" i="7"/>
  <c r="K52" i="7"/>
  <c r="M52" i="7"/>
  <c r="C52" i="7"/>
  <c r="E52" i="7"/>
  <c r="K51" i="7"/>
  <c r="M51" i="7"/>
  <c r="C51" i="7"/>
  <c r="E51" i="7"/>
  <c r="K47" i="7"/>
  <c r="M47" i="7"/>
  <c r="C47" i="7"/>
  <c r="E47" i="7"/>
  <c r="K46" i="7"/>
  <c r="M46" i="7"/>
  <c r="C46" i="7"/>
  <c r="E46" i="7"/>
  <c r="K45" i="7"/>
  <c r="O45" i="7"/>
  <c r="C45" i="7"/>
  <c r="E45" i="7"/>
  <c r="K38" i="7"/>
  <c r="M38" i="7"/>
  <c r="C38" i="7"/>
  <c r="E38" i="7"/>
  <c r="K37" i="7"/>
  <c r="M37" i="7"/>
  <c r="C37" i="7"/>
  <c r="E37" i="7"/>
  <c r="K36" i="7"/>
  <c r="M36" i="7"/>
  <c r="C36" i="7"/>
  <c r="E36" i="7"/>
  <c r="K32" i="7"/>
  <c r="M32" i="7"/>
  <c r="C32" i="7"/>
  <c r="E32" i="7"/>
  <c r="K31" i="7"/>
  <c r="M31" i="7"/>
  <c r="C31" i="7"/>
  <c r="E31" i="7"/>
  <c r="K30" i="7"/>
  <c r="M30" i="7"/>
  <c r="C30" i="7"/>
  <c r="E30" i="7"/>
  <c r="K23" i="7"/>
  <c r="M23" i="7"/>
  <c r="C23" i="7"/>
  <c r="E23" i="7"/>
  <c r="K22" i="7"/>
  <c r="M22" i="7"/>
  <c r="C22" i="7"/>
  <c r="E22" i="7"/>
  <c r="K21" i="7"/>
  <c r="M21" i="7"/>
  <c r="C21" i="7"/>
  <c r="E21" i="7"/>
  <c r="K17" i="7"/>
  <c r="M17" i="7"/>
  <c r="C17" i="7"/>
  <c r="E17" i="7"/>
  <c r="K16" i="7"/>
  <c r="M16" i="7"/>
  <c r="C16" i="7"/>
  <c r="E16" i="7"/>
  <c r="K15" i="7"/>
  <c r="M15" i="7"/>
  <c r="C15" i="7"/>
  <c r="E15" i="7"/>
  <c r="C10" i="7"/>
  <c r="E10" i="7"/>
  <c r="C9" i="7"/>
  <c r="E9" i="7"/>
  <c r="C8" i="7"/>
  <c r="E8" i="7"/>
  <c r="N21" i="7"/>
  <c r="G15" i="7"/>
  <c r="N15" i="7"/>
  <c r="O30" i="7"/>
  <c r="O21" i="7"/>
  <c r="O15" i="7"/>
  <c r="F15" i="7"/>
  <c r="F21" i="7"/>
  <c r="G21" i="7"/>
  <c r="F8" i="7"/>
  <c r="G8" i="7"/>
  <c r="N51" i="7"/>
  <c r="O51" i="7"/>
  <c r="M45" i="7"/>
  <c r="N45" i="7"/>
  <c r="F51" i="7"/>
  <c r="G51" i="7"/>
  <c r="G45" i="7"/>
  <c r="F45" i="7"/>
  <c r="F36" i="7"/>
  <c r="G36" i="7"/>
  <c r="O36" i="7"/>
  <c r="N36" i="7"/>
  <c r="N30" i="7"/>
  <c r="G30" i="7"/>
  <c r="F30" i="7"/>
  <c r="O12" i="8" l="1"/>
  <c r="P14" i="8"/>
  <c r="P12" i="8"/>
  <c r="O11" i="8"/>
  <c r="O14" i="8"/>
  <c r="O13" i="8"/>
  <c r="P11" i="8"/>
</calcChain>
</file>

<file path=xl/sharedStrings.xml><?xml version="1.0" encoding="utf-8"?>
<sst xmlns="http://schemas.openxmlformats.org/spreadsheetml/2006/main" count="331" uniqueCount="64">
  <si>
    <t>Sample</t>
  </si>
  <si>
    <t xml:space="preserve"> +E2</t>
  </si>
  <si>
    <t xml:space="preserve"> +E2 #1</t>
  </si>
  <si>
    <t xml:space="preserve"> +E2 #2</t>
  </si>
  <si>
    <t xml:space="preserve"> +E2 #3</t>
  </si>
  <si>
    <t>Counter Read</t>
  </si>
  <si>
    <t>Cells/mL</t>
  </si>
  <si>
    <t>mL of cells</t>
  </si>
  <si>
    <t>Total cell number</t>
  </si>
  <si>
    <t>Average total cell #</t>
  </si>
  <si>
    <t>Stdev</t>
  </si>
  <si>
    <t xml:space="preserve"> +10pM E2</t>
  </si>
  <si>
    <t xml:space="preserve"> +10pM E2 #1</t>
  </si>
  <si>
    <t xml:space="preserve"> +10pM E2 #2</t>
  </si>
  <si>
    <t xml:space="preserve"> +10pM E2 #3</t>
  </si>
  <si>
    <t xml:space="preserve"> -E2 +100nM Palbo</t>
  </si>
  <si>
    <t xml:space="preserve"> +E2 +500nM ICI #1</t>
  </si>
  <si>
    <t xml:space="preserve"> +E2 +500nM ICI #2</t>
  </si>
  <si>
    <t xml:space="preserve"> +E2 +500nM ICI #3</t>
  </si>
  <si>
    <t>Thurs 6/13/2019, 45k cells plated on (13) 60mm dishes of MCF7f p82+17+30.</t>
  </si>
  <si>
    <t>Day 0 (6/14)</t>
  </si>
  <si>
    <t xml:space="preserve">Week 1 (6/21) </t>
  </si>
  <si>
    <t xml:space="preserve"> +E2+250nM Palbo #1</t>
  </si>
  <si>
    <t xml:space="preserve"> +E2+250nM Palbo #2</t>
  </si>
  <si>
    <t xml:space="preserve"> +E2+250nM Palbo #3</t>
  </si>
  <si>
    <t xml:space="preserve"> +E2 +500nM ICI</t>
  </si>
  <si>
    <t xml:space="preserve"> +E2 +250nM Palbo</t>
  </si>
  <si>
    <t xml:space="preserve"> -E2+100nM Palbo #1</t>
  </si>
  <si>
    <t xml:space="preserve"> -E2+100nM Palbo #2</t>
  </si>
  <si>
    <t xml:space="preserve"> -E2+100nM Palbo #3</t>
  </si>
  <si>
    <r>
      <t xml:space="preserve">Friday 6/14/19, Count T=0 plate. Wash all remaining plates 1x with PBS, dose accordingly: </t>
    </r>
    <r>
      <rPr>
        <sz val="11"/>
        <color indexed="10"/>
        <rFont val="Calibri"/>
        <family val="2"/>
      </rPr>
      <t>(3) +10pM E2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30"/>
        <rFont val="Calibri"/>
        <family val="2"/>
      </rPr>
      <t>(3) -E2+100nM Palbo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10"/>
        <rFont val="Calibri"/>
        <family val="2"/>
      </rPr>
      <t>(3) +E2+250nM Palbo (3) +E2+500nM ICI</t>
    </r>
    <r>
      <rPr>
        <sz val="11"/>
        <color theme="1"/>
        <rFont val="Calibri"/>
        <family val="2"/>
        <scheme val="minor"/>
      </rPr>
      <t xml:space="preserve">  *Re-dosed plates every Monday and Friday, counted each week on Friday</t>
    </r>
  </si>
  <si>
    <t>Coulter Counter Counts: MCF7f  +10pM E2/500nM ICI/250nM Palbo/-E2 +100nM Palbo 3 weeks (10%CCS+10nM E2)</t>
  </si>
  <si>
    <t>Week 3 (7/6)</t>
  </si>
  <si>
    <t>Week 2 (6/28)</t>
  </si>
  <si>
    <t xml:space="preserve"> +10pM E2 *Very Confluent</t>
  </si>
  <si>
    <t xml:space="preserve"> +E2 +250nM Palbo *Getting confluent</t>
  </si>
  <si>
    <t>Week1</t>
  </si>
  <si>
    <t>Week2</t>
  </si>
  <si>
    <t>Week3</t>
  </si>
  <si>
    <t>T=0</t>
  </si>
  <si>
    <t xml:space="preserve"> +E2+250nM Palbo </t>
  </si>
  <si>
    <t xml:space="preserve"> -E2+100nM Palbo</t>
  </si>
  <si>
    <t xml:space="preserve"> +10pM E2 </t>
  </si>
  <si>
    <t>Normalized to T=0</t>
  </si>
  <si>
    <t>Day 0</t>
  </si>
  <si>
    <t>Week 1</t>
  </si>
  <si>
    <t xml:space="preserve"> -E2 + 100nM Palbo</t>
  </si>
  <si>
    <t>Day0</t>
  </si>
  <si>
    <t xml:space="preserve"> +E2 +500nM ICI </t>
  </si>
  <si>
    <t xml:space="preserve"> +E2 +500nM ICI #1 </t>
  </si>
  <si>
    <t>Week 2</t>
  </si>
  <si>
    <t>Week 3</t>
  </si>
  <si>
    <t xml:space="preserve"> +E2+Palbo 250nM #1</t>
  </si>
  <si>
    <t xml:space="preserve"> +E2+Palbo 250nM #2</t>
  </si>
  <si>
    <t xml:space="preserve"> +E2+Palbo 250nM #3</t>
  </si>
  <si>
    <t xml:space="preserve"> -E2 + 100nM Palbo #1</t>
  </si>
  <si>
    <t xml:space="preserve"> -E2 + 100nM Palbo #2</t>
  </si>
  <si>
    <t xml:space="preserve"> -E2 + 100nM Palbo #3</t>
  </si>
  <si>
    <t xml:space="preserve"> +E2 +250nM Palbo #1</t>
  </si>
  <si>
    <t xml:space="preserve"> +E2 +250nM Palbo #2</t>
  </si>
  <si>
    <t xml:space="preserve"> +E2 +250nM Palbo #3</t>
  </si>
  <si>
    <t xml:space="preserve"> +E2 +500nM ICI  #1</t>
  </si>
  <si>
    <t xml:space="preserve"> +E2 +500nM ICI  #2</t>
  </si>
  <si>
    <t xml:space="preserve"> +E2 +500nM ICI 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</si>
</sst>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1" x14ac:knownFonts="1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6"/>
      <color theme="1"/>
      <name val="Calibri"/>
      <scheme val="minor"/>
    </font>
    <font>
      <sz val="16"/>
      <color rgb="FFFF0000"/>
      <name val="Calibri"/>
      <family val="2"/>
      <scheme val="minor"/>
    </font>
    <font>
      <sz val="16"/>
      <color rgb="FFFF0000"/>
      <name val="Calibri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6"/>
      <color rgb="FFFF0000"/>
      <name val="Calibri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/>
    <xf numFmtId="0" fontId="0" fillId="0" borderId="3" xfId="0" applyBorder="1"/>
    <xf numFmtId="0" fontId="3" fillId="0" borderId="0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164" fontId="12" fillId="0" borderId="0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0" fontId="2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Normalized to T=0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'Rep1'!$A$63</c:f>
              <c:strCache>
                <c:ptCount val="1"/>
                <c:pt idx="0">
                  <c:v> +10pM E2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'Rep1'!$B$62:$D$62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'Rep1'!$B$63:$D$63</c:f>
              <c:numCache>
                <c:formatCode>0.000E+00</c:formatCode>
                <c:ptCount val="3"/>
                <c:pt idx="0">
                  <c:v>24.179487179487179</c:v>
                </c:pt>
                <c:pt idx="1">
                  <c:v>93.341880341880341</c:v>
                </c:pt>
                <c:pt idx="2">
                  <c:v>110.008547008547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2-6B4E-A49D-8948AAF97FF3}"/>
            </c:ext>
          </c:extLst>
        </c:ser>
        <c:ser>
          <c:idx val="1"/>
          <c:order val="1"/>
          <c:tx>
            <c:strRef>
              <c:f>'Rep1'!$A$64</c:f>
              <c:strCache>
                <c:ptCount val="1"/>
                <c:pt idx="0">
                  <c:v> +E2+250nM Palbo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'Rep1'!$B$62:$D$62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'Rep1'!$B$64:$D$64</c:f>
              <c:numCache>
                <c:formatCode>0.000E+00</c:formatCode>
                <c:ptCount val="3"/>
                <c:pt idx="0">
                  <c:v>4.8632478632478628</c:v>
                </c:pt>
                <c:pt idx="1">
                  <c:v>37.521367521367516</c:v>
                </c:pt>
                <c:pt idx="2">
                  <c:v>61.957264957264961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2-6B4E-A49D-8948AAF97FF3}"/>
            </c:ext>
          </c:extLst>
        </c:ser>
        <c:ser>
          <c:idx val="2"/>
          <c:order val="2"/>
          <c:tx>
            <c:strRef>
              <c:f>'Rep1'!$A$65</c:f>
              <c:strCache>
                <c:ptCount val="1"/>
                <c:pt idx="0">
                  <c:v> -E2+100nM Palbo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'Rep1'!$B$62:$D$62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'Rep1'!$B$65:$D$65</c:f>
              <c:numCache>
                <c:formatCode>0.000E+00</c:formatCode>
                <c:ptCount val="3"/>
                <c:pt idx="0">
                  <c:v>2.9316239316239314</c:v>
                </c:pt>
                <c:pt idx="1">
                  <c:v>2.4957264957264957</c:v>
                </c:pt>
                <c:pt idx="2">
                  <c:v>1.6923076923076923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2-6B4E-A49D-8948AAF97FF3}"/>
            </c:ext>
          </c:extLst>
        </c:ser>
        <c:ser>
          <c:idx val="3"/>
          <c:order val="3"/>
          <c:tx>
            <c:strRef>
              <c:f>'Rep1'!$A$66</c:f>
              <c:strCache>
                <c:ptCount val="1"/>
                <c:pt idx="0">
                  <c:v> +E2 +500nM ICI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'Rep1'!$B$62:$D$62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'Rep1'!$B$66:$D$66</c:f>
              <c:numCache>
                <c:formatCode>0.000E+00</c:formatCode>
                <c:ptCount val="3"/>
                <c:pt idx="0">
                  <c:v>3.5897435897435899</c:v>
                </c:pt>
                <c:pt idx="1">
                  <c:v>5.2649572649572649</c:v>
                </c:pt>
                <c:pt idx="2">
                  <c:v>13.76923076923077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72-6B4E-A49D-8948AAF97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113584"/>
        <c:axId val="1"/>
      </c:barChart>
      <c:catAx>
        <c:axId val="111411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1135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557439555587676"/>
          <c:y val="0.89959484829233505"/>
          <c:w val="0.70255469159575312"/>
          <c:h val="7.4238409810532507E-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55</xdr:row>
      <xdr:rowOff>114300</xdr:rowOff>
    </xdr:from>
    <xdr:to>
      <xdr:col>15</xdr:col>
      <xdr:colOff>190500</xdr:colOff>
      <xdr:row>70</xdr:row>
      <xdr:rowOff>165100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99274503-2098-4D4B-B94B-E4652E07D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opLeftCell="A28" workbookViewId="0">
      <selection activeCell="F8" sqref="F8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8" width="9.5" bestFit="1" customWidth="1"/>
    <col min="9" max="9" width="20.3320312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</cols>
  <sheetData>
    <row r="1" spans="1:15" ht="19" x14ac:dyDescent="0.25">
      <c r="A1" s="3" t="s">
        <v>31</v>
      </c>
    </row>
    <row r="2" spans="1:15" x14ac:dyDescent="0.2">
      <c r="A2" t="s">
        <v>19</v>
      </c>
    </row>
    <row r="3" spans="1:15" x14ac:dyDescent="0.2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5" ht="19" x14ac:dyDescent="0.25">
      <c r="A5" s="34" t="s">
        <v>20</v>
      </c>
      <c r="B5" s="35"/>
      <c r="C5" s="35"/>
      <c r="D5" s="35"/>
      <c r="E5" s="35"/>
      <c r="F5" s="35"/>
      <c r="G5" s="36"/>
    </row>
    <row r="6" spans="1:15" ht="16" x14ac:dyDescent="0.2">
      <c r="A6" s="37" t="s">
        <v>1</v>
      </c>
      <c r="B6" s="38"/>
      <c r="C6" s="38"/>
      <c r="D6" s="38"/>
      <c r="E6" s="38"/>
      <c r="F6" s="38"/>
      <c r="G6" s="39"/>
    </row>
    <row r="7" spans="1:15" ht="32" x14ac:dyDescent="0.2">
      <c r="A7" s="4" t="s">
        <v>0</v>
      </c>
      <c r="B7" s="5" t="s">
        <v>5</v>
      </c>
      <c r="C7" s="5" t="s">
        <v>6</v>
      </c>
      <c r="D7" s="5" t="s">
        <v>7</v>
      </c>
      <c r="E7" s="5" t="s">
        <v>8</v>
      </c>
      <c r="F7" s="9" t="s">
        <v>9</v>
      </c>
      <c r="G7" s="6" t="s">
        <v>10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14" t="s">
        <v>2</v>
      </c>
      <c r="B8" s="15">
        <v>38</v>
      </c>
      <c r="C8" s="16">
        <f>B8*400</f>
        <v>15200</v>
      </c>
      <c r="D8" s="15">
        <v>2.5</v>
      </c>
      <c r="E8" s="16">
        <f>C8*D8</f>
        <v>38000</v>
      </c>
      <c r="F8" s="17">
        <f>AVERAGE(E8:E10)</f>
        <v>39000</v>
      </c>
      <c r="G8" s="18">
        <f>_xlfn.STDEV.S(E8:E10)</f>
        <v>3605.5512754639894</v>
      </c>
      <c r="H8" s="1"/>
      <c r="I8" s="1"/>
      <c r="J8" s="1"/>
      <c r="K8" s="1"/>
      <c r="L8" s="1"/>
      <c r="M8" s="1"/>
      <c r="N8" s="1"/>
      <c r="O8" s="1"/>
    </row>
    <row r="9" spans="1:15" x14ac:dyDescent="0.2">
      <c r="A9" s="14" t="s">
        <v>3</v>
      </c>
      <c r="B9" s="15">
        <v>36</v>
      </c>
      <c r="C9" s="16">
        <f>B9*400</f>
        <v>14400</v>
      </c>
      <c r="D9" s="15">
        <v>2.5</v>
      </c>
      <c r="E9" s="16">
        <f>C9*D9</f>
        <v>36000</v>
      </c>
      <c r="F9" s="16"/>
      <c r="G9" s="19"/>
      <c r="H9" s="1"/>
      <c r="I9" s="1"/>
      <c r="J9" s="1"/>
      <c r="K9" s="1"/>
      <c r="L9" s="1"/>
      <c r="M9" s="1"/>
      <c r="N9" s="1"/>
      <c r="O9" s="1"/>
    </row>
    <row r="10" spans="1:15" x14ac:dyDescent="0.2">
      <c r="A10" s="20" t="s">
        <v>4</v>
      </c>
      <c r="B10" s="21">
        <v>43</v>
      </c>
      <c r="C10" s="22">
        <f>B10*400</f>
        <v>17200</v>
      </c>
      <c r="D10" s="21">
        <v>2.5</v>
      </c>
      <c r="E10" s="22">
        <f>C10*D10</f>
        <v>43000</v>
      </c>
      <c r="F10" s="22"/>
      <c r="G10" s="23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9" x14ac:dyDescent="0.25">
      <c r="A12" s="34" t="s">
        <v>21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6"/>
    </row>
    <row r="13" spans="1:15" ht="16" x14ac:dyDescent="0.2">
      <c r="A13" s="37" t="s">
        <v>11</v>
      </c>
      <c r="B13" s="38"/>
      <c r="C13" s="38"/>
      <c r="D13" s="38"/>
      <c r="E13" s="38"/>
      <c r="F13" s="38"/>
      <c r="G13" s="39"/>
      <c r="H13" s="15"/>
      <c r="I13" s="40" t="s">
        <v>25</v>
      </c>
      <c r="J13" s="41"/>
      <c r="K13" s="41"/>
      <c r="L13" s="41"/>
      <c r="M13" s="41"/>
      <c r="N13" s="41"/>
      <c r="O13" s="42"/>
    </row>
    <row r="14" spans="1:15" ht="32" x14ac:dyDescent="0.2">
      <c r="A14" s="4" t="s">
        <v>0</v>
      </c>
      <c r="B14" s="5" t="s">
        <v>5</v>
      </c>
      <c r="C14" s="5" t="s">
        <v>6</v>
      </c>
      <c r="D14" s="5" t="s">
        <v>7</v>
      </c>
      <c r="E14" s="5" t="s">
        <v>8</v>
      </c>
      <c r="F14" s="9" t="s">
        <v>9</v>
      </c>
      <c r="G14" s="6" t="s">
        <v>10</v>
      </c>
      <c r="H14" s="15"/>
      <c r="I14" s="10" t="s">
        <v>0</v>
      </c>
      <c r="J14" s="11" t="s">
        <v>5</v>
      </c>
      <c r="K14" s="11" t="s">
        <v>6</v>
      </c>
      <c r="L14" s="11" t="s">
        <v>7</v>
      </c>
      <c r="M14" s="11" t="s">
        <v>8</v>
      </c>
      <c r="N14" s="12" t="s">
        <v>9</v>
      </c>
      <c r="O14" s="13" t="s">
        <v>10</v>
      </c>
    </row>
    <row r="15" spans="1:15" x14ac:dyDescent="0.2">
      <c r="A15" s="14" t="s">
        <v>12</v>
      </c>
      <c r="B15" s="15">
        <v>952</v>
      </c>
      <c r="C15" s="16">
        <f>B15*400</f>
        <v>380800</v>
      </c>
      <c r="D15" s="15">
        <v>2.5</v>
      </c>
      <c r="E15" s="16">
        <f>C15*D15</f>
        <v>952000</v>
      </c>
      <c r="F15" s="17">
        <f>AVERAGE(E15:E17)</f>
        <v>943000</v>
      </c>
      <c r="G15" s="18">
        <f>_xlfn.STDEV.S(E15:E17)</f>
        <v>16462.077633154327</v>
      </c>
      <c r="H15" s="15"/>
      <c r="I15" s="14" t="s">
        <v>16</v>
      </c>
      <c r="J15" s="15">
        <v>132</v>
      </c>
      <c r="K15" s="16">
        <f>J15*400</f>
        <v>52800</v>
      </c>
      <c r="L15" s="15">
        <v>2.5</v>
      </c>
      <c r="M15" s="16">
        <f>K15*L15</f>
        <v>132000</v>
      </c>
      <c r="N15" s="17">
        <f>AVERAGE(M15:M17)</f>
        <v>140000</v>
      </c>
      <c r="O15" s="18">
        <f>_xlfn.STDEV.S(K15:K17)</f>
        <v>3019.9337741083</v>
      </c>
    </row>
    <row r="16" spans="1:15" x14ac:dyDescent="0.2">
      <c r="A16" s="14" t="s">
        <v>13</v>
      </c>
      <c r="B16" s="15">
        <v>924</v>
      </c>
      <c r="C16" s="16">
        <f>B16*400</f>
        <v>369600</v>
      </c>
      <c r="D16" s="15">
        <v>2.5</v>
      </c>
      <c r="E16" s="16">
        <f>C16*D16</f>
        <v>924000</v>
      </c>
      <c r="F16" s="16"/>
      <c r="G16" s="19"/>
      <c r="H16" s="15"/>
      <c r="I16" s="14" t="s">
        <v>17</v>
      </c>
      <c r="J16" s="15">
        <v>141</v>
      </c>
      <c r="K16" s="16">
        <f>J16*400</f>
        <v>56400</v>
      </c>
      <c r="L16" s="15">
        <v>2.5</v>
      </c>
      <c r="M16" s="16">
        <f>K16*L16</f>
        <v>141000</v>
      </c>
      <c r="N16" s="16"/>
      <c r="O16" s="19"/>
    </row>
    <row r="17" spans="1:23" x14ac:dyDescent="0.2">
      <c r="A17" s="20" t="s">
        <v>14</v>
      </c>
      <c r="B17" s="21">
        <v>953</v>
      </c>
      <c r="C17" s="22">
        <f>B17*400</f>
        <v>381200</v>
      </c>
      <c r="D17" s="21">
        <v>2.5</v>
      </c>
      <c r="E17" s="22">
        <f>C17*D17</f>
        <v>953000</v>
      </c>
      <c r="F17" s="22"/>
      <c r="G17" s="23"/>
      <c r="H17" s="15"/>
      <c r="I17" s="20" t="s">
        <v>18</v>
      </c>
      <c r="J17" s="21">
        <v>147</v>
      </c>
      <c r="K17" s="22">
        <f>J17*400</f>
        <v>58800</v>
      </c>
      <c r="L17" s="21">
        <v>2.5</v>
      </c>
      <c r="M17" s="22">
        <f>K17*L17</f>
        <v>147000</v>
      </c>
      <c r="N17" s="22"/>
      <c r="O17" s="23"/>
    </row>
    <row r="18" spans="1:23" x14ac:dyDescent="0.2">
      <c r="A18" s="14"/>
      <c r="B18" s="15"/>
      <c r="C18" s="16"/>
      <c r="D18" s="15"/>
      <c r="E18" s="16"/>
      <c r="F18" s="16"/>
      <c r="G18" s="16"/>
      <c r="H18" s="15"/>
      <c r="I18" s="26"/>
      <c r="J18" s="15"/>
      <c r="K18" s="16"/>
      <c r="L18" s="15"/>
      <c r="M18" s="16"/>
      <c r="N18" s="16"/>
      <c r="O18" s="19"/>
      <c r="P18" s="26"/>
      <c r="Q18" s="15"/>
      <c r="R18" s="16"/>
      <c r="S18" s="15"/>
      <c r="T18" s="16"/>
      <c r="U18" s="16"/>
      <c r="V18" s="16"/>
      <c r="W18" s="7"/>
    </row>
    <row r="19" spans="1:23" ht="16" x14ac:dyDescent="0.2">
      <c r="A19" s="37" t="s">
        <v>26</v>
      </c>
      <c r="B19" s="38"/>
      <c r="C19" s="38"/>
      <c r="D19" s="38"/>
      <c r="E19" s="38"/>
      <c r="F19" s="38"/>
      <c r="G19" s="39"/>
      <c r="H19" s="7"/>
      <c r="I19" s="43" t="s">
        <v>15</v>
      </c>
      <c r="J19" s="44"/>
      <c r="K19" s="44"/>
      <c r="L19" s="44"/>
      <c r="M19" s="44"/>
      <c r="N19" s="44"/>
      <c r="O19" s="45"/>
    </row>
    <row r="20" spans="1:23" ht="32" x14ac:dyDescent="0.2">
      <c r="A20" s="10" t="s">
        <v>0</v>
      </c>
      <c r="B20" s="11" t="s">
        <v>5</v>
      </c>
      <c r="C20" s="11" t="s">
        <v>6</v>
      </c>
      <c r="D20" s="11" t="s">
        <v>7</v>
      </c>
      <c r="E20" s="11" t="s">
        <v>8</v>
      </c>
      <c r="F20" s="12" t="s">
        <v>9</v>
      </c>
      <c r="G20" s="13" t="s">
        <v>10</v>
      </c>
      <c r="H20" s="7"/>
      <c r="I20" s="10" t="s">
        <v>0</v>
      </c>
      <c r="J20" s="11" t="s">
        <v>5</v>
      </c>
      <c r="K20" s="11" t="s">
        <v>6</v>
      </c>
      <c r="L20" s="11" t="s">
        <v>7</v>
      </c>
      <c r="M20" s="11" t="s">
        <v>8</v>
      </c>
      <c r="N20" s="12" t="s">
        <v>9</v>
      </c>
      <c r="O20" s="13" t="s">
        <v>10</v>
      </c>
    </row>
    <row r="21" spans="1:23" x14ac:dyDescent="0.2">
      <c r="A21" s="14" t="s">
        <v>22</v>
      </c>
      <c r="B21" s="15">
        <v>205</v>
      </c>
      <c r="C21" s="16">
        <f>B21*400</f>
        <v>82000</v>
      </c>
      <c r="D21" s="15">
        <v>2.5</v>
      </c>
      <c r="E21" s="16">
        <f>C21*D21</f>
        <v>205000</v>
      </c>
      <c r="F21" s="17">
        <f>AVERAGE(E21:E23)</f>
        <v>189666.66666666666</v>
      </c>
      <c r="G21" s="18">
        <f>_xlfn.STDEV.S(E21:E23)</f>
        <v>14189.197769195174</v>
      </c>
      <c r="H21" s="7"/>
      <c r="I21" s="24" t="s">
        <v>27</v>
      </c>
      <c r="J21" s="15">
        <v>103</v>
      </c>
      <c r="K21" s="16">
        <f>J21*400</f>
        <v>41200</v>
      </c>
      <c r="L21" s="15">
        <v>2.5</v>
      </c>
      <c r="M21" s="16">
        <f>K21*L21</f>
        <v>103000</v>
      </c>
      <c r="N21" s="25">
        <f>AVERAGE(M21:M23)</f>
        <v>114333.33333333333</v>
      </c>
      <c r="O21" s="18">
        <f>_xlfn.STDEV.S(M21:M23)</f>
        <v>11503.622617824931</v>
      </c>
    </row>
    <row r="22" spans="1:23" x14ac:dyDescent="0.2">
      <c r="A22" s="14" t="s">
        <v>23</v>
      </c>
      <c r="B22" s="15">
        <v>187</v>
      </c>
      <c r="C22" s="16">
        <f>B22*400</f>
        <v>74800</v>
      </c>
      <c r="D22" s="15">
        <v>2.5</v>
      </c>
      <c r="E22" s="16">
        <f>C22*D22</f>
        <v>187000</v>
      </c>
      <c r="F22" s="16"/>
      <c r="G22" s="19"/>
      <c r="H22" s="7"/>
      <c r="I22" s="24" t="s">
        <v>28</v>
      </c>
      <c r="J22" s="15">
        <v>114</v>
      </c>
      <c r="K22" s="16">
        <f>J22*400</f>
        <v>45600</v>
      </c>
      <c r="L22" s="15">
        <v>2.5</v>
      </c>
      <c r="M22" s="16">
        <f>K22*L22</f>
        <v>114000</v>
      </c>
      <c r="N22" s="16"/>
      <c r="O22" s="19"/>
    </row>
    <row r="23" spans="1:23" x14ac:dyDescent="0.2">
      <c r="A23" s="20" t="s">
        <v>24</v>
      </c>
      <c r="B23" s="21">
        <v>177</v>
      </c>
      <c r="C23" s="22">
        <f>B23*400</f>
        <v>70800</v>
      </c>
      <c r="D23" s="21">
        <v>2.5</v>
      </c>
      <c r="E23" s="22">
        <f>C23*D23</f>
        <v>177000</v>
      </c>
      <c r="F23" s="22"/>
      <c r="G23" s="23"/>
      <c r="H23" s="8"/>
      <c r="I23" s="27" t="s">
        <v>29</v>
      </c>
      <c r="J23" s="21">
        <v>126</v>
      </c>
      <c r="K23" s="22">
        <f>J23*400</f>
        <v>50400</v>
      </c>
      <c r="L23" s="21">
        <v>2.5</v>
      </c>
      <c r="M23" s="22">
        <f>K23*L23</f>
        <v>126000</v>
      </c>
      <c r="N23" s="22"/>
      <c r="O23" s="23"/>
    </row>
    <row r="24" spans="1:23" x14ac:dyDescent="0.2">
      <c r="A24" s="14"/>
      <c r="B24" s="15"/>
      <c r="C24" s="16"/>
      <c r="D24" s="15"/>
      <c r="E24" s="16"/>
      <c r="F24" s="16"/>
      <c r="G24" s="16"/>
      <c r="H24" s="15"/>
      <c r="I24" s="26"/>
      <c r="J24" s="15"/>
      <c r="K24" s="16"/>
      <c r="L24" s="15"/>
      <c r="M24" s="16"/>
      <c r="N24" s="16"/>
      <c r="O24" s="19"/>
    </row>
    <row r="25" spans="1:23" x14ac:dyDescent="0.2">
      <c r="A25" s="14"/>
      <c r="B25" s="15"/>
      <c r="C25" s="16"/>
      <c r="D25" s="15"/>
      <c r="E25" s="16"/>
      <c r="F25" s="16"/>
      <c r="G25" s="16"/>
      <c r="H25" s="15"/>
      <c r="I25" s="26"/>
      <c r="J25" s="15"/>
      <c r="K25" s="16"/>
      <c r="L25" s="15"/>
      <c r="M25" s="16"/>
      <c r="N25" s="16"/>
      <c r="O25" s="19"/>
    </row>
    <row r="26" spans="1:23" x14ac:dyDescent="0.2">
      <c r="A26" s="14"/>
      <c r="B26" s="15"/>
      <c r="C26" s="16"/>
      <c r="D26" s="15"/>
      <c r="E26" s="16"/>
      <c r="F26" s="16"/>
      <c r="G26" s="16"/>
      <c r="H26" s="15"/>
      <c r="I26" s="26"/>
      <c r="J26" s="15"/>
      <c r="K26" s="16"/>
      <c r="L26" s="15"/>
      <c r="M26" s="16"/>
      <c r="N26" s="16"/>
      <c r="O26" s="19"/>
    </row>
    <row r="27" spans="1:23" ht="15.75" customHeight="1" x14ac:dyDescent="0.25">
      <c r="A27" s="34" t="s">
        <v>33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6"/>
    </row>
    <row r="28" spans="1:23" ht="16" x14ac:dyDescent="0.2">
      <c r="A28" s="37" t="s">
        <v>34</v>
      </c>
      <c r="B28" s="38"/>
      <c r="C28" s="38"/>
      <c r="D28" s="38"/>
      <c r="E28" s="38"/>
      <c r="F28" s="38"/>
      <c r="G28" s="39"/>
      <c r="H28" s="15"/>
      <c r="I28" s="40" t="s">
        <v>25</v>
      </c>
      <c r="J28" s="41"/>
      <c r="K28" s="41"/>
      <c r="L28" s="41"/>
      <c r="M28" s="41"/>
      <c r="N28" s="41"/>
      <c r="O28" s="42"/>
    </row>
    <row r="29" spans="1:23" ht="32" x14ac:dyDescent="0.2">
      <c r="A29" s="4" t="s">
        <v>0</v>
      </c>
      <c r="B29" s="5" t="s">
        <v>5</v>
      </c>
      <c r="C29" s="5" t="s">
        <v>6</v>
      </c>
      <c r="D29" s="5" t="s">
        <v>7</v>
      </c>
      <c r="E29" s="5" t="s">
        <v>8</v>
      </c>
      <c r="F29" s="9" t="s">
        <v>9</v>
      </c>
      <c r="G29" s="6" t="s">
        <v>10</v>
      </c>
      <c r="H29" s="15"/>
      <c r="I29" s="10" t="s">
        <v>0</v>
      </c>
      <c r="J29" s="11" t="s">
        <v>5</v>
      </c>
      <c r="K29" s="11" t="s">
        <v>6</v>
      </c>
      <c r="L29" s="11" t="s">
        <v>7</v>
      </c>
      <c r="M29" s="11" t="s">
        <v>8</v>
      </c>
      <c r="N29" s="12" t="s">
        <v>9</v>
      </c>
      <c r="O29" s="13" t="s">
        <v>10</v>
      </c>
    </row>
    <row r="30" spans="1:23" x14ac:dyDescent="0.2">
      <c r="A30" s="14" t="s">
        <v>12</v>
      </c>
      <c r="B30" s="15">
        <v>3694</v>
      </c>
      <c r="C30" s="16">
        <f>B30*400</f>
        <v>1477600</v>
      </c>
      <c r="D30" s="15">
        <v>2.5</v>
      </c>
      <c r="E30" s="16">
        <f>C30*D30</f>
        <v>3694000</v>
      </c>
      <c r="F30" s="17">
        <f>AVERAGE(E30:E32)</f>
        <v>3640333.3333333335</v>
      </c>
      <c r="G30" s="18">
        <f>_xlfn.STDEV.S(E30:E32)</f>
        <v>49318.691520896347</v>
      </c>
      <c r="H30" s="15"/>
      <c r="I30" s="14" t="s">
        <v>16</v>
      </c>
      <c r="J30" s="15">
        <v>221</v>
      </c>
      <c r="K30" s="16">
        <f>J30*400</f>
        <v>88400</v>
      </c>
      <c r="L30" s="15">
        <v>2.5</v>
      </c>
      <c r="M30" s="16">
        <f>K30*L30</f>
        <v>221000</v>
      </c>
      <c r="N30" s="17">
        <f>AVERAGE(M30:M32)</f>
        <v>205333.33333333334</v>
      </c>
      <c r="O30" s="18">
        <f>_xlfn.STDEV.S(K30:K32)</f>
        <v>5604.7598818623201</v>
      </c>
    </row>
    <row r="31" spans="1:23" x14ac:dyDescent="0.2">
      <c r="A31" s="14" t="s">
        <v>13</v>
      </c>
      <c r="B31" s="15">
        <v>3630</v>
      </c>
      <c r="C31" s="16">
        <f>B31*400</f>
        <v>1452000</v>
      </c>
      <c r="D31" s="15">
        <v>2.5</v>
      </c>
      <c r="E31" s="16">
        <f>C31*D31</f>
        <v>3630000</v>
      </c>
      <c r="F31" s="16"/>
      <c r="G31" s="19"/>
      <c r="H31" s="15"/>
      <c r="I31" s="14" t="s">
        <v>17</v>
      </c>
      <c r="J31" s="15">
        <v>201</v>
      </c>
      <c r="K31" s="16">
        <f>J31*400</f>
        <v>80400</v>
      </c>
      <c r="L31" s="15">
        <v>2.5</v>
      </c>
      <c r="M31" s="16">
        <f>K31*L31</f>
        <v>201000</v>
      </c>
      <c r="N31" s="16"/>
      <c r="O31" s="19"/>
    </row>
    <row r="32" spans="1:23" x14ac:dyDescent="0.2">
      <c r="A32" s="20" t="s">
        <v>14</v>
      </c>
      <c r="B32" s="21">
        <v>3597</v>
      </c>
      <c r="C32" s="22">
        <f>B32*400</f>
        <v>1438800</v>
      </c>
      <c r="D32" s="21">
        <v>2.5</v>
      </c>
      <c r="E32" s="22">
        <f>C32*D32</f>
        <v>3597000</v>
      </c>
      <c r="F32" s="22"/>
      <c r="G32" s="23"/>
      <c r="H32" s="15"/>
      <c r="I32" s="20" t="s">
        <v>18</v>
      </c>
      <c r="J32" s="21">
        <v>194</v>
      </c>
      <c r="K32" s="22">
        <f>J32*400</f>
        <v>77600</v>
      </c>
      <c r="L32" s="21">
        <v>2.5</v>
      </c>
      <c r="M32" s="22">
        <f>K32*L32</f>
        <v>194000</v>
      </c>
      <c r="N32" s="22"/>
      <c r="O32" s="23"/>
    </row>
    <row r="33" spans="1:22" x14ac:dyDescent="0.2">
      <c r="A33" s="14"/>
      <c r="B33" s="15"/>
      <c r="C33" s="16"/>
      <c r="D33" s="15"/>
      <c r="E33" s="16"/>
      <c r="F33" s="16"/>
      <c r="G33" s="16"/>
      <c r="H33" s="15"/>
      <c r="I33" s="26"/>
      <c r="J33" s="15"/>
      <c r="K33" s="16"/>
      <c r="L33" s="15"/>
      <c r="M33" s="16"/>
      <c r="N33" s="16"/>
      <c r="O33" s="19"/>
    </row>
    <row r="34" spans="1:22" ht="15.75" customHeight="1" x14ac:dyDescent="0.2">
      <c r="A34" s="37" t="s">
        <v>35</v>
      </c>
      <c r="B34" s="38"/>
      <c r="C34" s="38"/>
      <c r="D34" s="38"/>
      <c r="E34" s="38"/>
      <c r="F34" s="38"/>
      <c r="G34" s="39"/>
      <c r="H34" s="7"/>
      <c r="I34" s="43" t="s">
        <v>15</v>
      </c>
      <c r="J34" s="44"/>
      <c r="K34" s="44"/>
      <c r="L34" s="44"/>
      <c r="M34" s="44"/>
      <c r="N34" s="44"/>
      <c r="O34" s="45"/>
    </row>
    <row r="35" spans="1:22" ht="32" x14ac:dyDescent="0.2">
      <c r="A35" s="10" t="s">
        <v>0</v>
      </c>
      <c r="B35" s="11" t="s">
        <v>5</v>
      </c>
      <c r="C35" s="11" t="s">
        <v>6</v>
      </c>
      <c r="D35" s="11" t="s">
        <v>7</v>
      </c>
      <c r="E35" s="11" t="s">
        <v>8</v>
      </c>
      <c r="F35" s="12" t="s">
        <v>9</v>
      </c>
      <c r="G35" s="13" t="s">
        <v>10</v>
      </c>
      <c r="H35" s="7"/>
      <c r="I35" s="10" t="s">
        <v>0</v>
      </c>
      <c r="J35" s="11" t="s">
        <v>5</v>
      </c>
      <c r="K35" s="11" t="s">
        <v>6</v>
      </c>
      <c r="L35" s="11" t="s">
        <v>7</v>
      </c>
      <c r="M35" s="11" t="s">
        <v>8</v>
      </c>
      <c r="N35" s="12" t="s">
        <v>9</v>
      </c>
      <c r="O35" s="13" t="s">
        <v>10</v>
      </c>
    </row>
    <row r="36" spans="1:22" x14ac:dyDescent="0.2">
      <c r="A36" s="14" t="s">
        <v>22</v>
      </c>
      <c r="B36" s="15">
        <v>1506</v>
      </c>
      <c r="C36" s="16">
        <f>B36*400</f>
        <v>602400</v>
      </c>
      <c r="D36" s="15">
        <v>2.5</v>
      </c>
      <c r="E36" s="16">
        <f>C36*D36</f>
        <v>1506000</v>
      </c>
      <c r="F36" s="17">
        <f>AVERAGE(E36:E38)</f>
        <v>1463333.3333333333</v>
      </c>
      <c r="G36" s="18">
        <f>_xlfn.STDEV.S(E36:E38)</f>
        <v>50212.88015373479</v>
      </c>
      <c r="H36" s="7"/>
      <c r="I36" s="24" t="s">
        <v>27</v>
      </c>
      <c r="J36" s="15">
        <v>89</v>
      </c>
      <c r="K36" s="16">
        <f>J36*400</f>
        <v>35600</v>
      </c>
      <c r="L36" s="15">
        <v>2.5</v>
      </c>
      <c r="M36" s="16">
        <f>K36*L36</f>
        <v>89000</v>
      </c>
      <c r="N36" s="25">
        <f>AVERAGE(M36:M38)</f>
        <v>97333.333333333328</v>
      </c>
      <c r="O36" s="18">
        <f>_xlfn.STDEV.S(M36:M38)</f>
        <v>9073.7717258774665</v>
      </c>
    </row>
    <row r="37" spans="1:22" x14ac:dyDescent="0.2">
      <c r="A37" s="14" t="s">
        <v>23</v>
      </c>
      <c r="B37" s="15">
        <v>1408</v>
      </c>
      <c r="C37" s="16">
        <f>B37*400</f>
        <v>563200</v>
      </c>
      <c r="D37" s="15">
        <v>2.5</v>
      </c>
      <c r="E37" s="16">
        <f>C37*D37</f>
        <v>1408000</v>
      </c>
      <c r="F37" s="16"/>
      <c r="G37" s="19"/>
      <c r="H37" s="7"/>
      <c r="I37" s="24" t="s">
        <v>28</v>
      </c>
      <c r="J37" s="15">
        <v>107</v>
      </c>
      <c r="K37" s="16">
        <f>J37*400</f>
        <v>42800</v>
      </c>
      <c r="L37" s="15">
        <v>2.5</v>
      </c>
      <c r="M37" s="16">
        <f>K37*L37</f>
        <v>107000</v>
      </c>
      <c r="N37" s="16"/>
      <c r="O37" s="19"/>
    </row>
    <row r="38" spans="1:22" x14ac:dyDescent="0.2">
      <c r="A38" s="20" t="s">
        <v>24</v>
      </c>
      <c r="B38" s="21">
        <v>1476</v>
      </c>
      <c r="C38" s="22">
        <f>B38*400</f>
        <v>590400</v>
      </c>
      <c r="D38" s="21">
        <v>2.5</v>
      </c>
      <c r="E38" s="22">
        <f>C38*D38</f>
        <v>1476000</v>
      </c>
      <c r="F38" s="22"/>
      <c r="G38" s="23"/>
      <c r="H38" s="8"/>
      <c r="I38" s="27" t="s">
        <v>29</v>
      </c>
      <c r="J38" s="21">
        <v>96</v>
      </c>
      <c r="K38" s="22">
        <f>J38*400</f>
        <v>38400</v>
      </c>
      <c r="L38" s="21">
        <v>2.5</v>
      </c>
      <c r="M38" s="22">
        <f>K38*L38</f>
        <v>96000</v>
      </c>
      <c r="N38" s="22"/>
      <c r="O38" s="23"/>
    </row>
    <row r="39" spans="1:22" x14ac:dyDescent="0.2">
      <c r="A39" s="14"/>
      <c r="B39" s="15"/>
      <c r="C39" s="16"/>
      <c r="D39" s="15"/>
      <c r="E39" s="16"/>
      <c r="F39" s="16"/>
      <c r="G39" s="16"/>
      <c r="H39" s="7"/>
      <c r="I39" s="28"/>
      <c r="J39" s="15"/>
      <c r="K39" s="16"/>
      <c r="L39" s="15"/>
      <c r="M39" s="16"/>
      <c r="N39" s="16"/>
      <c r="O39" s="19"/>
    </row>
    <row r="40" spans="1:22" x14ac:dyDescent="0.2">
      <c r="A40" s="14"/>
      <c r="B40" s="15"/>
      <c r="C40" s="16"/>
      <c r="D40" s="15"/>
      <c r="E40" s="16"/>
      <c r="F40" s="16"/>
      <c r="G40" s="16"/>
      <c r="H40" s="7"/>
      <c r="I40" s="28"/>
      <c r="J40" s="15"/>
      <c r="K40" s="16"/>
      <c r="L40" s="15"/>
      <c r="M40" s="16"/>
      <c r="N40" s="16"/>
      <c r="O40" s="19"/>
    </row>
    <row r="41" spans="1:22" x14ac:dyDescent="0.2">
      <c r="A41" s="14"/>
      <c r="B41" s="15"/>
      <c r="C41" s="16"/>
      <c r="D41" s="15"/>
      <c r="E41" s="16"/>
      <c r="F41" s="16"/>
      <c r="G41" s="16"/>
      <c r="H41" s="15"/>
      <c r="I41" s="26"/>
      <c r="J41" s="15"/>
      <c r="K41" s="16"/>
      <c r="L41" s="15"/>
      <c r="M41" s="16"/>
      <c r="N41" s="16"/>
      <c r="O41" s="19"/>
    </row>
    <row r="42" spans="1:22" ht="19" x14ac:dyDescent="0.25">
      <c r="A42" s="34" t="s">
        <v>32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6"/>
      <c r="P42" s="26"/>
      <c r="Q42" s="15"/>
      <c r="R42" s="16"/>
      <c r="S42" s="15"/>
      <c r="T42" s="16"/>
      <c r="U42" s="16"/>
      <c r="V42" s="16"/>
    </row>
    <row r="43" spans="1:22" ht="16" x14ac:dyDescent="0.2">
      <c r="A43" s="37" t="s">
        <v>11</v>
      </c>
      <c r="B43" s="38"/>
      <c r="C43" s="38"/>
      <c r="D43" s="38"/>
      <c r="E43" s="38"/>
      <c r="F43" s="38"/>
      <c r="G43" s="39"/>
      <c r="H43" s="15"/>
      <c r="I43" s="40" t="s">
        <v>25</v>
      </c>
      <c r="J43" s="41"/>
      <c r="K43" s="41"/>
      <c r="L43" s="41"/>
      <c r="M43" s="41"/>
      <c r="N43" s="41"/>
      <c r="O43" s="42"/>
    </row>
    <row r="44" spans="1:22" ht="32" x14ac:dyDescent="0.2">
      <c r="A44" s="4" t="s">
        <v>0</v>
      </c>
      <c r="B44" s="5" t="s">
        <v>5</v>
      </c>
      <c r="C44" s="5" t="s">
        <v>6</v>
      </c>
      <c r="D44" s="5" t="s">
        <v>7</v>
      </c>
      <c r="E44" s="5" t="s">
        <v>8</v>
      </c>
      <c r="F44" s="9" t="s">
        <v>9</v>
      </c>
      <c r="G44" s="6" t="s">
        <v>10</v>
      </c>
      <c r="H44" s="15"/>
      <c r="I44" s="10" t="s">
        <v>0</v>
      </c>
      <c r="J44" s="11" t="s">
        <v>5</v>
      </c>
      <c r="K44" s="11" t="s">
        <v>6</v>
      </c>
      <c r="L44" s="11" t="s">
        <v>7</v>
      </c>
      <c r="M44" s="11" t="s">
        <v>8</v>
      </c>
      <c r="N44" s="12" t="s">
        <v>9</v>
      </c>
      <c r="O44" s="13" t="s">
        <v>10</v>
      </c>
    </row>
    <row r="45" spans="1:22" x14ac:dyDescent="0.2">
      <c r="A45" s="14" t="s">
        <v>12</v>
      </c>
      <c r="B45" s="15">
        <v>4340</v>
      </c>
      <c r="C45" s="16">
        <f>B45*400</f>
        <v>1736000</v>
      </c>
      <c r="D45" s="15">
        <v>2.5</v>
      </c>
      <c r="E45" s="16">
        <f>C45*D45</f>
        <v>4340000</v>
      </c>
      <c r="F45" s="17">
        <f>AVERAGE(E45:E47)</f>
        <v>4290333.333333333</v>
      </c>
      <c r="G45" s="18">
        <f>_xlfn.STDEV.S(E45:E47)</f>
        <v>227601.25951614004</v>
      </c>
      <c r="H45" s="15"/>
      <c r="I45" s="14" t="s">
        <v>16</v>
      </c>
      <c r="J45" s="15">
        <v>503</v>
      </c>
      <c r="K45" s="16">
        <f>J45*400</f>
        <v>201200</v>
      </c>
      <c r="L45" s="15">
        <v>2.5</v>
      </c>
      <c r="M45" s="16">
        <f>K45*L45</f>
        <v>503000</v>
      </c>
      <c r="N45" s="17">
        <f>AVERAGE(M45:M47)</f>
        <v>537000</v>
      </c>
      <c r="O45" s="18">
        <f>_xlfn.STDEV.S(K45:K47)</f>
        <v>12106.196760337245</v>
      </c>
    </row>
    <row r="46" spans="1:22" x14ac:dyDescent="0.2">
      <c r="A46" s="14" t="s">
        <v>13</v>
      </c>
      <c r="B46" s="15">
        <v>4042</v>
      </c>
      <c r="C46" s="16">
        <f>B46*400</f>
        <v>1616800</v>
      </c>
      <c r="D46" s="15">
        <v>2.5</v>
      </c>
      <c r="E46" s="16">
        <f>C46*D46</f>
        <v>4042000</v>
      </c>
      <c r="F46" s="16"/>
      <c r="G46" s="19"/>
      <c r="H46" s="15"/>
      <c r="I46" s="14" t="s">
        <v>17</v>
      </c>
      <c r="J46" s="15">
        <v>561</v>
      </c>
      <c r="K46" s="16">
        <f>J46*400</f>
        <v>224400</v>
      </c>
      <c r="L46" s="15">
        <v>2.5</v>
      </c>
      <c r="M46" s="16">
        <f>K46*L46</f>
        <v>561000</v>
      </c>
      <c r="N46" s="16"/>
      <c r="O46" s="19"/>
    </row>
    <row r="47" spans="1:22" x14ac:dyDescent="0.2">
      <c r="A47" s="20" t="s">
        <v>14</v>
      </c>
      <c r="B47" s="21">
        <v>4489</v>
      </c>
      <c r="C47" s="22">
        <f>B47*400</f>
        <v>1795600</v>
      </c>
      <c r="D47" s="21">
        <v>2.5</v>
      </c>
      <c r="E47" s="22">
        <f>C47*D47</f>
        <v>4489000</v>
      </c>
      <c r="F47" s="22"/>
      <c r="G47" s="23"/>
      <c r="H47" s="15"/>
      <c r="I47" s="20" t="s">
        <v>18</v>
      </c>
      <c r="J47" s="21">
        <v>547</v>
      </c>
      <c r="K47" s="22">
        <f>J47*400</f>
        <v>218800</v>
      </c>
      <c r="L47" s="21">
        <v>2.5</v>
      </c>
      <c r="M47" s="22">
        <f>K47*L47</f>
        <v>547000</v>
      </c>
      <c r="N47" s="22"/>
      <c r="O47" s="23"/>
    </row>
    <row r="48" spans="1:22" x14ac:dyDescent="0.2">
      <c r="A48" s="14"/>
      <c r="B48" s="15"/>
      <c r="C48" s="16"/>
      <c r="D48" s="15"/>
      <c r="E48" s="16"/>
      <c r="F48" s="16"/>
      <c r="G48" s="16"/>
      <c r="H48" s="15"/>
      <c r="I48" s="26"/>
      <c r="J48" s="15"/>
      <c r="K48" s="16"/>
      <c r="L48" s="15"/>
      <c r="M48" s="16"/>
      <c r="N48" s="16"/>
      <c r="O48" s="19"/>
    </row>
    <row r="49" spans="1:15" ht="15.75" customHeight="1" x14ac:dyDescent="0.2">
      <c r="A49" s="37" t="s">
        <v>26</v>
      </c>
      <c r="B49" s="38"/>
      <c r="C49" s="38"/>
      <c r="D49" s="38"/>
      <c r="E49" s="38"/>
      <c r="F49" s="38"/>
      <c r="G49" s="39"/>
      <c r="H49" s="7"/>
      <c r="I49" s="43" t="s">
        <v>15</v>
      </c>
      <c r="J49" s="44"/>
      <c r="K49" s="44"/>
      <c r="L49" s="44"/>
      <c r="M49" s="44"/>
      <c r="N49" s="44"/>
      <c r="O49" s="45"/>
    </row>
    <row r="50" spans="1:15" ht="32" x14ac:dyDescent="0.2">
      <c r="A50" s="10" t="s">
        <v>0</v>
      </c>
      <c r="B50" s="11" t="s">
        <v>5</v>
      </c>
      <c r="C50" s="11" t="s">
        <v>6</v>
      </c>
      <c r="D50" s="11" t="s">
        <v>7</v>
      </c>
      <c r="E50" s="11" t="s">
        <v>8</v>
      </c>
      <c r="F50" s="12" t="s">
        <v>9</v>
      </c>
      <c r="G50" s="13" t="s">
        <v>10</v>
      </c>
      <c r="H50" s="7"/>
      <c r="I50" s="10" t="s">
        <v>0</v>
      </c>
      <c r="J50" s="11" t="s">
        <v>5</v>
      </c>
      <c r="K50" s="11" t="s">
        <v>6</v>
      </c>
      <c r="L50" s="11" t="s">
        <v>7</v>
      </c>
      <c r="M50" s="11" t="s">
        <v>8</v>
      </c>
      <c r="N50" s="12" t="s">
        <v>9</v>
      </c>
      <c r="O50" s="13" t="s">
        <v>10</v>
      </c>
    </row>
    <row r="51" spans="1:15" x14ac:dyDescent="0.2">
      <c r="A51" s="14" t="s">
        <v>22</v>
      </c>
      <c r="B51" s="15">
        <v>2380</v>
      </c>
      <c r="C51" s="16">
        <f>B51*400</f>
        <v>952000</v>
      </c>
      <c r="D51" s="15">
        <v>2.5</v>
      </c>
      <c r="E51" s="16">
        <f>C51*D51</f>
        <v>2380000</v>
      </c>
      <c r="F51" s="17">
        <f>AVERAGE(E51:E53)</f>
        <v>2416333.3333333335</v>
      </c>
      <c r="G51" s="18">
        <f>_xlfn.STDEV.S(E51:E53)</f>
        <v>178298.43895371977</v>
      </c>
      <c r="H51" s="7"/>
      <c r="I51" s="24" t="s">
        <v>27</v>
      </c>
      <c r="J51" s="15">
        <v>64</v>
      </c>
      <c r="K51" s="16">
        <f>J51*400</f>
        <v>25600</v>
      </c>
      <c r="L51" s="15">
        <v>2.5</v>
      </c>
      <c r="M51" s="16">
        <f>K51*L51</f>
        <v>64000</v>
      </c>
      <c r="N51" s="25">
        <f>AVERAGE(M51:M53)</f>
        <v>66000</v>
      </c>
      <c r="O51" s="18">
        <f>_xlfn.STDEV.S(M51:M53)</f>
        <v>5291.502622129181</v>
      </c>
    </row>
    <row r="52" spans="1:15" x14ac:dyDescent="0.2">
      <c r="A52" s="14" t="s">
        <v>23</v>
      </c>
      <c r="B52" s="15">
        <v>2610</v>
      </c>
      <c r="C52" s="16">
        <f>B52*400</f>
        <v>1044000</v>
      </c>
      <c r="D52" s="15">
        <v>2.5</v>
      </c>
      <c r="E52" s="16">
        <f>C52*D52</f>
        <v>2610000</v>
      </c>
      <c r="F52" s="16"/>
      <c r="G52" s="19"/>
      <c r="H52" s="7"/>
      <c r="I52" s="24" t="s">
        <v>28</v>
      </c>
      <c r="J52" s="15">
        <v>62</v>
      </c>
      <c r="K52" s="16">
        <f>J52*400</f>
        <v>24800</v>
      </c>
      <c r="L52" s="15">
        <v>2.5</v>
      </c>
      <c r="M52" s="16">
        <f>K52*L52</f>
        <v>62000</v>
      </c>
      <c r="N52" s="16"/>
      <c r="O52" s="19"/>
    </row>
    <row r="53" spans="1:15" x14ac:dyDescent="0.2">
      <c r="A53" s="20" t="s">
        <v>24</v>
      </c>
      <c r="B53" s="21">
        <v>2259</v>
      </c>
      <c r="C53" s="22">
        <f>B53*400</f>
        <v>903600</v>
      </c>
      <c r="D53" s="21">
        <v>2.5</v>
      </c>
      <c r="E53" s="22">
        <f>C53*D53</f>
        <v>2259000</v>
      </c>
      <c r="F53" s="22"/>
      <c r="G53" s="23"/>
      <c r="H53" s="8"/>
      <c r="I53" s="27" t="s">
        <v>29</v>
      </c>
      <c r="J53" s="21">
        <v>72</v>
      </c>
      <c r="K53" s="22">
        <f>J53*400</f>
        <v>28800</v>
      </c>
      <c r="L53" s="21">
        <v>2.5</v>
      </c>
      <c r="M53" s="22">
        <f>K53*L53</f>
        <v>72000</v>
      </c>
      <c r="N53" s="22"/>
      <c r="O53" s="23"/>
    </row>
    <row r="54" spans="1:15" x14ac:dyDescent="0.2">
      <c r="A54" s="14"/>
      <c r="B54" s="15"/>
      <c r="C54" s="16"/>
      <c r="D54" s="15"/>
      <c r="E54" s="16"/>
      <c r="F54" s="16"/>
      <c r="G54" s="16"/>
      <c r="H54" s="15"/>
      <c r="I54" s="26"/>
      <c r="J54" s="15"/>
      <c r="K54" s="16"/>
      <c r="L54" s="15"/>
      <c r="M54" s="16"/>
      <c r="N54" s="16"/>
      <c r="O54" s="19"/>
    </row>
    <row r="55" spans="1:15" x14ac:dyDescent="0.2">
      <c r="B55" t="s">
        <v>36</v>
      </c>
      <c r="C55" t="s">
        <v>37</v>
      </c>
      <c r="D55" t="s">
        <v>38</v>
      </c>
    </row>
    <row r="56" spans="1:15" x14ac:dyDescent="0.2">
      <c r="A56" s="29" t="s">
        <v>42</v>
      </c>
      <c r="B56" s="31">
        <v>943000</v>
      </c>
      <c r="C56" s="31">
        <v>3640333.3333333335</v>
      </c>
      <c r="D56" s="31">
        <v>4290333.333333333</v>
      </c>
      <c r="F56" t="s">
        <v>39</v>
      </c>
      <c r="G56" s="17">
        <v>39000</v>
      </c>
    </row>
    <row r="57" spans="1:15" x14ac:dyDescent="0.2">
      <c r="A57" s="29" t="s">
        <v>40</v>
      </c>
      <c r="B57" s="31">
        <v>189666.66666666666</v>
      </c>
      <c r="C57" s="31">
        <v>1463333.3333333333</v>
      </c>
      <c r="D57" s="31">
        <v>2416333.3333333335</v>
      </c>
    </row>
    <row r="58" spans="1:15" x14ac:dyDescent="0.2">
      <c r="A58" s="30" t="s">
        <v>41</v>
      </c>
      <c r="B58" s="32">
        <v>114333.33333333333</v>
      </c>
      <c r="C58" s="32">
        <v>97333.333333333328</v>
      </c>
      <c r="D58" s="32">
        <v>66000</v>
      </c>
    </row>
    <row r="59" spans="1:15" x14ac:dyDescent="0.2">
      <c r="A59" s="29" t="s">
        <v>25</v>
      </c>
      <c r="B59" s="31">
        <v>140000</v>
      </c>
      <c r="C59" s="31">
        <v>205333.33333333334</v>
      </c>
      <c r="D59" s="31">
        <v>537000</v>
      </c>
    </row>
    <row r="61" spans="1:15" x14ac:dyDescent="0.2">
      <c r="A61" s="33" t="s">
        <v>43</v>
      </c>
    </row>
    <row r="62" spans="1:15" x14ac:dyDescent="0.2">
      <c r="B62" t="s">
        <v>36</v>
      </c>
      <c r="C62" t="s">
        <v>37</v>
      </c>
      <c r="D62" t="s">
        <v>38</v>
      </c>
    </row>
    <row r="63" spans="1:15" x14ac:dyDescent="0.2">
      <c r="A63" s="29" t="s">
        <v>42</v>
      </c>
      <c r="B63" s="31">
        <f>B56/G56</f>
        <v>24.179487179487179</v>
      </c>
      <c r="C63" s="31">
        <f>C56/G56</f>
        <v>93.341880341880341</v>
      </c>
      <c r="D63" s="31">
        <f>D56/G56</f>
        <v>110.008547008547</v>
      </c>
    </row>
    <row r="64" spans="1:15" x14ac:dyDescent="0.2">
      <c r="A64" s="29" t="s">
        <v>40</v>
      </c>
      <c r="B64" s="31">
        <f>B57/G56</f>
        <v>4.8632478632478628</v>
      </c>
      <c r="C64" s="31">
        <f>C57/G56</f>
        <v>37.521367521367516</v>
      </c>
      <c r="D64" s="31">
        <f>D57/G56</f>
        <v>61.957264957264961</v>
      </c>
    </row>
    <row r="65" spans="1:4" x14ac:dyDescent="0.2">
      <c r="A65" s="30" t="s">
        <v>41</v>
      </c>
      <c r="B65" s="32">
        <f>B58/G56</f>
        <v>2.9316239316239314</v>
      </c>
      <c r="C65" s="32">
        <f>C58/G56</f>
        <v>2.4957264957264957</v>
      </c>
      <c r="D65" s="32">
        <f>D58/G56</f>
        <v>1.6923076923076923</v>
      </c>
    </row>
    <row r="66" spans="1:4" x14ac:dyDescent="0.2">
      <c r="A66" s="29" t="s">
        <v>25</v>
      </c>
      <c r="B66" s="31">
        <f>B59/G56</f>
        <v>3.5897435897435899</v>
      </c>
      <c r="C66" s="31">
        <f>C59/G56</f>
        <v>5.2649572649572649</v>
      </c>
      <c r="D66" s="31">
        <f>D59/G56</f>
        <v>13.76923076923077</v>
      </c>
    </row>
  </sheetData>
  <mergeCells count="17">
    <mergeCell ref="A19:G19"/>
    <mergeCell ref="I19:O19"/>
    <mergeCell ref="A49:G49"/>
    <mergeCell ref="I49:O49"/>
    <mergeCell ref="A34:G34"/>
    <mergeCell ref="I34:O34"/>
    <mergeCell ref="A27:O27"/>
    <mergeCell ref="A28:G28"/>
    <mergeCell ref="A42:O42"/>
    <mergeCell ref="A43:G43"/>
    <mergeCell ref="I43:O43"/>
    <mergeCell ref="I28:O28"/>
    <mergeCell ref="A5:G5"/>
    <mergeCell ref="A6:G6"/>
    <mergeCell ref="A12:O12"/>
    <mergeCell ref="A13:G13"/>
    <mergeCell ref="I13:O1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8D03-761E-4B42-9DDA-8D701D552EFB}">
  <dimension ref="A2:S64"/>
  <sheetViews>
    <sheetView tabSelected="1" workbookViewId="0">
      <selection activeCell="N25" sqref="N25"/>
    </sheetView>
  </sheetViews>
  <sheetFormatPr baseColWidth="10" defaultRowHeight="21" x14ac:dyDescent="0.25"/>
  <cols>
    <col min="1" max="1" width="28" style="46" customWidth="1"/>
    <col min="2" max="2" width="10.33203125" style="46" bestFit="1" customWidth="1"/>
    <col min="3" max="3" width="13" style="46" bestFit="1" customWidth="1"/>
    <col min="4" max="4" width="28.33203125" style="46" customWidth="1"/>
    <col min="5" max="5" width="13" style="46" bestFit="1" customWidth="1"/>
    <col min="6" max="6" width="13.1640625" style="46" bestFit="1" customWidth="1"/>
    <col min="7" max="7" width="27.33203125" style="46" customWidth="1"/>
    <col min="8" max="8" width="14.6640625" style="46" customWidth="1"/>
    <col min="9" max="9" width="6.83203125" style="46" customWidth="1"/>
    <col min="10" max="10" width="27.6640625" style="46" customWidth="1"/>
    <col min="11" max="11" width="15" style="46" customWidth="1"/>
    <col min="12" max="12" width="10" style="46" customWidth="1"/>
    <col min="13" max="13" width="31.33203125" style="46" customWidth="1"/>
    <col min="14" max="14" width="15.33203125" style="46" customWidth="1"/>
    <col min="15" max="15" width="8.1640625" style="46" customWidth="1"/>
    <col min="16" max="16" width="21" style="46" customWidth="1"/>
    <col min="17" max="17" width="14.5" style="46" customWidth="1"/>
    <col min="18" max="18" width="24.83203125" style="46" customWidth="1"/>
    <col min="19" max="19" width="16" style="46" customWidth="1"/>
    <col min="20" max="20" width="10.83203125" style="46"/>
    <col min="21" max="21" width="15.83203125" style="46" customWidth="1"/>
    <col min="22" max="22" width="18.5" style="46" customWidth="1"/>
    <col min="23" max="16384" width="10.83203125" style="46"/>
  </cols>
  <sheetData>
    <row r="2" spans="1:19" x14ac:dyDescent="0.25">
      <c r="A2" s="46" t="s">
        <v>44</v>
      </c>
    </row>
    <row r="3" spans="1:19" x14ac:dyDescent="0.25">
      <c r="A3" s="47" t="s">
        <v>1</v>
      </c>
    </row>
    <row r="4" spans="1:19" ht="44" x14ac:dyDescent="0.25">
      <c r="A4" s="48" t="s">
        <v>0</v>
      </c>
      <c r="B4" s="49" t="s">
        <v>5</v>
      </c>
    </row>
    <row r="5" spans="1:19" x14ac:dyDescent="0.25">
      <c r="A5" s="50" t="s">
        <v>2</v>
      </c>
      <c r="B5" s="51">
        <f>'Rep1'!B8</f>
        <v>38</v>
      </c>
    </row>
    <row r="6" spans="1:19" x14ac:dyDescent="0.25">
      <c r="A6" s="50" t="s">
        <v>3</v>
      </c>
      <c r="B6" s="51">
        <f>'Rep1'!B9</f>
        <v>36</v>
      </c>
    </row>
    <row r="7" spans="1:19" x14ac:dyDescent="0.25">
      <c r="A7" s="52" t="s">
        <v>4</v>
      </c>
      <c r="B7" s="51">
        <f>'Rep1'!B10</f>
        <v>43</v>
      </c>
    </row>
    <row r="9" spans="1:19" x14ac:dyDescent="0.25">
      <c r="A9" s="53" t="s">
        <v>45</v>
      </c>
      <c r="G9" s="54" t="s">
        <v>45</v>
      </c>
      <c r="H9" s="55"/>
      <c r="I9" s="55"/>
      <c r="J9" s="55"/>
      <c r="K9" s="55"/>
      <c r="O9" s="55"/>
      <c r="P9" s="55"/>
      <c r="Q9" s="55"/>
    </row>
    <row r="10" spans="1:19" x14ac:dyDescent="0.25">
      <c r="A10" s="47" t="s">
        <v>11</v>
      </c>
      <c r="D10" s="60" t="s">
        <v>48</v>
      </c>
      <c r="F10" s="57"/>
      <c r="G10" s="47" t="s">
        <v>11</v>
      </c>
      <c r="H10" s="55"/>
      <c r="I10" s="55"/>
      <c r="J10" s="60" t="s">
        <v>48</v>
      </c>
      <c r="K10" s="55"/>
      <c r="N10" s="58" t="s">
        <v>47</v>
      </c>
      <c r="O10" s="58" t="s">
        <v>36</v>
      </c>
      <c r="P10" s="58" t="s">
        <v>37</v>
      </c>
      <c r="Q10" s="58" t="s">
        <v>38</v>
      </c>
      <c r="S10" s="58"/>
    </row>
    <row r="11" spans="1:19" ht="44" x14ac:dyDescent="0.25">
      <c r="A11" s="49" t="s">
        <v>0</v>
      </c>
      <c r="B11" s="49" t="s">
        <v>5</v>
      </c>
      <c r="C11" s="51"/>
      <c r="D11" s="49" t="s">
        <v>0</v>
      </c>
      <c r="E11" s="49" t="s">
        <v>5</v>
      </c>
      <c r="G11" s="59" t="s">
        <v>0</v>
      </c>
      <c r="H11" s="59" t="s">
        <v>5</v>
      </c>
      <c r="I11" s="55"/>
      <c r="J11" s="59" t="s">
        <v>0</v>
      </c>
      <c r="K11" s="59" t="s">
        <v>5</v>
      </c>
      <c r="M11" s="58" t="s">
        <v>11</v>
      </c>
      <c r="N11" s="46">
        <v>1</v>
      </c>
      <c r="O11" s="46">
        <f>AVERAGE(H12:H14)</f>
        <v>24.294029647762823</v>
      </c>
      <c r="P11" s="46">
        <f>AVERAGE(H26:H28)</f>
        <v>93.898340813273492</v>
      </c>
      <c r="Q11" s="46">
        <f>AVERAGE(H40:H42)</f>
        <v>110.29455097692551</v>
      </c>
    </row>
    <row r="12" spans="1:19" x14ac:dyDescent="0.25">
      <c r="A12" s="60" t="s">
        <v>12</v>
      </c>
      <c r="B12" s="51">
        <f>'Rep1'!B15</f>
        <v>952</v>
      </c>
      <c r="C12" s="51"/>
      <c r="D12" s="60" t="s">
        <v>49</v>
      </c>
      <c r="E12" s="46">
        <f>'Rep1'!J15</f>
        <v>132</v>
      </c>
      <c r="G12" s="47" t="s">
        <v>12</v>
      </c>
      <c r="H12" s="55">
        <f>B12/B5</f>
        <v>25.05263157894737</v>
      </c>
      <c r="I12" s="55"/>
      <c r="J12" s="47" t="s">
        <v>61</v>
      </c>
      <c r="K12" s="55">
        <f>E12/B5</f>
        <v>3.4736842105263159</v>
      </c>
      <c r="M12" s="64" t="s">
        <v>48</v>
      </c>
      <c r="N12" s="46">
        <v>1</v>
      </c>
      <c r="O12" s="46">
        <f>AVERAGE(K12:K14)</f>
        <v>3.6029851761185916</v>
      </c>
      <c r="P12" s="46">
        <f>AVERAGE(K26:K28)</f>
        <v>5.3035835713314299</v>
      </c>
      <c r="Q12" s="46">
        <f>AVERAGE(K40:K42)</f>
        <v>13.84703522371821</v>
      </c>
    </row>
    <row r="13" spans="1:19" x14ac:dyDescent="0.25">
      <c r="A13" s="60" t="s">
        <v>13</v>
      </c>
      <c r="B13" s="51">
        <f>'Rep1'!B16</f>
        <v>924</v>
      </c>
      <c r="C13" s="51"/>
      <c r="D13" s="60" t="s">
        <v>17</v>
      </c>
      <c r="E13" s="46">
        <f>'Rep1'!J16</f>
        <v>141</v>
      </c>
      <c r="G13" s="47" t="s">
        <v>13</v>
      </c>
      <c r="H13" s="55">
        <f>B13/B6</f>
        <v>25.666666666666668</v>
      </c>
      <c r="I13" s="55"/>
      <c r="J13" s="47" t="s">
        <v>62</v>
      </c>
      <c r="K13" s="55">
        <f>E13/B6</f>
        <v>3.9166666666666665</v>
      </c>
      <c r="M13" s="58" t="s">
        <v>26</v>
      </c>
      <c r="N13" s="46">
        <v>1</v>
      </c>
      <c r="O13" s="46">
        <f>AVERAGE(H18:H20)</f>
        <v>4.9018201187723829</v>
      </c>
      <c r="P13" s="46">
        <f>AVERAGE(H32:H34)</f>
        <v>37.689423817942789</v>
      </c>
      <c r="Q13" s="46">
        <f>AVERAGE(H46:H48)</f>
        <v>62.555487556099543</v>
      </c>
    </row>
    <row r="14" spans="1:19" x14ac:dyDescent="0.25">
      <c r="A14" s="60" t="s">
        <v>14</v>
      </c>
      <c r="B14" s="51">
        <f>'Rep1'!B17</f>
        <v>953</v>
      </c>
      <c r="C14" s="51"/>
      <c r="D14" s="60" t="s">
        <v>18</v>
      </c>
      <c r="E14" s="46">
        <f>'Rep1'!J17</f>
        <v>147</v>
      </c>
      <c r="G14" s="47" t="s">
        <v>14</v>
      </c>
      <c r="H14" s="55">
        <f>B14/B7</f>
        <v>22.162790697674417</v>
      </c>
      <c r="I14" s="55"/>
      <c r="J14" s="47" t="s">
        <v>63</v>
      </c>
      <c r="K14" s="55">
        <f>E14/B7</f>
        <v>3.4186046511627906</v>
      </c>
      <c r="M14" s="58" t="s">
        <v>46</v>
      </c>
      <c r="N14" s="46">
        <v>1</v>
      </c>
      <c r="O14" s="46">
        <f>AVERAGE(K18:K20)</f>
        <v>2.9358085135318919</v>
      </c>
      <c r="P14" s="46">
        <f>AVERAGE(K32:K34)</f>
        <v>2.5156285416383337</v>
      </c>
      <c r="Q14" s="46">
        <f>AVERAGE(K46:K48)</f>
        <v>1.693617117729725</v>
      </c>
    </row>
    <row r="15" spans="1:19" x14ac:dyDescent="0.25">
      <c r="A15" s="52"/>
      <c r="B15" s="51"/>
      <c r="C15" s="62"/>
      <c r="D15" s="51"/>
      <c r="E15" s="62"/>
      <c r="F15" s="62"/>
      <c r="G15" s="47"/>
      <c r="H15" s="55"/>
      <c r="I15" s="63"/>
      <c r="J15" s="55"/>
      <c r="K15" s="63"/>
      <c r="O15" s="55"/>
      <c r="P15" s="55"/>
      <c r="Q15" s="55"/>
    </row>
    <row r="16" spans="1:19" x14ac:dyDescent="0.25">
      <c r="A16" s="47" t="s">
        <v>26</v>
      </c>
      <c r="D16" s="56" t="s">
        <v>46</v>
      </c>
      <c r="G16" s="47" t="s">
        <v>26</v>
      </c>
      <c r="H16" s="55"/>
      <c r="I16" s="55"/>
      <c r="J16" s="56" t="s">
        <v>46</v>
      </c>
      <c r="K16" s="55"/>
      <c r="O16" s="55"/>
      <c r="P16" s="55"/>
      <c r="Q16" s="55"/>
    </row>
    <row r="17" spans="1:17" ht="44" x14ac:dyDescent="0.25">
      <c r="A17" s="49" t="s">
        <v>0</v>
      </c>
      <c r="B17" s="49" t="s">
        <v>5</v>
      </c>
      <c r="D17" s="49" t="s">
        <v>0</v>
      </c>
      <c r="E17" s="49" t="s">
        <v>5</v>
      </c>
      <c r="G17" s="59" t="s">
        <v>0</v>
      </c>
      <c r="H17" s="59" t="s">
        <v>5</v>
      </c>
      <c r="I17" s="55"/>
      <c r="J17" s="59" t="s">
        <v>0</v>
      </c>
      <c r="K17" s="59" t="s">
        <v>5</v>
      </c>
      <c r="O17" s="55"/>
      <c r="P17" s="55"/>
      <c r="Q17" s="55"/>
    </row>
    <row r="18" spans="1:17" x14ac:dyDescent="0.25">
      <c r="A18" s="47" t="s">
        <v>52</v>
      </c>
      <c r="B18" s="46">
        <f>'Rep1'!B21</f>
        <v>205</v>
      </c>
      <c r="D18" s="61" t="s">
        <v>55</v>
      </c>
      <c r="E18" s="64">
        <f>'Rep1'!J21</f>
        <v>103</v>
      </c>
      <c r="G18" s="47" t="s">
        <v>58</v>
      </c>
      <c r="H18" s="55">
        <f>B18/B5</f>
        <v>5.3947368421052628</v>
      </c>
      <c r="I18" s="55"/>
      <c r="J18" s="56" t="s">
        <v>55</v>
      </c>
      <c r="K18" s="55">
        <f>E18/B5</f>
        <v>2.7105263157894739</v>
      </c>
      <c r="M18" s="47"/>
      <c r="N18" s="55"/>
      <c r="O18" s="55"/>
      <c r="P18" s="55"/>
      <c r="Q18" s="55"/>
    </row>
    <row r="19" spans="1:17" x14ac:dyDescent="0.25">
      <c r="A19" s="47" t="s">
        <v>53</v>
      </c>
      <c r="B19" s="46">
        <f>'Rep1'!B22</f>
        <v>187</v>
      </c>
      <c r="D19" s="61" t="s">
        <v>56</v>
      </c>
      <c r="E19" s="64">
        <f>'Rep1'!J22</f>
        <v>114</v>
      </c>
      <c r="G19" s="47" t="s">
        <v>59</v>
      </c>
      <c r="H19" s="55">
        <f>B19/B6</f>
        <v>5.1944444444444446</v>
      </c>
      <c r="I19" s="55"/>
      <c r="J19" s="56" t="s">
        <v>56</v>
      </c>
      <c r="K19" s="55">
        <f>E19/B6</f>
        <v>3.1666666666666665</v>
      </c>
      <c r="O19" s="55"/>
    </row>
    <row r="20" spans="1:17" x14ac:dyDescent="0.25">
      <c r="A20" s="47" t="s">
        <v>54</v>
      </c>
      <c r="B20" s="46">
        <f>'Rep1'!B23</f>
        <v>177</v>
      </c>
      <c r="D20" s="61" t="s">
        <v>57</v>
      </c>
      <c r="E20" s="64">
        <f>'Rep1'!J23</f>
        <v>126</v>
      </c>
      <c r="G20" s="47" t="s">
        <v>60</v>
      </c>
      <c r="H20" s="55">
        <f>B20/B7</f>
        <v>4.1162790697674421</v>
      </c>
      <c r="I20" s="55"/>
      <c r="J20" s="56" t="s">
        <v>57</v>
      </c>
      <c r="K20" s="55">
        <f>E20/B7</f>
        <v>2.9302325581395348</v>
      </c>
      <c r="O20" s="55"/>
    </row>
    <row r="21" spans="1:17" x14ac:dyDescent="0.25">
      <c r="A21" s="47"/>
      <c r="D21" s="60"/>
      <c r="E21" s="64"/>
      <c r="H21" s="51"/>
      <c r="I21" s="60"/>
      <c r="J21" s="47"/>
      <c r="K21" s="55"/>
      <c r="L21" s="55"/>
    </row>
    <row r="22" spans="1:17" x14ac:dyDescent="0.25">
      <c r="I22" s="60"/>
    </row>
    <row r="23" spans="1:17" x14ac:dyDescent="0.25">
      <c r="A23" s="53" t="s">
        <v>50</v>
      </c>
      <c r="G23" s="53" t="s">
        <v>50</v>
      </c>
      <c r="Q23" s="51"/>
    </row>
    <row r="24" spans="1:17" x14ac:dyDescent="0.25">
      <c r="A24" s="47" t="s">
        <v>11</v>
      </c>
      <c r="D24" s="60" t="s">
        <v>48</v>
      </c>
      <c r="G24" s="47" t="s">
        <v>11</v>
      </c>
      <c r="J24" s="60" t="s">
        <v>48</v>
      </c>
      <c r="Q24" s="51"/>
    </row>
    <row r="25" spans="1:17" ht="44" x14ac:dyDescent="0.25">
      <c r="A25" s="49" t="s">
        <v>0</v>
      </c>
      <c r="B25" s="49" t="s">
        <v>5</v>
      </c>
      <c r="D25" s="49" t="s">
        <v>0</v>
      </c>
      <c r="E25" s="49" t="s">
        <v>5</v>
      </c>
      <c r="G25" s="49" t="s">
        <v>0</v>
      </c>
      <c r="H25" s="49" t="s">
        <v>5</v>
      </c>
      <c r="I25" s="51"/>
      <c r="J25" s="49" t="s">
        <v>0</v>
      </c>
      <c r="K25" s="49" t="s">
        <v>5</v>
      </c>
      <c r="Q25" s="51"/>
    </row>
    <row r="26" spans="1:17" x14ac:dyDescent="0.25">
      <c r="A26" s="60" t="s">
        <v>12</v>
      </c>
      <c r="B26" s="51">
        <f>'Rep1'!B30</f>
        <v>3694</v>
      </c>
      <c r="D26" s="60" t="s">
        <v>49</v>
      </c>
      <c r="E26" s="46">
        <f>'Rep1'!J30</f>
        <v>221</v>
      </c>
      <c r="G26" s="60" t="s">
        <v>12</v>
      </c>
      <c r="H26" s="51">
        <f>B26/B5</f>
        <v>97.21052631578948</v>
      </c>
      <c r="I26" s="51"/>
      <c r="J26" s="60" t="s">
        <v>49</v>
      </c>
      <c r="K26" s="46">
        <f>E26/B5</f>
        <v>5.8157894736842106</v>
      </c>
      <c r="O26" s="57"/>
      <c r="Q26" s="51"/>
    </row>
    <row r="27" spans="1:17" x14ac:dyDescent="0.25">
      <c r="A27" s="60" t="s">
        <v>13</v>
      </c>
      <c r="B27" s="51">
        <f>'Rep1'!B31</f>
        <v>3630</v>
      </c>
      <c r="D27" s="60" t="s">
        <v>49</v>
      </c>
      <c r="E27" s="46">
        <f>'Rep1'!J31</f>
        <v>201</v>
      </c>
      <c r="G27" s="60" t="s">
        <v>13</v>
      </c>
      <c r="H27" s="51">
        <f>B27/B6</f>
        <v>100.83333333333333</v>
      </c>
      <c r="I27" s="51"/>
      <c r="J27" s="60" t="s">
        <v>17</v>
      </c>
      <c r="K27" s="46">
        <f>E27/B6</f>
        <v>5.583333333333333</v>
      </c>
    </row>
    <row r="28" spans="1:17" x14ac:dyDescent="0.25">
      <c r="A28" s="60" t="s">
        <v>14</v>
      </c>
      <c r="B28" s="51">
        <f>'Rep1'!B32</f>
        <v>3597</v>
      </c>
      <c r="D28" s="60" t="s">
        <v>49</v>
      </c>
      <c r="E28" s="46">
        <f>'Rep1'!J32</f>
        <v>194</v>
      </c>
      <c r="G28" s="60" t="s">
        <v>14</v>
      </c>
      <c r="H28" s="51">
        <f>B28/B7</f>
        <v>83.651162790697668</v>
      </c>
      <c r="I28" s="51"/>
      <c r="J28" s="60" t="s">
        <v>18</v>
      </c>
      <c r="K28" s="46">
        <f>E28/B7</f>
        <v>4.5116279069767442</v>
      </c>
    </row>
    <row r="29" spans="1:17" x14ac:dyDescent="0.25">
      <c r="A29" s="52"/>
      <c r="B29" s="51"/>
      <c r="D29" s="51"/>
      <c r="E29" s="62"/>
      <c r="F29" s="57"/>
      <c r="G29" s="52"/>
      <c r="H29" s="51"/>
      <c r="I29" s="62"/>
    </row>
    <row r="30" spans="1:17" x14ac:dyDescent="0.25">
      <c r="A30" s="47" t="s">
        <v>26</v>
      </c>
      <c r="C30" s="51"/>
      <c r="D30" s="56" t="s">
        <v>46</v>
      </c>
      <c r="G30" s="47" t="s">
        <v>26</v>
      </c>
      <c r="J30" s="56" t="s">
        <v>46</v>
      </c>
    </row>
    <row r="31" spans="1:17" ht="44" x14ac:dyDescent="0.25">
      <c r="A31" s="49" t="s">
        <v>0</v>
      </c>
      <c r="B31" s="49" t="s">
        <v>5</v>
      </c>
      <c r="C31" s="51"/>
      <c r="D31" s="49" t="s">
        <v>0</v>
      </c>
      <c r="E31" s="49" t="s">
        <v>5</v>
      </c>
      <c r="G31" s="49" t="s">
        <v>0</v>
      </c>
      <c r="H31" s="49" t="s">
        <v>5</v>
      </c>
      <c r="J31" s="49" t="s">
        <v>0</v>
      </c>
      <c r="K31" s="49" t="s">
        <v>5</v>
      </c>
      <c r="O31" s="62"/>
    </row>
    <row r="32" spans="1:17" x14ac:dyDescent="0.25">
      <c r="A32" s="47" t="s">
        <v>52</v>
      </c>
      <c r="B32" s="46">
        <f>'Rep1'!B36</f>
        <v>1506</v>
      </c>
      <c r="C32" s="51"/>
      <c r="D32" s="61" t="s">
        <v>55</v>
      </c>
      <c r="E32" s="64">
        <f>'Rep1'!J36</f>
        <v>89</v>
      </c>
      <c r="G32" s="47" t="s">
        <v>58</v>
      </c>
      <c r="H32" s="46">
        <f>B32/B5</f>
        <v>39.631578947368418</v>
      </c>
      <c r="J32" s="61" t="s">
        <v>55</v>
      </c>
      <c r="K32" s="64">
        <f>E32/B5</f>
        <v>2.3421052631578947</v>
      </c>
    </row>
    <row r="33" spans="1:17" x14ac:dyDescent="0.25">
      <c r="A33" s="47" t="s">
        <v>53</v>
      </c>
      <c r="B33" s="46">
        <f>'Rep1'!B37</f>
        <v>1408</v>
      </c>
      <c r="C33" s="51"/>
      <c r="D33" s="61" t="s">
        <v>56</v>
      </c>
      <c r="E33" s="64">
        <f>'Rep1'!J37</f>
        <v>107</v>
      </c>
      <c r="G33" s="47" t="s">
        <v>59</v>
      </c>
      <c r="H33" s="46">
        <f>B33/B6</f>
        <v>39.111111111111114</v>
      </c>
      <c r="J33" s="61" t="s">
        <v>56</v>
      </c>
      <c r="K33" s="64">
        <f>E33/B6</f>
        <v>2.9722222222222223</v>
      </c>
      <c r="M33" s="60"/>
      <c r="N33" s="64"/>
    </row>
    <row r="34" spans="1:17" x14ac:dyDescent="0.25">
      <c r="A34" s="47" t="s">
        <v>54</v>
      </c>
      <c r="B34" s="46">
        <f>'Rep1'!B38</f>
        <v>1476</v>
      </c>
      <c r="C34" s="62"/>
      <c r="D34" s="61" t="s">
        <v>57</v>
      </c>
      <c r="E34" s="64">
        <f>'Rep1'!J38</f>
        <v>96</v>
      </c>
      <c r="F34" s="62"/>
      <c r="G34" s="47" t="s">
        <v>60</v>
      </c>
      <c r="H34" s="46">
        <f>B34/B7</f>
        <v>34.325581395348834</v>
      </c>
      <c r="J34" s="61" t="s">
        <v>57</v>
      </c>
      <c r="K34" s="64">
        <f>E34/B7</f>
        <v>2.2325581395348837</v>
      </c>
    </row>
    <row r="35" spans="1:17" x14ac:dyDescent="0.25">
      <c r="A35" s="47"/>
      <c r="D35" s="60"/>
      <c r="E35" s="64"/>
      <c r="H35" s="51"/>
      <c r="J35" s="51"/>
    </row>
    <row r="37" spans="1:17" x14ac:dyDescent="0.25">
      <c r="A37" s="53" t="s">
        <v>51</v>
      </c>
      <c r="G37" s="53" t="s">
        <v>51</v>
      </c>
    </row>
    <row r="38" spans="1:17" x14ac:dyDescent="0.25">
      <c r="A38" s="47" t="s">
        <v>11</v>
      </c>
      <c r="D38" s="60" t="s">
        <v>48</v>
      </c>
      <c r="G38" s="47" t="s">
        <v>11</v>
      </c>
      <c r="J38" s="60" t="s">
        <v>48</v>
      </c>
      <c r="Q38" s="51"/>
    </row>
    <row r="39" spans="1:17" ht="44" x14ac:dyDescent="0.25">
      <c r="A39" s="49" t="s">
        <v>0</v>
      </c>
      <c r="B39" s="49" t="s">
        <v>5</v>
      </c>
      <c r="D39" s="49" t="s">
        <v>0</v>
      </c>
      <c r="E39" s="49" t="s">
        <v>5</v>
      </c>
      <c r="G39" s="49" t="s">
        <v>0</v>
      </c>
      <c r="H39" s="49" t="s">
        <v>5</v>
      </c>
      <c r="I39" s="51"/>
      <c r="J39" s="49" t="s">
        <v>0</v>
      </c>
      <c r="K39" s="49" t="s">
        <v>5</v>
      </c>
      <c r="Q39" s="51"/>
    </row>
    <row r="40" spans="1:17" x14ac:dyDescent="0.25">
      <c r="A40" s="60" t="s">
        <v>12</v>
      </c>
      <c r="B40" s="51">
        <f>'Rep1'!B45</f>
        <v>4340</v>
      </c>
      <c r="D40" s="60" t="s">
        <v>61</v>
      </c>
      <c r="E40" s="46">
        <f>'Rep1'!J45</f>
        <v>503</v>
      </c>
      <c r="G40" s="60" t="s">
        <v>12</v>
      </c>
      <c r="H40" s="51">
        <f>B40/B5</f>
        <v>114.21052631578948</v>
      </c>
      <c r="I40" s="51"/>
      <c r="J40" s="60" t="s">
        <v>61</v>
      </c>
      <c r="K40" s="46">
        <f>E40/B5</f>
        <v>13.236842105263158</v>
      </c>
      <c r="Q40" s="51"/>
    </row>
    <row r="41" spans="1:17" x14ac:dyDescent="0.25">
      <c r="A41" s="60" t="s">
        <v>13</v>
      </c>
      <c r="B41" s="51">
        <f>'Rep1'!B46</f>
        <v>4042</v>
      </c>
      <c r="D41" s="60" t="s">
        <v>62</v>
      </c>
      <c r="E41" s="46">
        <f>'Rep1'!J46</f>
        <v>561</v>
      </c>
      <c r="G41" s="60" t="s">
        <v>13</v>
      </c>
      <c r="H41" s="51">
        <f>B41/B6</f>
        <v>112.27777777777777</v>
      </c>
      <c r="I41" s="51"/>
      <c r="J41" s="60" t="s">
        <v>62</v>
      </c>
      <c r="K41" s="46">
        <f>E41/B6</f>
        <v>15.583333333333334</v>
      </c>
      <c r="Q41" s="51"/>
    </row>
    <row r="42" spans="1:17" x14ac:dyDescent="0.25">
      <c r="A42" s="60" t="s">
        <v>14</v>
      </c>
      <c r="B42" s="51">
        <f>'Rep1'!B47</f>
        <v>4489</v>
      </c>
      <c r="D42" s="60" t="s">
        <v>63</v>
      </c>
      <c r="E42" s="46">
        <f>'Rep1'!J47</f>
        <v>547</v>
      </c>
      <c r="G42" s="60" t="s">
        <v>14</v>
      </c>
      <c r="H42" s="51">
        <f>B42/B7</f>
        <v>104.3953488372093</v>
      </c>
      <c r="I42" s="51"/>
      <c r="J42" s="60" t="s">
        <v>63</v>
      </c>
      <c r="K42" s="46">
        <f>E42/B7</f>
        <v>12.720930232558139</v>
      </c>
      <c r="Q42" s="51"/>
    </row>
    <row r="43" spans="1:17" x14ac:dyDescent="0.25">
      <c r="A43" s="52"/>
      <c r="B43" s="51"/>
      <c r="D43" s="51"/>
      <c r="E43" s="62"/>
      <c r="G43" s="52"/>
      <c r="H43" s="51"/>
      <c r="I43" s="62"/>
      <c r="Q43" s="51"/>
    </row>
    <row r="44" spans="1:17" x14ac:dyDescent="0.25">
      <c r="A44" s="47" t="s">
        <v>26</v>
      </c>
      <c r="C44" s="51"/>
      <c r="D44" s="56" t="s">
        <v>46</v>
      </c>
      <c r="G44" s="47" t="s">
        <v>26</v>
      </c>
      <c r="J44" s="56" t="s">
        <v>46</v>
      </c>
      <c r="Q44" s="51"/>
    </row>
    <row r="45" spans="1:17" ht="44" x14ac:dyDescent="0.25">
      <c r="A45" s="49" t="s">
        <v>0</v>
      </c>
      <c r="B45" s="49" t="s">
        <v>5</v>
      </c>
      <c r="C45" s="51"/>
      <c r="D45" s="49" t="s">
        <v>0</v>
      </c>
      <c r="E45" s="49" t="s">
        <v>5</v>
      </c>
      <c r="G45" s="49" t="s">
        <v>0</v>
      </c>
      <c r="H45" s="49" t="s">
        <v>5</v>
      </c>
      <c r="J45" s="49" t="s">
        <v>0</v>
      </c>
      <c r="K45" s="49" t="s">
        <v>5</v>
      </c>
      <c r="O45" s="57"/>
      <c r="Q45" s="51"/>
    </row>
    <row r="46" spans="1:17" x14ac:dyDescent="0.25">
      <c r="A46" s="47" t="s">
        <v>58</v>
      </c>
      <c r="B46" s="46">
        <f>'Rep1'!B51</f>
        <v>2380</v>
      </c>
      <c r="C46" s="51"/>
      <c r="D46" s="61" t="s">
        <v>55</v>
      </c>
      <c r="E46" s="46">
        <f>'Rep1'!J51</f>
        <v>64</v>
      </c>
      <c r="G46" s="47" t="s">
        <v>58</v>
      </c>
      <c r="H46" s="46">
        <f>B46/B5</f>
        <v>62.631578947368418</v>
      </c>
      <c r="J46" s="61" t="s">
        <v>55</v>
      </c>
      <c r="K46" s="46">
        <f>E46/B5</f>
        <v>1.6842105263157894</v>
      </c>
      <c r="Q46" s="51"/>
    </row>
    <row r="47" spans="1:17" x14ac:dyDescent="0.25">
      <c r="A47" s="47" t="s">
        <v>59</v>
      </c>
      <c r="B47" s="46">
        <f>'Rep1'!B52</f>
        <v>2610</v>
      </c>
      <c r="C47" s="51"/>
      <c r="D47" s="61" t="s">
        <v>56</v>
      </c>
      <c r="E47" s="46">
        <f>'Rep1'!J52</f>
        <v>62</v>
      </c>
      <c r="G47" s="47" t="s">
        <v>59</v>
      </c>
      <c r="H47" s="46">
        <f>B47/B6</f>
        <v>72.5</v>
      </c>
      <c r="J47" s="61" t="s">
        <v>56</v>
      </c>
      <c r="K47" s="46">
        <f>E47/B6</f>
        <v>1.7222222222222223</v>
      </c>
      <c r="Q47" s="51"/>
    </row>
    <row r="48" spans="1:17" x14ac:dyDescent="0.25">
      <c r="A48" s="47" t="s">
        <v>60</v>
      </c>
      <c r="B48" s="46">
        <f>'Rep1'!B53</f>
        <v>2259</v>
      </c>
      <c r="C48" s="62"/>
      <c r="D48" s="61" t="s">
        <v>57</v>
      </c>
      <c r="E48" s="46">
        <f>'Rep1'!J53</f>
        <v>72</v>
      </c>
      <c r="F48" s="57"/>
      <c r="G48" s="47" t="s">
        <v>60</v>
      </c>
      <c r="H48" s="46">
        <f>B48/B7</f>
        <v>52.534883720930232</v>
      </c>
      <c r="J48" s="61" t="s">
        <v>57</v>
      </c>
      <c r="K48" s="46">
        <f>E48/B7</f>
        <v>1.6744186046511629</v>
      </c>
    </row>
    <row r="49" spans="1:15" x14ac:dyDescent="0.25">
      <c r="A49" s="47"/>
      <c r="D49" s="60"/>
      <c r="E49" s="64"/>
      <c r="H49" s="51"/>
      <c r="J49" s="47"/>
    </row>
    <row r="50" spans="1:15" x14ac:dyDescent="0.25">
      <c r="O50" s="62"/>
    </row>
    <row r="53" spans="1:15" x14ac:dyDescent="0.25">
      <c r="F53" s="62"/>
    </row>
    <row r="59" spans="1:15" x14ac:dyDescent="0.25">
      <c r="I59" s="60"/>
    </row>
    <row r="60" spans="1:15" x14ac:dyDescent="0.25">
      <c r="I60" s="60"/>
    </row>
    <row r="61" spans="1:15" x14ac:dyDescent="0.25">
      <c r="I61" s="60"/>
    </row>
    <row r="62" spans="1:15" x14ac:dyDescent="0.25">
      <c r="I62" s="60"/>
    </row>
    <row r="63" spans="1:15" x14ac:dyDescent="0.25">
      <c r="I63" s="60"/>
    </row>
    <row r="64" spans="1:15" x14ac:dyDescent="0.25">
      <c r="I64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Marie Demas</dc:creator>
  <cp:lastModifiedBy>Microsoft Office User</cp:lastModifiedBy>
  <dcterms:created xsi:type="dcterms:W3CDTF">2018-09-24T18:58:03Z</dcterms:created>
  <dcterms:modified xsi:type="dcterms:W3CDTF">2019-07-09T20:28:22Z</dcterms:modified>
</cp:coreProperties>
</file>