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E2ER model/"/>
    </mc:Choice>
  </mc:AlternateContent>
  <xr:revisionPtr revIDLastSave="0" documentId="13_ncr:1_{2B5BEBB0-5122-514F-8FF5-B486EAF403E8}" xr6:coauthVersionLast="37" xr6:coauthVersionMax="37" xr10:uidLastSave="{00000000-0000-0000-0000-000000000000}"/>
  <bookViews>
    <workbookView xWindow="1580" yWindow="460" windowWidth="41560" windowHeight="19880" activeTab="5" xr2:uid="{00000000-000D-0000-FFFF-FFFF00000000}"/>
  </bookViews>
  <sheets>
    <sheet name="Rep1" sheetId="1" r:id="rId1"/>
    <sheet name="Rep2" sheetId="6" r:id="rId2"/>
    <sheet name="Rep3" sheetId="7" r:id="rId3"/>
    <sheet name="Sheet1" sheetId="8" r:id="rId4"/>
    <sheet name="Sheet2" sheetId="9" r:id="rId5"/>
    <sheet name="Sheet3" sheetId="10" r:id="rId6"/>
  </sheets>
  <calcPr calcId="179021"/>
</workbook>
</file>

<file path=xl/calcChain.xml><?xml version="1.0" encoding="utf-8"?>
<calcChain xmlns="http://schemas.openxmlformats.org/spreadsheetml/2006/main">
  <c r="N48" i="10" l="1"/>
  <c r="K48" i="10"/>
  <c r="N47" i="10"/>
  <c r="W21" i="10" s="1"/>
  <c r="K47" i="10"/>
  <c r="W19" i="10" s="1"/>
  <c r="N46" i="10"/>
  <c r="K46" i="10"/>
  <c r="Q42" i="10"/>
  <c r="N42" i="10"/>
  <c r="K42" i="10"/>
  <c r="Q41" i="10"/>
  <c r="W22" i="10" s="1"/>
  <c r="N41" i="10"/>
  <c r="K41" i="10"/>
  <c r="W18" i="10" s="1"/>
  <c r="Q40" i="10"/>
  <c r="N40" i="10"/>
  <c r="K40" i="10"/>
  <c r="N34" i="10"/>
  <c r="K34" i="10"/>
  <c r="N33" i="10"/>
  <c r="K33" i="10"/>
  <c r="V12" i="10" s="1"/>
  <c r="N32" i="10"/>
  <c r="V21" i="10" s="1"/>
  <c r="K32" i="10"/>
  <c r="Q28" i="10"/>
  <c r="N28" i="10"/>
  <c r="K28" i="10"/>
  <c r="V18" i="10" s="1"/>
  <c r="Q27" i="10"/>
  <c r="N27" i="10"/>
  <c r="K27" i="10"/>
  <c r="Q26" i="10"/>
  <c r="V15" i="10" s="1"/>
  <c r="N26" i="10"/>
  <c r="K26" i="10"/>
  <c r="V22" i="10"/>
  <c r="N20" i="10"/>
  <c r="K20" i="10"/>
  <c r="V19" i="10"/>
  <c r="N19" i="10"/>
  <c r="K19" i="10"/>
  <c r="N18" i="10"/>
  <c r="K18" i="10"/>
  <c r="U19" i="10" s="1"/>
  <c r="Q14" i="10"/>
  <c r="N14" i="10"/>
  <c r="K14" i="10"/>
  <c r="Q13" i="10"/>
  <c r="N13" i="10"/>
  <c r="K13" i="10"/>
  <c r="Q12" i="10"/>
  <c r="N12" i="10"/>
  <c r="K12" i="10"/>
  <c r="N48" i="9"/>
  <c r="K48" i="9"/>
  <c r="N47" i="9"/>
  <c r="K47" i="9"/>
  <c r="W19" i="9" s="1"/>
  <c r="N46" i="9"/>
  <c r="K46" i="9"/>
  <c r="Q42" i="9"/>
  <c r="N42" i="9"/>
  <c r="K42" i="9"/>
  <c r="Q41" i="9"/>
  <c r="N41" i="9"/>
  <c r="K41" i="9"/>
  <c r="W11" i="9" s="1"/>
  <c r="Q40" i="9"/>
  <c r="N40" i="9"/>
  <c r="K40" i="9"/>
  <c r="N34" i="9"/>
  <c r="K34" i="9"/>
  <c r="N33" i="9"/>
  <c r="K33" i="9"/>
  <c r="N32" i="9"/>
  <c r="V21" i="9" s="1"/>
  <c r="K32" i="9"/>
  <c r="Q28" i="9"/>
  <c r="N28" i="9"/>
  <c r="K28" i="9"/>
  <c r="V11" i="9" s="1"/>
  <c r="Q27" i="9"/>
  <c r="N27" i="9"/>
  <c r="K27" i="9"/>
  <c r="Q26" i="9"/>
  <c r="V15" i="9" s="1"/>
  <c r="N26" i="9"/>
  <c r="K26" i="9"/>
  <c r="W22" i="9"/>
  <c r="V22" i="9"/>
  <c r="N20" i="9"/>
  <c r="K20" i="9"/>
  <c r="N19" i="9"/>
  <c r="K19" i="9"/>
  <c r="N18" i="9"/>
  <c r="K18" i="9"/>
  <c r="W15" i="9"/>
  <c r="Q14" i="9"/>
  <c r="N14" i="9"/>
  <c r="K14" i="9"/>
  <c r="Q13" i="9"/>
  <c r="N13" i="9"/>
  <c r="K13" i="9"/>
  <c r="Q12" i="9"/>
  <c r="N12" i="9"/>
  <c r="K12" i="9"/>
  <c r="U18" i="9" s="1"/>
  <c r="W22" i="8"/>
  <c r="W21" i="8"/>
  <c r="W20" i="8"/>
  <c r="W19" i="8"/>
  <c r="W18" i="8"/>
  <c r="W15" i="8"/>
  <c r="W14" i="8"/>
  <c r="W13" i="8"/>
  <c r="W12" i="8"/>
  <c r="W11" i="8"/>
  <c r="V22" i="8"/>
  <c r="V21" i="8"/>
  <c r="V20" i="8"/>
  <c r="V19" i="8"/>
  <c r="V18" i="8"/>
  <c r="U22" i="8"/>
  <c r="U21" i="8"/>
  <c r="U20" i="8"/>
  <c r="U19" i="8"/>
  <c r="U18" i="8"/>
  <c r="Q42" i="8"/>
  <c r="Q41" i="8"/>
  <c r="Q40" i="8"/>
  <c r="N48" i="8"/>
  <c r="N47" i="8"/>
  <c r="N46" i="8"/>
  <c r="N42" i="8"/>
  <c r="N41" i="8"/>
  <c r="N40" i="8"/>
  <c r="K48" i="8"/>
  <c r="K47" i="8"/>
  <c r="K46" i="8"/>
  <c r="K42" i="8"/>
  <c r="K41" i="8"/>
  <c r="K40" i="8"/>
  <c r="Q28" i="8"/>
  <c r="Q27" i="8"/>
  <c r="Q26" i="8"/>
  <c r="V15" i="8" s="1"/>
  <c r="N34" i="8"/>
  <c r="N33" i="8"/>
  <c r="N32" i="8"/>
  <c r="V14" i="8" s="1"/>
  <c r="N28" i="8"/>
  <c r="N27" i="8"/>
  <c r="N26" i="8"/>
  <c r="K33" i="8"/>
  <c r="K34" i="8"/>
  <c r="K32" i="8"/>
  <c r="V12" i="8" s="1"/>
  <c r="K28" i="8"/>
  <c r="K27" i="8"/>
  <c r="V11" i="8" s="1"/>
  <c r="K26" i="8"/>
  <c r="Q13" i="8"/>
  <c r="Q14" i="8"/>
  <c r="Q12" i="8"/>
  <c r="U15" i="8" s="1"/>
  <c r="N19" i="8"/>
  <c r="N20" i="8"/>
  <c r="U14" i="8" s="1"/>
  <c r="N18" i="8"/>
  <c r="N12" i="8"/>
  <c r="K20" i="8"/>
  <c r="K19" i="8"/>
  <c r="K18" i="8"/>
  <c r="U12" i="8" s="1"/>
  <c r="W15" i="10" l="1"/>
  <c r="V20" i="10"/>
  <c r="U14" i="10"/>
  <c r="U22" i="10"/>
  <c r="V14" i="10"/>
  <c r="U13" i="10"/>
  <c r="W14" i="10"/>
  <c r="U18" i="10"/>
  <c r="W20" i="10"/>
  <c r="V11" i="10"/>
  <c r="W11" i="10"/>
  <c r="U12" i="10"/>
  <c r="U21" i="10"/>
  <c r="U11" i="10"/>
  <c r="W12" i="10"/>
  <c r="U20" i="10"/>
  <c r="V13" i="10"/>
  <c r="U15" i="10"/>
  <c r="W13" i="10"/>
  <c r="W21" i="9"/>
  <c r="V20" i="9"/>
  <c r="V19" i="9"/>
  <c r="U20" i="9"/>
  <c r="U22" i="9"/>
  <c r="V18" i="9"/>
  <c r="U12" i="9"/>
  <c r="U21" i="9"/>
  <c r="W20" i="9"/>
  <c r="V12" i="9"/>
  <c r="V13" i="9"/>
  <c r="V14" i="9"/>
  <c r="U14" i="9"/>
  <c r="U19" i="9"/>
  <c r="W14" i="9"/>
  <c r="U13" i="9"/>
  <c r="W18" i="9"/>
  <c r="U11" i="9"/>
  <c r="W12" i="9"/>
  <c r="U15" i="9"/>
  <c r="W13" i="9"/>
  <c r="N14" i="8"/>
  <c r="K14" i="8"/>
  <c r="N13" i="8"/>
  <c r="U13" i="8" s="1"/>
  <c r="K13" i="8"/>
  <c r="K12" i="8"/>
  <c r="B67" i="7"/>
  <c r="C68" i="1"/>
  <c r="B65" i="1"/>
  <c r="C65" i="1"/>
  <c r="D65" i="1"/>
  <c r="B65" i="6"/>
  <c r="C65" i="6"/>
  <c r="D65" i="6"/>
  <c r="B65" i="7"/>
  <c r="C65" i="7"/>
  <c r="D65" i="7"/>
  <c r="D69" i="7"/>
  <c r="C69" i="7"/>
  <c r="B69" i="7"/>
  <c r="D68" i="7"/>
  <c r="C68" i="7"/>
  <c r="B68" i="7"/>
  <c r="D67" i="7"/>
  <c r="C67" i="7"/>
  <c r="D66" i="7"/>
  <c r="C66" i="7"/>
  <c r="B66" i="7"/>
  <c r="D69" i="6"/>
  <c r="C69" i="6"/>
  <c r="B69" i="6"/>
  <c r="D68" i="6"/>
  <c r="C68" i="6"/>
  <c r="B68" i="6"/>
  <c r="D67" i="6"/>
  <c r="C67" i="6"/>
  <c r="B67" i="6"/>
  <c r="D66" i="6"/>
  <c r="C66" i="6"/>
  <c r="B66" i="6"/>
  <c r="D66" i="1"/>
  <c r="D67" i="1"/>
  <c r="D68" i="1"/>
  <c r="D69" i="1"/>
  <c r="C66" i="1"/>
  <c r="C67" i="1"/>
  <c r="C69" i="1"/>
  <c r="B67" i="1"/>
  <c r="B66" i="1"/>
  <c r="B68" i="1"/>
  <c r="B69" i="1"/>
  <c r="K51" i="7"/>
  <c r="M51" i="7"/>
  <c r="C51" i="7"/>
  <c r="E51" i="7"/>
  <c r="K50" i="7"/>
  <c r="M50" i="7"/>
  <c r="C50" i="7"/>
  <c r="E50" i="7"/>
  <c r="K49" i="7"/>
  <c r="M49" i="7"/>
  <c r="C49" i="7"/>
  <c r="E49" i="7"/>
  <c r="R45" i="7"/>
  <c r="T45" i="7"/>
  <c r="K45" i="7"/>
  <c r="M45" i="7"/>
  <c r="C45" i="7"/>
  <c r="E45" i="7"/>
  <c r="R44" i="7"/>
  <c r="T44" i="7"/>
  <c r="K44" i="7"/>
  <c r="M44" i="7"/>
  <c r="C44" i="7"/>
  <c r="E44" i="7"/>
  <c r="R43" i="7"/>
  <c r="K43" i="7"/>
  <c r="O43" i="7"/>
  <c r="C43" i="7"/>
  <c r="E43" i="7"/>
  <c r="K37" i="7"/>
  <c r="M37" i="7"/>
  <c r="C37" i="7"/>
  <c r="E37" i="7"/>
  <c r="K36" i="7"/>
  <c r="M36" i="7"/>
  <c r="C36" i="7"/>
  <c r="E36" i="7"/>
  <c r="K35" i="7"/>
  <c r="M35" i="7"/>
  <c r="C35" i="7"/>
  <c r="E35" i="7"/>
  <c r="R31" i="7"/>
  <c r="T31" i="7"/>
  <c r="K31" i="7"/>
  <c r="M31" i="7"/>
  <c r="C31" i="7"/>
  <c r="E31" i="7"/>
  <c r="R30" i="7"/>
  <c r="T30" i="7"/>
  <c r="K30" i="7"/>
  <c r="M30" i="7"/>
  <c r="C30" i="7"/>
  <c r="E30" i="7"/>
  <c r="R29" i="7"/>
  <c r="V29" i="7"/>
  <c r="K29" i="7"/>
  <c r="C29" i="7"/>
  <c r="E29" i="7"/>
  <c r="K23" i="7"/>
  <c r="M23" i="7"/>
  <c r="C23" i="7"/>
  <c r="E23" i="7"/>
  <c r="K22" i="7"/>
  <c r="M22" i="7"/>
  <c r="C22" i="7"/>
  <c r="E22" i="7"/>
  <c r="K21" i="7"/>
  <c r="M21" i="7"/>
  <c r="C21" i="7"/>
  <c r="E21" i="7"/>
  <c r="R17" i="7"/>
  <c r="T17" i="7"/>
  <c r="K17" i="7"/>
  <c r="M17" i="7"/>
  <c r="C17" i="7"/>
  <c r="E17" i="7"/>
  <c r="R16" i="7"/>
  <c r="T16" i="7"/>
  <c r="K16" i="7"/>
  <c r="M16" i="7"/>
  <c r="C16" i="7"/>
  <c r="E16" i="7"/>
  <c r="R15" i="7"/>
  <c r="K15" i="7"/>
  <c r="C15" i="7"/>
  <c r="E15" i="7"/>
  <c r="C10" i="7"/>
  <c r="E10" i="7"/>
  <c r="C9" i="7"/>
  <c r="E9" i="7"/>
  <c r="C8" i="7"/>
  <c r="E8" i="7"/>
  <c r="K51" i="6"/>
  <c r="M51" i="6"/>
  <c r="C51" i="6"/>
  <c r="E51" i="6"/>
  <c r="K50" i="6"/>
  <c r="M50" i="6"/>
  <c r="C50" i="6"/>
  <c r="E50" i="6"/>
  <c r="K49" i="6"/>
  <c r="M49" i="6"/>
  <c r="C49" i="6"/>
  <c r="E49" i="6"/>
  <c r="R45" i="6"/>
  <c r="T45" i="6"/>
  <c r="K45" i="6"/>
  <c r="M45" i="6"/>
  <c r="C45" i="6"/>
  <c r="E45" i="6"/>
  <c r="R44" i="6"/>
  <c r="T44" i="6"/>
  <c r="K44" i="6"/>
  <c r="M44" i="6"/>
  <c r="C44" i="6"/>
  <c r="E44" i="6"/>
  <c r="R43" i="6"/>
  <c r="K43" i="6"/>
  <c r="O43" i="6"/>
  <c r="C43" i="6"/>
  <c r="E43" i="6"/>
  <c r="K37" i="6"/>
  <c r="M37" i="6"/>
  <c r="C37" i="6"/>
  <c r="E37" i="6"/>
  <c r="K36" i="6"/>
  <c r="M36" i="6"/>
  <c r="C36" i="6"/>
  <c r="E36" i="6"/>
  <c r="K35" i="6"/>
  <c r="M35" i="6"/>
  <c r="C35" i="6"/>
  <c r="E35" i="6"/>
  <c r="R31" i="6"/>
  <c r="T31" i="6"/>
  <c r="K31" i="6"/>
  <c r="M31" i="6"/>
  <c r="C31" i="6"/>
  <c r="E31" i="6"/>
  <c r="R30" i="6"/>
  <c r="T30" i="6"/>
  <c r="U29" i="6"/>
  <c r="K30" i="6"/>
  <c r="M30" i="6"/>
  <c r="N29" i="6"/>
  <c r="C30" i="6"/>
  <c r="E30" i="6"/>
  <c r="R29" i="6"/>
  <c r="V29" i="6"/>
  <c r="K29" i="6"/>
  <c r="C29" i="6"/>
  <c r="E29" i="6"/>
  <c r="K23" i="6"/>
  <c r="M23" i="6"/>
  <c r="C23" i="6"/>
  <c r="E23" i="6"/>
  <c r="K22" i="6"/>
  <c r="M22" i="6"/>
  <c r="C22" i="6"/>
  <c r="E22" i="6"/>
  <c r="K21" i="6"/>
  <c r="M21" i="6"/>
  <c r="C21" i="6"/>
  <c r="E21" i="6"/>
  <c r="R17" i="6"/>
  <c r="T17" i="6"/>
  <c r="U15" i="6"/>
  <c r="K17" i="6"/>
  <c r="M17" i="6"/>
  <c r="C17" i="6"/>
  <c r="E17" i="6"/>
  <c r="R16" i="6"/>
  <c r="T16" i="6"/>
  <c r="K16" i="6"/>
  <c r="M16" i="6"/>
  <c r="C16" i="6"/>
  <c r="E16" i="6"/>
  <c r="R15" i="6"/>
  <c r="K15" i="6"/>
  <c r="O15" i="6"/>
  <c r="C15" i="6"/>
  <c r="E15" i="6"/>
  <c r="C10" i="6"/>
  <c r="E10" i="6"/>
  <c r="C9" i="6"/>
  <c r="E9" i="6"/>
  <c r="C8" i="6"/>
  <c r="E8" i="6"/>
  <c r="R15" i="1"/>
  <c r="T15" i="1"/>
  <c r="C51" i="1"/>
  <c r="E51" i="1"/>
  <c r="C50" i="1"/>
  <c r="E50" i="1"/>
  <c r="F49" i="1"/>
  <c r="C49" i="1"/>
  <c r="E49" i="1"/>
  <c r="G49" i="1"/>
  <c r="R45" i="1"/>
  <c r="T45" i="1"/>
  <c r="R44" i="1"/>
  <c r="T44" i="1"/>
  <c r="R43" i="1"/>
  <c r="R31" i="1"/>
  <c r="T31" i="1"/>
  <c r="R30" i="1"/>
  <c r="T30" i="1"/>
  <c r="R29" i="1"/>
  <c r="V29" i="1"/>
  <c r="C37" i="1"/>
  <c r="E37" i="1"/>
  <c r="C36" i="1"/>
  <c r="E36" i="1"/>
  <c r="C35" i="1"/>
  <c r="E35" i="1"/>
  <c r="R17" i="1"/>
  <c r="T17" i="1"/>
  <c r="R16" i="1"/>
  <c r="T16" i="1"/>
  <c r="C23" i="1"/>
  <c r="E23" i="1"/>
  <c r="C22" i="1"/>
  <c r="E22" i="1"/>
  <c r="C21" i="1"/>
  <c r="E21" i="1"/>
  <c r="C8" i="1"/>
  <c r="E8" i="1"/>
  <c r="K51" i="1"/>
  <c r="M51" i="1"/>
  <c r="K50" i="1"/>
  <c r="M50" i="1"/>
  <c r="N49" i="1"/>
  <c r="K49" i="1"/>
  <c r="M49" i="1"/>
  <c r="K45" i="1"/>
  <c r="M45" i="1"/>
  <c r="C45" i="1"/>
  <c r="E45" i="1"/>
  <c r="K44" i="1"/>
  <c r="M44" i="1"/>
  <c r="C44" i="1"/>
  <c r="E44" i="1"/>
  <c r="K43" i="1"/>
  <c r="O43" i="1"/>
  <c r="C43" i="1"/>
  <c r="E43" i="1"/>
  <c r="G43" i="1"/>
  <c r="K37" i="1"/>
  <c r="M37" i="1"/>
  <c r="K36" i="1"/>
  <c r="M36" i="1"/>
  <c r="N35" i="1"/>
  <c r="K35" i="1"/>
  <c r="M35" i="1"/>
  <c r="K31" i="1"/>
  <c r="M31" i="1"/>
  <c r="C31" i="1"/>
  <c r="E31" i="1"/>
  <c r="K30" i="1"/>
  <c r="M30" i="1"/>
  <c r="C30" i="1"/>
  <c r="E30" i="1"/>
  <c r="K29" i="1"/>
  <c r="O29" i="1"/>
  <c r="C29" i="1"/>
  <c r="E29" i="1"/>
  <c r="K23" i="1"/>
  <c r="M23" i="1"/>
  <c r="K22" i="1"/>
  <c r="M22" i="1"/>
  <c r="K21" i="1"/>
  <c r="M21" i="1"/>
  <c r="N21" i="1"/>
  <c r="K17" i="1"/>
  <c r="M17" i="1"/>
  <c r="K15" i="1"/>
  <c r="M15" i="1"/>
  <c r="N15" i="1"/>
  <c r="K16" i="1"/>
  <c r="M16" i="1"/>
  <c r="C17" i="1"/>
  <c r="E17" i="1"/>
  <c r="C16" i="1"/>
  <c r="E16" i="1"/>
  <c r="C15" i="1"/>
  <c r="E15" i="1"/>
  <c r="F15" i="1"/>
  <c r="C9" i="1"/>
  <c r="E9" i="1"/>
  <c r="C10" i="1"/>
  <c r="E10" i="1"/>
  <c r="M43" i="1"/>
  <c r="V43" i="7"/>
  <c r="O29" i="7"/>
  <c r="V15" i="7"/>
  <c r="G8" i="7"/>
  <c r="F8" i="7"/>
  <c r="O35" i="7"/>
  <c r="N35" i="7"/>
  <c r="G49" i="7"/>
  <c r="F49" i="7"/>
  <c r="M15" i="7"/>
  <c r="N15" i="7"/>
  <c r="T15" i="7"/>
  <c r="M29" i="7"/>
  <c r="T29" i="7"/>
  <c r="U29" i="7"/>
  <c r="M43" i="7"/>
  <c r="N43" i="7"/>
  <c r="T43" i="7"/>
  <c r="U43" i="7"/>
  <c r="V43" i="6"/>
  <c r="O29" i="6"/>
  <c r="V15" i="6"/>
  <c r="G21" i="6"/>
  <c r="F21" i="6"/>
  <c r="G49" i="6"/>
  <c r="F49" i="6"/>
  <c r="O49" i="6"/>
  <c r="N49" i="6"/>
  <c r="M15" i="6"/>
  <c r="N15" i="6"/>
  <c r="T15" i="6"/>
  <c r="M29" i="6"/>
  <c r="T29" i="6"/>
  <c r="M43" i="6"/>
  <c r="N43" i="6"/>
  <c r="T43" i="6"/>
  <c r="U43" i="6"/>
  <c r="M29" i="1"/>
  <c r="N29" i="1"/>
  <c r="O21" i="1"/>
  <c r="F29" i="1"/>
  <c r="G29" i="1"/>
  <c r="O35" i="1"/>
  <c r="O15" i="1"/>
  <c r="V43" i="1"/>
  <c r="T43" i="1"/>
  <c r="U43" i="1"/>
  <c r="T29" i="1"/>
  <c r="U29" i="1"/>
  <c r="U15" i="1"/>
  <c r="N35" i="6"/>
  <c r="O35" i="6"/>
  <c r="F21" i="7"/>
  <c r="G21" i="7"/>
  <c r="N29" i="7"/>
  <c r="F35" i="1"/>
  <c r="G35" i="1"/>
  <c r="G8" i="6"/>
  <c r="F8" i="6"/>
  <c r="G29" i="6"/>
  <c r="F29" i="6"/>
  <c r="G43" i="6"/>
  <c r="F43" i="6"/>
  <c r="O21" i="7"/>
  <c r="N21" i="7"/>
  <c r="G43" i="7"/>
  <c r="F43" i="7"/>
  <c r="U15" i="7"/>
  <c r="N43" i="1"/>
  <c r="O49" i="1"/>
  <c r="O21" i="6"/>
  <c r="N21" i="6"/>
  <c r="F15" i="7"/>
  <c r="G15" i="7"/>
  <c r="G29" i="7"/>
  <c r="F29" i="7"/>
  <c r="N49" i="7"/>
  <c r="O49" i="7"/>
  <c r="G21" i="1"/>
  <c r="F21" i="1"/>
  <c r="F15" i="6"/>
  <c r="G15" i="6"/>
  <c r="G8" i="1"/>
  <c r="F8" i="1"/>
  <c r="G35" i="6"/>
  <c r="F35" i="6"/>
  <c r="F35" i="7"/>
  <c r="G35" i="7"/>
  <c r="V15" i="1"/>
  <c r="F43" i="1"/>
  <c r="G15" i="1"/>
  <c r="O15" i="7"/>
  <c r="U11" i="8" l="1"/>
  <c r="V13" i="8"/>
</calcChain>
</file>

<file path=xl/sharedStrings.xml><?xml version="1.0" encoding="utf-8"?>
<sst xmlns="http://schemas.openxmlformats.org/spreadsheetml/2006/main" count="1242" uniqueCount="71">
  <si>
    <t>Sample</t>
  </si>
  <si>
    <t xml:space="preserve"> +E2</t>
  </si>
  <si>
    <t xml:space="preserve"> +E2 #1</t>
  </si>
  <si>
    <t xml:space="preserve"> +E2 #2</t>
  </si>
  <si>
    <t xml:space="preserve"> +E2 #3</t>
  </si>
  <si>
    <t>Counter Read</t>
  </si>
  <si>
    <t>Cells/mL</t>
  </si>
  <si>
    <t>mL of cells</t>
  </si>
  <si>
    <t>Total cell number</t>
  </si>
  <si>
    <t>Average total cell #</t>
  </si>
  <si>
    <t>Stdev</t>
  </si>
  <si>
    <t xml:space="preserve"> +E2+ICI</t>
  </si>
  <si>
    <t xml:space="preserve"> -E2+ICI</t>
  </si>
  <si>
    <t>Averages:</t>
  </si>
  <si>
    <t>Day 0 (10/23)</t>
  </si>
  <si>
    <t xml:space="preserve"> -E2+Palbo</t>
  </si>
  <si>
    <t xml:space="preserve"> +E2+Palbo</t>
  </si>
  <si>
    <t xml:space="preserve"> +E2+Palbo #1</t>
  </si>
  <si>
    <t xml:space="preserve"> +E2+Palbo #2</t>
  </si>
  <si>
    <t xml:space="preserve"> +E2+Palbo #3</t>
  </si>
  <si>
    <t xml:space="preserve"> -E2+Palbo #1</t>
  </si>
  <si>
    <t xml:space="preserve"> -E2+Palbo #2</t>
  </si>
  <si>
    <t xml:space="preserve"> -E2+Palbo #3</t>
  </si>
  <si>
    <t>Coulter Counter Counts: MCF7f  +/- E2 + 1uM Palbo, 100uM ICI (10% CCS +/- 10nM E2)</t>
  </si>
  <si>
    <t>Tues 1/16/2019, 250k cells plated on (16) 10cm2 dishes of MCF7f p82+12+19.</t>
  </si>
  <si>
    <t>Wed 1/17/19 trypsinized and counted three reps of "Day 0" plate.  Repeated for each time point.</t>
  </si>
  <si>
    <t>Wed 1/17/19, Dosed plates accordingly: (3) -E2 (3) +E2+1uM Palbo (3) -E2+1uM Palbo (3) +E2+100nM ICI (3) -E2+100nM ICI (washed -E2 plates 3 times with PBS first) *Re-dosed plates every Friday and Monday, counted each week on Wednesdays</t>
  </si>
  <si>
    <t>Week 1 (1/24)</t>
  </si>
  <si>
    <t xml:space="preserve"> -E2+ICI #1</t>
  </si>
  <si>
    <t xml:space="preserve"> -E2+ICI #2</t>
  </si>
  <si>
    <t xml:space="preserve"> -E2+ICI #3</t>
  </si>
  <si>
    <t xml:space="preserve"> -E2</t>
  </si>
  <si>
    <t xml:space="preserve"> -E2 #1</t>
  </si>
  <si>
    <t xml:space="preserve"> -E2 #2</t>
  </si>
  <si>
    <t xml:space="preserve"> -E2 #3</t>
  </si>
  <si>
    <t>Week 2 (1/30)</t>
  </si>
  <si>
    <t>Week 3 (2/6)</t>
  </si>
  <si>
    <t>Fri 1/18/19 trypsinized and counted three reps of "Day 0" plate.  Repeated for each time point.</t>
  </si>
  <si>
    <t>Day 0 (1/18)</t>
  </si>
  <si>
    <t>Week 1 (1/25)</t>
  </si>
  <si>
    <t>Week 3 (2/8)</t>
  </si>
  <si>
    <t>Fri 1/18/19, Dosed plates accordingly: (3) -E2 (3) +E2+1uM Palbo (3) -E2+1uM Palbo (3) +E2+100nM ICI (3) -E2+100nM ICI (washed -E2 plates 3 times with PBS first) *Re-dosed plates every Friday and Monday, counted each week on Friday</t>
  </si>
  <si>
    <t>Week 2 (2/1) *3rd floor machine</t>
  </si>
  <si>
    <t>Thurs 1/24/19 trypsinized and counted three reps of "Day 0" plate.  Repeated for each time point.</t>
  </si>
  <si>
    <t>Wed 1/23/2019, 250k cells plated on (16) 10cm2 dishes of MCF7f p82+12+21.</t>
  </si>
  <si>
    <t>Thurs 1/17/2019, 250k cells plated on (16) 10cm2 dishes of MCF7f p82+12+20.</t>
  </si>
  <si>
    <t>Thurs 1/14/19, Dosed plates accordingly: (3) -E2 (3) +E2+1uM Palbo (3) -E2+1uM Palbo (3) +E2+100nM ICI (3) -E2+100nM ICI (washed -E2 plates 3 times with PBS first) *Re-dosed plates every Thursday and Monday, counted each week on Thursday</t>
  </si>
  <si>
    <t>Day 0 (1/24)</t>
  </si>
  <si>
    <t>Week 1 (1/31) *Used 3rd Floor machine</t>
  </si>
  <si>
    <t>Week 3 (2/14)</t>
  </si>
  <si>
    <t xml:space="preserve">Week 2 (2/7) </t>
  </si>
  <si>
    <t>Week 1</t>
  </si>
  <si>
    <t>Week 2</t>
  </si>
  <si>
    <t>Week 3</t>
  </si>
  <si>
    <t>T=0</t>
  </si>
  <si>
    <t>Normalized to T=0</t>
  </si>
  <si>
    <t>Day 0</t>
  </si>
  <si>
    <t>Day 1</t>
  </si>
  <si>
    <t xml:space="preserve"> +E2+palbo</t>
  </si>
  <si>
    <t>Day 3</t>
  </si>
  <si>
    <t>Day 6</t>
  </si>
  <si>
    <t xml:space="preserve"> +E2+palbo #1</t>
  </si>
  <si>
    <t xml:space="preserve"> +E2+palbo #2</t>
  </si>
  <si>
    <t xml:space="preserve"> -E2+palbo</t>
  </si>
  <si>
    <t xml:space="preserve"> +E2+palbo #3</t>
  </si>
  <si>
    <t xml:space="preserve"> -E2+palbo #1</t>
  </si>
  <si>
    <t xml:space="preserve"> -E2+palbo #2</t>
  </si>
  <si>
    <t xml:space="preserve"> -E2+palbo #3</t>
  </si>
  <si>
    <t xml:space="preserve"> +E2+ICI #1</t>
  </si>
  <si>
    <t xml:space="preserve"> +E2+ICI #2</t>
  </si>
  <si>
    <t xml:space="preserve"> +E2+ICI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</si>
</sst>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6"/>
      <color theme="1"/>
      <name val="Calibri"/>
      <scheme val="minor"/>
    </font>
    <font>
      <sz val="16"/>
      <color rgb="FFFF0000"/>
      <name val="Calibri"/>
      <scheme val="minor"/>
    </font>
    <font>
      <b/>
      <sz val="16"/>
      <color rgb="FFFF0000"/>
      <name val="Calibri"/>
      <scheme val="minor"/>
    </font>
    <font>
      <sz val="16"/>
      <color rgb="FF000000"/>
      <name val="Calibri"/>
      <scheme val="minor"/>
    </font>
    <font>
      <sz val="16"/>
      <color rgb="FF0070C0"/>
      <name val="Calibri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/>
    <xf numFmtId="0" fontId="0" fillId="0" borderId="3" xfId="0" applyBorder="1"/>
    <xf numFmtId="0" fontId="1" fillId="0" borderId="0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Border="1" applyAlignment="1">
      <alignment horizontal="center"/>
    </xf>
    <xf numFmtId="11" fontId="7" fillId="0" borderId="0" xfId="0" applyNumberFormat="1" applyFont="1" applyBorder="1"/>
    <xf numFmtId="165" fontId="7" fillId="0" borderId="0" xfId="0" applyNumberFormat="1" applyFont="1" applyBorder="1" applyAlignment="1"/>
    <xf numFmtId="0" fontId="0" fillId="0" borderId="0" xfId="0" applyAlignment="1">
      <alignment horizontal="right"/>
    </xf>
    <xf numFmtId="11" fontId="2" fillId="0" borderId="0" xfId="0" applyNumberFormat="1" applyFont="1" applyBorder="1"/>
    <xf numFmtId="11" fontId="2" fillId="0" borderId="0" xfId="0" applyNumberFormat="1" applyFont="1" applyBorder="1" applyAlignment="1">
      <alignment horizontal="center"/>
    </xf>
    <xf numFmtId="11" fontId="6" fillId="0" borderId="0" xfId="0" applyNumberFormat="1" applyFont="1" applyBorder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14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0" borderId="0" xfId="0" applyNumberFormat="1" applyFont="1" applyBorder="1"/>
    <xf numFmtId="2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Rep1</a:t>
            </a:r>
          </a:p>
        </c:rich>
      </c:tx>
      <c:layout>
        <c:manualLayout>
          <c:xMode val="edge"/>
          <c:yMode val="edge"/>
          <c:x val="0.42026335074452326"/>
          <c:y val="2.0151138825767585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'Rep1'!$B$63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strRef>
              <c:f>'Rep1'!$A$64:$A$69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'Rep1'!$B$64:$B$69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16.593023255813954</c:v>
                </c:pt>
                <c:pt idx="2">
                  <c:v>2.1860465116279069</c:v>
                </c:pt>
                <c:pt idx="3">
                  <c:v>1.7063953488372092</c:v>
                </c:pt>
                <c:pt idx="4">
                  <c:v>1.2412790697674418</c:v>
                </c:pt>
                <c:pt idx="5">
                  <c:v>7.3226744186046515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6-CF4D-B3B9-515EF51DB28E}"/>
            </c:ext>
          </c:extLst>
        </c:ser>
        <c:ser>
          <c:idx val="1"/>
          <c:order val="1"/>
          <c:tx>
            <c:strRef>
              <c:f>'Rep1'!$C$63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'Rep1'!$A$64:$A$69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'Rep1'!$C$64:$C$69</c:f>
              <c:numCache>
                <c:formatCode>0.00</c:formatCode>
                <c:ptCount val="6"/>
                <c:pt idx="1">
                  <c:v>53.665697674418603</c:v>
                </c:pt>
                <c:pt idx="2">
                  <c:v>1.441860465116279</c:v>
                </c:pt>
                <c:pt idx="3">
                  <c:v>1.375</c:v>
                </c:pt>
                <c:pt idx="4">
                  <c:v>0.58430232558139539</c:v>
                </c:pt>
                <c:pt idx="5">
                  <c:v>11.302325581395349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6-CF4D-B3B9-515EF51DB28E}"/>
            </c:ext>
          </c:extLst>
        </c:ser>
        <c:ser>
          <c:idx val="2"/>
          <c:order val="2"/>
          <c:tx>
            <c:strRef>
              <c:f>'Rep1'!$D$63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'Rep1'!$A$64:$A$69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'Rep1'!$D$64:$D$69</c:f>
              <c:numCache>
                <c:formatCode>0.00</c:formatCode>
                <c:ptCount val="6"/>
                <c:pt idx="1">
                  <c:v>70.726744186046517</c:v>
                </c:pt>
                <c:pt idx="2">
                  <c:v>1.1191860465116279</c:v>
                </c:pt>
                <c:pt idx="3">
                  <c:v>1.3604651162790697</c:v>
                </c:pt>
                <c:pt idx="4">
                  <c:v>0.41860465116279072</c:v>
                </c:pt>
                <c:pt idx="5">
                  <c:v>11.122093023255815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6-CF4D-B3B9-515EF51DB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520400"/>
        <c:axId val="1"/>
      </c:barChart>
      <c:catAx>
        <c:axId val="182152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5204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6634817182505652"/>
          <c:y val="0.92284812133382654"/>
          <c:w val="0.26733515241287908"/>
          <c:h val="5.704882946678646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Rep2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'Rep2'!$B$63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strRef>
              <c:f>'Rep2'!$A$64:$A$69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'Rep2'!$B$64:$B$69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18.132000000000001</c:v>
                </c:pt>
                <c:pt idx="2">
                  <c:v>1.484</c:v>
                </c:pt>
                <c:pt idx="3">
                  <c:v>1.952</c:v>
                </c:pt>
                <c:pt idx="4">
                  <c:v>1.0840000000000001</c:v>
                </c:pt>
                <c:pt idx="5">
                  <c:v>9.6920000000000002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6-6F45-B4CA-1E76E7226F5B}"/>
            </c:ext>
          </c:extLst>
        </c:ser>
        <c:ser>
          <c:idx val="1"/>
          <c:order val="1"/>
          <c:tx>
            <c:strRef>
              <c:f>'Rep2'!$C$63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'Rep2'!$A$64:$A$69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'Rep2'!$C$64:$C$69</c:f>
              <c:numCache>
                <c:formatCode>0.00</c:formatCode>
                <c:ptCount val="6"/>
                <c:pt idx="1">
                  <c:v>37.744</c:v>
                </c:pt>
                <c:pt idx="2">
                  <c:v>1.236</c:v>
                </c:pt>
                <c:pt idx="3">
                  <c:v>1.6240000000000001</c:v>
                </c:pt>
                <c:pt idx="4">
                  <c:v>1.0680000000000001</c:v>
                </c:pt>
                <c:pt idx="5">
                  <c:v>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96-6F45-B4CA-1E76E7226F5B}"/>
            </c:ext>
          </c:extLst>
        </c:ser>
        <c:ser>
          <c:idx val="2"/>
          <c:order val="2"/>
          <c:tx>
            <c:strRef>
              <c:f>'Rep2'!$D$63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'Rep2'!$A$64:$A$69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'Rep2'!$D$64:$D$69</c:f>
              <c:numCache>
                <c:formatCode>0.00</c:formatCode>
                <c:ptCount val="6"/>
                <c:pt idx="1">
                  <c:v>82.688000000000002</c:v>
                </c:pt>
                <c:pt idx="2">
                  <c:v>1.1519999999999999</c:v>
                </c:pt>
                <c:pt idx="3">
                  <c:v>1.3120000000000001</c:v>
                </c:pt>
                <c:pt idx="4">
                  <c:v>0.78400000000000003</c:v>
                </c:pt>
                <c:pt idx="5">
                  <c:v>7.7480000000000002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96-6F45-B4CA-1E76E7226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523520"/>
        <c:axId val="1"/>
      </c:barChart>
      <c:catAx>
        <c:axId val="17865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5235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7969079399834377"/>
          <c:y val="0.92016786964129471"/>
          <c:w val="0.24064915013965499"/>
          <c:h val="5.902969160104987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Rep3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'Rep3'!$B$63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strRef>
              <c:f>'Rep3'!$A$64:$A$69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'Rep3'!$B$64:$B$69</c:f>
              <c:numCache>
                <c:formatCode>0.00</c:formatCode>
                <c:ptCount val="6"/>
                <c:pt idx="0" formatCode="General">
                  <c:v>1</c:v>
                </c:pt>
                <c:pt idx="1">
                  <c:v>10.769736842105264</c:v>
                </c:pt>
                <c:pt idx="2">
                  <c:v>1.381578947368421</c:v>
                </c:pt>
                <c:pt idx="3">
                  <c:v>1.7105263157894737</c:v>
                </c:pt>
                <c:pt idx="4">
                  <c:v>1.243421052631579</c:v>
                </c:pt>
                <c:pt idx="5">
                  <c:v>5.6085526315789478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8-C64E-B262-D80F51D98510}"/>
            </c:ext>
          </c:extLst>
        </c:ser>
        <c:ser>
          <c:idx val="1"/>
          <c:order val="1"/>
          <c:tx>
            <c:strRef>
              <c:f>'Rep3'!$C$63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'Rep3'!$A$64:$A$69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'Rep3'!$C$64:$C$69</c:f>
              <c:numCache>
                <c:formatCode>0.00</c:formatCode>
                <c:ptCount val="6"/>
                <c:pt idx="1">
                  <c:v>42.023026315789473</c:v>
                </c:pt>
                <c:pt idx="2">
                  <c:v>1.3026315789473684</c:v>
                </c:pt>
                <c:pt idx="3">
                  <c:v>1.2796052631578947</c:v>
                </c:pt>
                <c:pt idx="4">
                  <c:v>0.9375</c:v>
                </c:pt>
                <c:pt idx="5">
                  <c:v>5.4638157894736841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8-C64E-B262-D80F51D98510}"/>
            </c:ext>
          </c:extLst>
        </c:ser>
        <c:ser>
          <c:idx val="2"/>
          <c:order val="2"/>
          <c:tx>
            <c:strRef>
              <c:f>'Rep3'!$D$63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'Rep3'!$A$64:$A$69</c:f>
              <c:strCache>
                <c:ptCount val="6"/>
                <c:pt idx="0">
                  <c:v>T=0</c:v>
                </c:pt>
                <c:pt idx="1">
                  <c:v> +E2+ICI</c:v>
                </c:pt>
                <c:pt idx="2">
                  <c:v> -E2+ICI</c:v>
                </c:pt>
                <c:pt idx="3">
                  <c:v> +E2+Palbo</c:v>
                </c:pt>
                <c:pt idx="4">
                  <c:v> -E2+Palbo</c:v>
                </c:pt>
                <c:pt idx="5">
                  <c:v> -E2</c:v>
                </c:pt>
              </c:strCache>
            </c:strRef>
          </c:cat>
          <c:val>
            <c:numRef>
              <c:f>'Rep3'!$D$64:$D$69</c:f>
              <c:numCache>
                <c:formatCode>0.00</c:formatCode>
                <c:ptCount val="6"/>
                <c:pt idx="1">
                  <c:v>65.611842105263165</c:v>
                </c:pt>
                <c:pt idx="2">
                  <c:v>1.25</c:v>
                </c:pt>
                <c:pt idx="3">
                  <c:v>0.92434210526315785</c:v>
                </c:pt>
                <c:pt idx="4">
                  <c:v>0.68421052631578949</c:v>
                </c:pt>
                <c:pt idx="5">
                  <c:v>5.1480263157894735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8-C64E-B262-D80F51D98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1195776"/>
        <c:axId val="1"/>
      </c:barChart>
      <c:catAx>
        <c:axId val="182119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11957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7477992199027071"/>
          <c:y val="0.92055848151431408"/>
          <c:w val="0.25047171051670497"/>
          <c:h val="5.629321583146473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584200</xdr:colOff>
      <xdr:row>55</xdr:row>
      <xdr:rowOff>88900</xdr:rowOff>
    </xdr:from>
    <xdr:to>
      <xdr:col>16</xdr:col>
      <xdr:colOff>12700</xdr:colOff>
      <xdr:row>75</xdr:row>
      <xdr:rowOff>63500</xdr:rowOff>
    </xdr:to>
    <xdr:graphicFrame macro="">
      <xdr:nvGraphicFramePr>
        <xdr:cNvPr id="1045" name="Chart 2">
          <a:extLst>
            <a:ext uri="{FF2B5EF4-FFF2-40B4-BE49-F238E27FC236}">
              <a16:creationId xmlns:a16="http://schemas.microsoft.com/office/drawing/2014/main" id="{A880611A-707F-C84D-A4DE-C23F72605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774700</xdr:colOff>
      <xdr:row>53</xdr:row>
      <xdr:rowOff>165100</xdr:rowOff>
    </xdr:from>
    <xdr:to>
      <xdr:col>18</xdr:col>
      <xdr:colOff>241300</xdr:colOff>
      <xdr:row>73</xdr:row>
      <xdr:rowOff>12700</xdr:rowOff>
    </xdr:to>
    <xdr:graphicFrame macro="">
      <xdr:nvGraphicFramePr>
        <xdr:cNvPr id="41988" name="Chart 1">
          <a:extLst>
            <a:ext uri="{FF2B5EF4-FFF2-40B4-BE49-F238E27FC236}">
              <a16:creationId xmlns:a16="http://schemas.microsoft.com/office/drawing/2014/main" id="{B6003CF3-867D-0B43-9658-085F4A414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55</xdr:row>
      <xdr:rowOff>101600</xdr:rowOff>
    </xdr:from>
    <xdr:to>
      <xdr:col>16</xdr:col>
      <xdr:colOff>596900</xdr:colOff>
      <xdr:row>75</xdr:row>
      <xdr:rowOff>127000</xdr:rowOff>
    </xdr:to>
    <xdr:graphicFrame macro="">
      <xdr:nvGraphicFramePr>
        <xdr:cNvPr id="43012" name="Chart 1">
          <a:extLst>
            <a:ext uri="{FF2B5EF4-FFF2-40B4-BE49-F238E27FC236}">
              <a16:creationId xmlns:a16="http://schemas.microsoft.com/office/drawing/2014/main" id="{A4F88341-2A20-5C40-9B4C-553B6D985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opLeftCell="A33" workbookViewId="0">
      <selection activeCell="Q43" sqref="Q43:Q45"/>
    </sheetView>
  </sheetViews>
  <sheetFormatPr baseColWidth="10" defaultColWidth="8.83203125" defaultRowHeight="15" x14ac:dyDescent="0.2"/>
  <cols>
    <col min="1" max="1" width="12.66406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13.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</cols>
  <sheetData>
    <row r="1" spans="1:22" ht="19" x14ac:dyDescent="0.25">
      <c r="A1" s="3" t="s">
        <v>23</v>
      </c>
    </row>
    <row r="2" spans="1:22" x14ac:dyDescent="0.2">
      <c r="A2" t="s">
        <v>24</v>
      </c>
    </row>
    <row r="3" spans="1:22" x14ac:dyDescent="0.2">
      <c r="A3" s="2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22" ht="19" x14ac:dyDescent="0.25">
      <c r="A5" s="53" t="s">
        <v>14</v>
      </c>
      <c r="B5" s="54"/>
      <c r="C5" s="54"/>
      <c r="D5" s="54"/>
      <c r="E5" s="54"/>
      <c r="F5" s="54"/>
      <c r="G5" s="55"/>
    </row>
    <row r="6" spans="1:22" ht="16" x14ac:dyDescent="0.2">
      <c r="A6" s="50" t="s">
        <v>1</v>
      </c>
      <c r="B6" s="51"/>
      <c r="C6" s="51"/>
      <c r="D6" s="51"/>
      <c r="E6" s="51"/>
      <c r="F6" s="51"/>
      <c r="G6" s="52"/>
    </row>
    <row r="7" spans="1:22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22" x14ac:dyDescent="0.2">
      <c r="A8" s="14" t="s">
        <v>2</v>
      </c>
      <c r="B8" s="15">
        <v>127</v>
      </c>
      <c r="C8" s="16">
        <f>B8*400</f>
        <v>50800</v>
      </c>
      <c r="D8" s="15">
        <v>6</v>
      </c>
      <c r="E8" s="16">
        <f>C8*D8</f>
        <v>304800</v>
      </c>
      <c r="F8" s="17">
        <f>AVERAGE(E8:E10)</f>
        <v>275200</v>
      </c>
      <c r="G8" s="18">
        <f>_xlfn.STDEV.S(E8:E10)</f>
        <v>26327.172275046934</v>
      </c>
      <c r="H8" s="1"/>
      <c r="I8" s="1"/>
      <c r="J8" s="1"/>
      <c r="K8" s="1"/>
      <c r="L8" s="1"/>
      <c r="M8" s="1"/>
      <c r="N8" s="1"/>
      <c r="O8" s="1"/>
    </row>
    <row r="9" spans="1:22" x14ac:dyDescent="0.2">
      <c r="A9" s="14" t="s">
        <v>3</v>
      </c>
      <c r="B9" s="15">
        <v>106</v>
      </c>
      <c r="C9" s="16">
        <f>B9*400</f>
        <v>42400</v>
      </c>
      <c r="D9" s="15">
        <v>6</v>
      </c>
      <c r="E9" s="16">
        <f>C9*D9</f>
        <v>254400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22" x14ac:dyDescent="0.2">
      <c r="A10" s="20" t="s">
        <v>4</v>
      </c>
      <c r="B10" s="21">
        <v>111</v>
      </c>
      <c r="C10" s="22">
        <f>B10*400</f>
        <v>44400</v>
      </c>
      <c r="D10" s="21">
        <v>6</v>
      </c>
      <c r="E10" s="22">
        <f>C10*D10</f>
        <v>266400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2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2" ht="19" x14ac:dyDescent="0.25">
      <c r="A12" s="53" t="s">
        <v>27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</row>
    <row r="13" spans="1:22" ht="16" x14ac:dyDescent="0.2">
      <c r="A13" s="50" t="s">
        <v>11</v>
      </c>
      <c r="B13" s="51"/>
      <c r="C13" s="51"/>
      <c r="D13" s="51"/>
      <c r="E13" s="51"/>
      <c r="F13" s="51"/>
      <c r="G13" s="52"/>
      <c r="H13" s="15"/>
      <c r="I13" s="56" t="s">
        <v>16</v>
      </c>
      <c r="J13" s="57"/>
      <c r="K13" s="57"/>
      <c r="L13" s="57"/>
      <c r="M13" s="57"/>
      <c r="N13" s="57"/>
      <c r="O13" s="58"/>
      <c r="P13" s="62" t="s">
        <v>31</v>
      </c>
      <c r="Q13" s="63"/>
      <c r="R13" s="63"/>
      <c r="S13" s="63"/>
      <c r="T13" s="63"/>
      <c r="U13" s="63"/>
      <c r="V13" s="64"/>
    </row>
    <row r="14" spans="1:22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  <c r="P14" s="10" t="s">
        <v>0</v>
      </c>
      <c r="Q14" s="11" t="s">
        <v>5</v>
      </c>
      <c r="R14" s="11" t="s">
        <v>6</v>
      </c>
      <c r="S14" s="11" t="s">
        <v>7</v>
      </c>
      <c r="T14" s="11" t="s">
        <v>8</v>
      </c>
      <c r="U14" s="12" t="s">
        <v>9</v>
      </c>
      <c r="V14" s="13" t="s">
        <v>10</v>
      </c>
    </row>
    <row r="15" spans="1:22" x14ac:dyDescent="0.2">
      <c r="A15" s="14" t="s">
        <v>2</v>
      </c>
      <c r="B15" s="15">
        <v>1956</v>
      </c>
      <c r="C15" s="16">
        <f>B15*400</f>
        <v>782400</v>
      </c>
      <c r="D15" s="15">
        <v>6</v>
      </c>
      <c r="E15" s="16">
        <f>C15*D15</f>
        <v>4694400</v>
      </c>
      <c r="F15" s="17">
        <f>AVERAGE(E15:E17)</f>
        <v>4566400</v>
      </c>
      <c r="G15" s="18">
        <f>_xlfn.STDEV.S(E15:E17)</f>
        <v>137646.50376961994</v>
      </c>
      <c r="H15" s="15"/>
      <c r="I15" s="14" t="s">
        <v>17</v>
      </c>
      <c r="J15" s="15">
        <v>241</v>
      </c>
      <c r="K15" s="16">
        <f>J15*400</f>
        <v>96400</v>
      </c>
      <c r="L15" s="15">
        <v>6</v>
      </c>
      <c r="M15" s="16">
        <f>K15*L15</f>
        <v>578400</v>
      </c>
      <c r="N15" s="17">
        <f>AVERAGE(M15:M17)</f>
        <v>469600</v>
      </c>
      <c r="O15" s="18">
        <f>_xlfn.STDEV.S(K15:K17)</f>
        <v>16308.688890690568</v>
      </c>
      <c r="P15" s="24" t="s">
        <v>32</v>
      </c>
      <c r="Q15" s="15">
        <v>846</v>
      </c>
      <c r="R15" s="16">
        <f>Q15*400</f>
        <v>338400</v>
      </c>
      <c r="S15" s="15">
        <v>6</v>
      </c>
      <c r="T15" s="16">
        <f>R15*S15</f>
        <v>2030400</v>
      </c>
      <c r="U15" s="25">
        <f>AVERAGE(T15:T17)</f>
        <v>2015200</v>
      </c>
      <c r="V15" s="18">
        <f>_xlfn.STDEV.S(R15:R17)</f>
        <v>6576.7266427405466</v>
      </c>
    </row>
    <row r="16" spans="1:22" x14ac:dyDescent="0.2">
      <c r="A16" s="14" t="s">
        <v>3</v>
      </c>
      <c r="B16" s="15">
        <v>1842</v>
      </c>
      <c r="C16" s="16">
        <f>B16*400</f>
        <v>736800</v>
      </c>
      <c r="D16" s="15">
        <v>6</v>
      </c>
      <c r="E16" s="16">
        <f>C16*D16</f>
        <v>4420800</v>
      </c>
      <c r="F16" s="16"/>
      <c r="G16" s="19"/>
      <c r="H16" s="15"/>
      <c r="I16" s="14" t="s">
        <v>18</v>
      </c>
      <c r="J16" s="15">
        <v>162</v>
      </c>
      <c r="K16" s="16">
        <f>J16*400</f>
        <v>64800</v>
      </c>
      <c r="L16" s="15">
        <v>6</v>
      </c>
      <c r="M16" s="16">
        <f>K16*L16</f>
        <v>388800</v>
      </c>
      <c r="N16" s="16"/>
      <c r="O16" s="19"/>
      <c r="P16" s="24" t="s">
        <v>33</v>
      </c>
      <c r="Q16" s="15">
        <v>821</v>
      </c>
      <c r="R16" s="16">
        <f>Q16*400</f>
        <v>328400</v>
      </c>
      <c r="S16" s="15">
        <v>6</v>
      </c>
      <c r="T16" s="16">
        <f>R16*S16</f>
        <v>1970400</v>
      </c>
      <c r="U16" s="16"/>
      <c r="V16" s="19"/>
    </row>
    <row r="17" spans="1:23" x14ac:dyDescent="0.2">
      <c r="A17" s="20" t="s">
        <v>4</v>
      </c>
      <c r="B17" s="21">
        <v>1910</v>
      </c>
      <c r="C17" s="22">
        <f>B17*400</f>
        <v>764000</v>
      </c>
      <c r="D17" s="21">
        <v>6</v>
      </c>
      <c r="E17" s="22">
        <f>C17*D17</f>
        <v>4584000</v>
      </c>
      <c r="F17" s="22"/>
      <c r="G17" s="23"/>
      <c r="H17" s="15"/>
      <c r="I17" s="20" t="s">
        <v>19</v>
      </c>
      <c r="J17" s="21">
        <v>184</v>
      </c>
      <c r="K17" s="22">
        <f>J17*400</f>
        <v>73600</v>
      </c>
      <c r="L17" s="21">
        <v>6</v>
      </c>
      <c r="M17" s="22">
        <f>K17*L17</f>
        <v>441600</v>
      </c>
      <c r="N17" s="22"/>
      <c r="O17" s="23"/>
      <c r="P17" s="27" t="s">
        <v>34</v>
      </c>
      <c r="Q17" s="21">
        <v>852</v>
      </c>
      <c r="R17" s="22">
        <f>Q17*400</f>
        <v>340800</v>
      </c>
      <c r="S17" s="21">
        <v>6</v>
      </c>
      <c r="T17" s="22">
        <f>R17*S17</f>
        <v>2044800</v>
      </c>
      <c r="U17" s="22"/>
      <c r="V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59" t="s">
        <v>12</v>
      </c>
      <c r="B19" s="60"/>
      <c r="C19" s="60"/>
      <c r="D19" s="60"/>
      <c r="E19" s="60"/>
      <c r="F19" s="60"/>
      <c r="G19" s="61"/>
      <c r="H19" s="7"/>
      <c r="I19" s="59" t="s">
        <v>15</v>
      </c>
      <c r="J19" s="60"/>
      <c r="K19" s="60"/>
      <c r="L19" s="60"/>
      <c r="M19" s="60"/>
      <c r="N19" s="60"/>
      <c r="O19" s="61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24" t="s">
        <v>28</v>
      </c>
      <c r="B21" s="15">
        <v>257</v>
      </c>
      <c r="C21" s="16">
        <f>B21*400</f>
        <v>102800</v>
      </c>
      <c r="D21" s="15">
        <v>6</v>
      </c>
      <c r="E21" s="16">
        <f>C21*D21</f>
        <v>616800</v>
      </c>
      <c r="F21" s="25">
        <f>AVERAGE(E21:E23)</f>
        <v>601600</v>
      </c>
      <c r="G21" s="18">
        <f>_xlfn.STDEV.S(E21:E23)</f>
        <v>14466.5130560201</v>
      </c>
      <c r="H21" s="7"/>
      <c r="I21" s="24" t="s">
        <v>20</v>
      </c>
      <c r="J21" s="15">
        <v>150</v>
      </c>
      <c r="K21" s="16">
        <f>J21*400</f>
        <v>60000</v>
      </c>
      <c r="L21" s="15">
        <v>6</v>
      </c>
      <c r="M21" s="16">
        <f>K21*L21</f>
        <v>360000</v>
      </c>
      <c r="N21" s="25">
        <f>AVERAGE(M21:M23)</f>
        <v>341600</v>
      </c>
      <c r="O21" s="18">
        <f>_xlfn.STDEV.S(M21:M23)</f>
        <v>38274.795884498199</v>
      </c>
    </row>
    <row r="22" spans="1:23" x14ac:dyDescent="0.2">
      <c r="A22" s="24" t="s">
        <v>29</v>
      </c>
      <c r="B22" s="15">
        <v>245</v>
      </c>
      <c r="C22" s="16">
        <f>B22*400</f>
        <v>98000</v>
      </c>
      <c r="D22" s="15">
        <v>6</v>
      </c>
      <c r="E22" s="16">
        <f>C22*D22</f>
        <v>588000</v>
      </c>
      <c r="F22" s="16"/>
      <c r="G22" s="19"/>
      <c r="H22" s="7"/>
      <c r="I22" s="24" t="s">
        <v>21</v>
      </c>
      <c r="J22" s="15">
        <v>153</v>
      </c>
      <c r="K22" s="16">
        <f>J22*400</f>
        <v>61200</v>
      </c>
      <c r="L22" s="15">
        <v>6</v>
      </c>
      <c r="M22" s="16">
        <f>K22*L22</f>
        <v>367200</v>
      </c>
      <c r="N22" s="16"/>
      <c r="O22" s="19"/>
    </row>
    <row r="23" spans="1:23" x14ac:dyDescent="0.2">
      <c r="A23" s="27" t="s">
        <v>30</v>
      </c>
      <c r="B23" s="21">
        <v>250</v>
      </c>
      <c r="C23" s="22">
        <f>B23*400</f>
        <v>100000</v>
      </c>
      <c r="D23" s="21">
        <v>6</v>
      </c>
      <c r="E23" s="22">
        <f>C23*D23</f>
        <v>600000</v>
      </c>
      <c r="F23" s="22"/>
      <c r="G23" s="23"/>
      <c r="H23" s="8"/>
      <c r="I23" s="27" t="s">
        <v>22</v>
      </c>
      <c r="J23" s="21">
        <v>124</v>
      </c>
      <c r="K23" s="22">
        <f>J23*400</f>
        <v>49600</v>
      </c>
      <c r="L23" s="21">
        <v>6</v>
      </c>
      <c r="M23" s="22">
        <f>K23*L23</f>
        <v>297600</v>
      </c>
      <c r="N23" s="22"/>
      <c r="O23" s="23"/>
    </row>
    <row r="26" spans="1:23" ht="19" x14ac:dyDescent="0.25">
      <c r="A26" s="53" t="s">
        <v>35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</row>
    <row r="27" spans="1:23" ht="16" x14ac:dyDescent="0.2">
      <c r="A27" s="50" t="s">
        <v>11</v>
      </c>
      <c r="B27" s="51"/>
      <c r="C27" s="51"/>
      <c r="D27" s="51"/>
      <c r="E27" s="51"/>
      <c r="F27" s="51"/>
      <c r="G27" s="52"/>
      <c r="H27" s="15"/>
      <c r="I27" s="56" t="s">
        <v>16</v>
      </c>
      <c r="J27" s="57"/>
      <c r="K27" s="57"/>
      <c r="L27" s="57"/>
      <c r="M27" s="57"/>
      <c r="N27" s="57"/>
      <c r="O27" s="58"/>
      <c r="P27" s="62" t="s">
        <v>31</v>
      </c>
      <c r="Q27" s="63"/>
      <c r="R27" s="63"/>
      <c r="S27" s="63"/>
      <c r="T27" s="63"/>
      <c r="U27" s="63"/>
      <c r="V27" s="64"/>
    </row>
    <row r="28" spans="1:23" ht="32" x14ac:dyDescent="0.2">
      <c r="A28" s="4" t="s">
        <v>0</v>
      </c>
      <c r="B28" s="5" t="s">
        <v>5</v>
      </c>
      <c r="C28" s="5" t="s">
        <v>6</v>
      </c>
      <c r="D28" s="5" t="s">
        <v>7</v>
      </c>
      <c r="E28" s="5" t="s">
        <v>8</v>
      </c>
      <c r="F28" s="9" t="s">
        <v>9</v>
      </c>
      <c r="G28" s="6" t="s">
        <v>10</v>
      </c>
      <c r="H28" s="15"/>
      <c r="I28" s="10" t="s">
        <v>0</v>
      </c>
      <c r="J28" s="11" t="s">
        <v>5</v>
      </c>
      <c r="K28" s="11" t="s">
        <v>6</v>
      </c>
      <c r="L28" s="11" t="s">
        <v>7</v>
      </c>
      <c r="M28" s="11" t="s">
        <v>8</v>
      </c>
      <c r="N28" s="12" t="s">
        <v>9</v>
      </c>
      <c r="O28" s="13" t="s">
        <v>10</v>
      </c>
      <c r="P28" s="10" t="s">
        <v>0</v>
      </c>
      <c r="Q28" s="11" t="s">
        <v>5</v>
      </c>
      <c r="R28" s="11" t="s">
        <v>6</v>
      </c>
      <c r="S28" s="11" t="s">
        <v>7</v>
      </c>
      <c r="T28" s="11" t="s">
        <v>8</v>
      </c>
      <c r="U28" s="12" t="s">
        <v>9</v>
      </c>
      <c r="V28" s="13" t="s">
        <v>10</v>
      </c>
    </row>
    <row r="29" spans="1:23" x14ac:dyDescent="0.2">
      <c r="A29" s="14" t="s">
        <v>2</v>
      </c>
      <c r="B29" s="15">
        <v>6142</v>
      </c>
      <c r="C29" s="16">
        <f>B29*400</f>
        <v>2456800</v>
      </c>
      <c r="D29" s="15">
        <v>6</v>
      </c>
      <c r="E29" s="16">
        <f>C29*D29</f>
        <v>14740800</v>
      </c>
      <c r="F29" s="17">
        <f>AVERAGE(E29:E31)</f>
        <v>14768800</v>
      </c>
      <c r="G29" s="18">
        <f>_xlfn.STDEV.S(E29:E31)</f>
        <v>335676.98759372829</v>
      </c>
      <c r="H29" s="15"/>
      <c r="I29" s="14" t="s">
        <v>17</v>
      </c>
      <c r="J29" s="15">
        <v>161</v>
      </c>
      <c r="K29" s="16">
        <f>J29*400</f>
        <v>64400</v>
      </c>
      <c r="L29" s="15">
        <v>6</v>
      </c>
      <c r="M29" s="16">
        <f>K29*L29</f>
        <v>386400</v>
      </c>
      <c r="N29" s="17">
        <f>AVERAGE(M29:M31)</f>
        <v>378400</v>
      </c>
      <c r="O29" s="18">
        <f>_xlfn.STDEV.S(K29:K31)</f>
        <v>1973.153144926499</v>
      </c>
      <c r="P29" s="24" t="s">
        <v>32</v>
      </c>
      <c r="Q29" s="15">
        <v>1290</v>
      </c>
      <c r="R29" s="16">
        <f>Q29*400</f>
        <v>516000</v>
      </c>
      <c r="S29" s="15">
        <v>6</v>
      </c>
      <c r="T29" s="16">
        <f>R29*S29</f>
        <v>3096000</v>
      </c>
      <c r="U29" s="25">
        <f>AVERAGE(T29:T31)</f>
        <v>3110400</v>
      </c>
      <c r="V29" s="18">
        <f>_xlfn.STDEV.S(R29:R31)</f>
        <v>3174.9015732775088</v>
      </c>
    </row>
    <row r="30" spans="1:23" x14ac:dyDescent="0.2">
      <c r="A30" s="14" t="s">
        <v>3</v>
      </c>
      <c r="B30" s="15">
        <v>6020</v>
      </c>
      <c r="C30" s="16">
        <f>B30*400</f>
        <v>2408000</v>
      </c>
      <c r="D30" s="15">
        <v>6</v>
      </c>
      <c r="E30" s="16">
        <f>C30*D30</f>
        <v>14448000</v>
      </c>
      <c r="F30" s="16"/>
      <c r="G30" s="19"/>
      <c r="H30" s="15"/>
      <c r="I30" s="14" t="s">
        <v>18</v>
      </c>
      <c r="J30" s="15">
        <v>160</v>
      </c>
      <c r="K30" s="16">
        <f>J30*400</f>
        <v>64000</v>
      </c>
      <c r="L30" s="15">
        <v>6</v>
      </c>
      <c r="M30" s="16">
        <f>K30*L30</f>
        <v>384000</v>
      </c>
      <c r="N30" s="16"/>
      <c r="O30" s="19"/>
      <c r="P30" s="24" t="s">
        <v>33</v>
      </c>
      <c r="Q30" s="15">
        <v>1293</v>
      </c>
      <c r="R30" s="16">
        <f>Q30*400</f>
        <v>517200</v>
      </c>
      <c r="S30" s="15">
        <v>6</v>
      </c>
      <c r="T30" s="16">
        <f>R30*S30</f>
        <v>3103200</v>
      </c>
      <c r="U30" s="16"/>
      <c r="V30" s="19"/>
    </row>
    <row r="31" spans="1:23" x14ac:dyDescent="0.2">
      <c r="A31" s="20" t="s">
        <v>4</v>
      </c>
      <c r="B31" s="21">
        <v>6299</v>
      </c>
      <c r="C31" s="22">
        <f>B31*400</f>
        <v>2519600</v>
      </c>
      <c r="D31" s="21">
        <v>6</v>
      </c>
      <c r="E31" s="22">
        <f>C31*D31</f>
        <v>15117600</v>
      </c>
      <c r="F31" s="22"/>
      <c r="G31" s="23"/>
      <c r="H31" s="15"/>
      <c r="I31" s="20" t="s">
        <v>19</v>
      </c>
      <c r="J31" s="21">
        <v>152</v>
      </c>
      <c r="K31" s="22">
        <f>J31*400</f>
        <v>60800</v>
      </c>
      <c r="L31" s="21">
        <v>6</v>
      </c>
      <c r="M31" s="22">
        <f>K31*L31</f>
        <v>364800</v>
      </c>
      <c r="N31" s="22"/>
      <c r="O31" s="23"/>
      <c r="P31" s="27" t="s">
        <v>34</v>
      </c>
      <c r="Q31" s="21">
        <v>1305</v>
      </c>
      <c r="R31" s="22">
        <f>Q31*400</f>
        <v>522000</v>
      </c>
      <c r="S31" s="21">
        <v>6</v>
      </c>
      <c r="T31" s="22">
        <f>R31*S31</f>
        <v>3132000</v>
      </c>
      <c r="U31" s="22"/>
      <c r="V31" s="23"/>
    </row>
    <row r="32" spans="1:23" x14ac:dyDescent="0.2">
      <c r="A32" s="14"/>
      <c r="B32" s="15"/>
      <c r="C32" s="16"/>
      <c r="D32" s="15"/>
      <c r="E32" s="16"/>
      <c r="F32" s="16"/>
      <c r="G32" s="16"/>
      <c r="H32" s="15"/>
      <c r="I32" s="26"/>
      <c r="J32" s="15"/>
      <c r="K32" s="16"/>
      <c r="L32" s="15"/>
      <c r="M32" s="16"/>
      <c r="N32" s="16"/>
      <c r="O32" s="19"/>
    </row>
    <row r="33" spans="1:22" ht="16" x14ac:dyDescent="0.2">
      <c r="A33" s="59" t="s">
        <v>12</v>
      </c>
      <c r="B33" s="60"/>
      <c r="C33" s="60"/>
      <c r="D33" s="60"/>
      <c r="E33" s="60"/>
      <c r="F33" s="60"/>
      <c r="G33" s="61"/>
      <c r="H33" s="7"/>
      <c r="I33" s="59" t="s">
        <v>15</v>
      </c>
      <c r="J33" s="60"/>
      <c r="K33" s="60"/>
      <c r="L33" s="60"/>
      <c r="M33" s="60"/>
      <c r="N33" s="60"/>
      <c r="O33" s="61"/>
    </row>
    <row r="34" spans="1:22" ht="32" x14ac:dyDescent="0.2">
      <c r="A34" s="10" t="s">
        <v>0</v>
      </c>
      <c r="B34" s="11" t="s">
        <v>5</v>
      </c>
      <c r="C34" s="11" t="s">
        <v>6</v>
      </c>
      <c r="D34" s="11" t="s">
        <v>7</v>
      </c>
      <c r="E34" s="11" t="s">
        <v>8</v>
      </c>
      <c r="F34" s="12" t="s">
        <v>9</v>
      </c>
      <c r="G34" s="13" t="s">
        <v>10</v>
      </c>
      <c r="H34" s="7"/>
      <c r="I34" s="10" t="s">
        <v>0</v>
      </c>
      <c r="J34" s="11" t="s">
        <v>5</v>
      </c>
      <c r="K34" s="11" t="s">
        <v>6</v>
      </c>
      <c r="L34" s="11" t="s">
        <v>7</v>
      </c>
      <c r="M34" s="11" t="s">
        <v>8</v>
      </c>
      <c r="N34" s="12" t="s">
        <v>9</v>
      </c>
      <c r="O34" s="13" t="s">
        <v>10</v>
      </c>
    </row>
    <row r="35" spans="1:22" x14ac:dyDescent="0.2">
      <c r="A35" s="24" t="s">
        <v>28</v>
      </c>
      <c r="B35" s="15">
        <v>180</v>
      </c>
      <c r="C35" s="16">
        <f>B35*400</f>
        <v>72000</v>
      </c>
      <c r="D35" s="15">
        <v>6</v>
      </c>
      <c r="E35" s="16">
        <f>C35*D35</f>
        <v>432000</v>
      </c>
      <c r="F35" s="25">
        <f>AVERAGE(E35:E37)</f>
        <v>396800</v>
      </c>
      <c r="G35" s="18">
        <f>_xlfn.STDEV.S(E35:E37)</f>
        <v>31959.974968701088</v>
      </c>
      <c r="H35" s="7"/>
      <c r="I35" s="24" t="s">
        <v>20</v>
      </c>
      <c r="J35" s="15">
        <v>76</v>
      </c>
      <c r="K35" s="16">
        <f>J35*400</f>
        <v>30400</v>
      </c>
      <c r="L35" s="15">
        <v>6</v>
      </c>
      <c r="M35" s="16">
        <f>K35*L35</f>
        <v>182400</v>
      </c>
      <c r="N35" s="25">
        <f>AVERAGE(M35:M37)</f>
        <v>160800</v>
      </c>
      <c r="O35" s="18">
        <f>_xlfn.STDEV.S(M35:M37)</f>
        <v>27678.15022720991</v>
      </c>
    </row>
    <row r="36" spans="1:22" x14ac:dyDescent="0.2">
      <c r="A36" s="24" t="s">
        <v>29</v>
      </c>
      <c r="B36" s="15">
        <v>162</v>
      </c>
      <c r="C36" s="16">
        <f>B36*400</f>
        <v>64800</v>
      </c>
      <c r="D36" s="15">
        <v>6</v>
      </c>
      <c r="E36" s="16">
        <f>C36*D36</f>
        <v>388800</v>
      </c>
      <c r="F36" s="16"/>
      <c r="G36" s="19"/>
      <c r="H36" s="7"/>
      <c r="I36" s="24" t="s">
        <v>21</v>
      </c>
      <c r="J36" s="15">
        <v>54</v>
      </c>
      <c r="K36" s="16">
        <f>J36*400</f>
        <v>21600</v>
      </c>
      <c r="L36" s="15">
        <v>6</v>
      </c>
      <c r="M36" s="16">
        <f>K36*L36</f>
        <v>129600</v>
      </c>
      <c r="N36" s="16"/>
      <c r="O36" s="19"/>
    </row>
    <row r="37" spans="1:22" x14ac:dyDescent="0.2">
      <c r="A37" s="27" t="s">
        <v>30</v>
      </c>
      <c r="B37" s="21">
        <v>154</v>
      </c>
      <c r="C37" s="22">
        <f>B37*400</f>
        <v>61600</v>
      </c>
      <c r="D37" s="21">
        <v>6</v>
      </c>
      <c r="E37" s="22">
        <f>C37*D37</f>
        <v>369600</v>
      </c>
      <c r="F37" s="22"/>
      <c r="G37" s="23"/>
      <c r="H37" s="8"/>
      <c r="I37" s="27" t="s">
        <v>22</v>
      </c>
      <c r="J37" s="21">
        <v>71</v>
      </c>
      <c r="K37" s="22">
        <f>J37*400</f>
        <v>28400</v>
      </c>
      <c r="L37" s="21">
        <v>6</v>
      </c>
      <c r="M37" s="22">
        <f>K37*L37</f>
        <v>170400</v>
      </c>
      <c r="N37" s="22"/>
      <c r="O37" s="23"/>
    </row>
    <row r="40" spans="1:22" ht="19" x14ac:dyDescent="0.25">
      <c r="A40" s="53" t="s">
        <v>36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</row>
    <row r="41" spans="1:22" ht="16" x14ac:dyDescent="0.2">
      <c r="A41" s="50" t="s">
        <v>11</v>
      </c>
      <c r="B41" s="51"/>
      <c r="C41" s="51"/>
      <c r="D41" s="51"/>
      <c r="E41" s="51"/>
      <c r="F41" s="51"/>
      <c r="G41" s="52"/>
      <c r="H41" s="15"/>
      <c r="I41" s="56" t="s">
        <v>16</v>
      </c>
      <c r="J41" s="57"/>
      <c r="K41" s="57"/>
      <c r="L41" s="57"/>
      <c r="M41" s="57"/>
      <c r="N41" s="57"/>
      <c r="O41" s="58"/>
      <c r="P41" s="62" t="s">
        <v>31</v>
      </c>
      <c r="Q41" s="63"/>
      <c r="R41" s="63"/>
      <c r="S41" s="63"/>
      <c r="T41" s="63"/>
      <c r="U41" s="63"/>
      <c r="V41" s="64"/>
    </row>
    <row r="42" spans="1:22" ht="32" x14ac:dyDescent="0.2">
      <c r="A42" s="4" t="s">
        <v>0</v>
      </c>
      <c r="B42" s="5" t="s">
        <v>5</v>
      </c>
      <c r="C42" s="5" t="s">
        <v>6</v>
      </c>
      <c r="D42" s="5" t="s">
        <v>7</v>
      </c>
      <c r="E42" s="5" t="s">
        <v>8</v>
      </c>
      <c r="F42" s="9" t="s">
        <v>9</v>
      </c>
      <c r="G42" s="6" t="s">
        <v>10</v>
      </c>
      <c r="H42" s="15"/>
      <c r="I42" s="10" t="s">
        <v>0</v>
      </c>
      <c r="J42" s="11" t="s">
        <v>5</v>
      </c>
      <c r="K42" s="11" t="s">
        <v>6</v>
      </c>
      <c r="L42" s="11" t="s">
        <v>7</v>
      </c>
      <c r="M42" s="11" t="s">
        <v>8</v>
      </c>
      <c r="N42" s="12" t="s">
        <v>9</v>
      </c>
      <c r="O42" s="13" t="s">
        <v>10</v>
      </c>
      <c r="P42" s="10" t="s">
        <v>0</v>
      </c>
      <c r="Q42" s="11" t="s">
        <v>5</v>
      </c>
      <c r="R42" s="11" t="s">
        <v>6</v>
      </c>
      <c r="S42" s="11" t="s">
        <v>7</v>
      </c>
      <c r="T42" s="11" t="s">
        <v>8</v>
      </c>
      <c r="U42" s="12" t="s">
        <v>9</v>
      </c>
      <c r="V42" s="13" t="s">
        <v>10</v>
      </c>
    </row>
    <row r="43" spans="1:22" x14ac:dyDescent="0.2">
      <c r="A43" s="14" t="s">
        <v>2</v>
      </c>
      <c r="B43" s="15">
        <v>8204</v>
      </c>
      <c r="C43" s="16">
        <f>B43*400</f>
        <v>3281600</v>
      </c>
      <c r="D43" s="15">
        <v>6</v>
      </c>
      <c r="E43" s="16">
        <f>C43*D43</f>
        <v>19689600</v>
      </c>
      <c r="F43" s="17">
        <f>AVERAGE(E43:E45)</f>
        <v>19464000</v>
      </c>
      <c r="G43" s="18">
        <f>_xlfn.STDEV.S(E43:E45)</f>
        <v>1365251.9767427549</v>
      </c>
      <c r="H43" s="15"/>
      <c r="I43" s="14" t="s">
        <v>17</v>
      </c>
      <c r="J43" s="15">
        <v>166</v>
      </c>
      <c r="K43" s="16">
        <f>J43*400</f>
        <v>66400</v>
      </c>
      <c r="L43" s="15">
        <v>6</v>
      </c>
      <c r="M43" s="16">
        <f>K43*L43</f>
        <v>398400</v>
      </c>
      <c r="N43" s="17">
        <f>AVERAGE(M43:M45)</f>
        <v>374400</v>
      </c>
      <c r="O43" s="18">
        <f>_xlfn.STDEV.S(K43:K45)</f>
        <v>9830.5645819556066</v>
      </c>
      <c r="P43" s="24" t="s">
        <v>32</v>
      </c>
      <c r="Q43" s="15">
        <v>1257</v>
      </c>
      <c r="R43" s="16">
        <f>Q43*400</f>
        <v>502800</v>
      </c>
      <c r="S43" s="15">
        <v>6</v>
      </c>
      <c r="T43" s="16">
        <f>R43*S43</f>
        <v>3016800</v>
      </c>
      <c r="U43" s="25">
        <f>AVERAGE(T43:T45)</f>
        <v>3060800</v>
      </c>
      <c r="V43" s="18">
        <f>_xlfn.STDEV.S(R43:R45)</f>
        <v>6503.3324790705065</v>
      </c>
    </row>
    <row r="44" spans="1:22" x14ac:dyDescent="0.2">
      <c r="A44" s="14" t="s">
        <v>3</v>
      </c>
      <c r="B44" s="15">
        <v>8626</v>
      </c>
      <c r="C44" s="16">
        <f>B44*400</f>
        <v>3450400</v>
      </c>
      <c r="D44" s="15">
        <v>6</v>
      </c>
      <c r="E44" s="16">
        <f>C44*D44</f>
        <v>20702400</v>
      </c>
      <c r="F44" s="16"/>
      <c r="G44" s="19"/>
      <c r="H44" s="15"/>
      <c r="I44" s="14" t="s">
        <v>18</v>
      </c>
      <c r="J44" s="15">
        <v>174</v>
      </c>
      <c r="K44" s="16">
        <f>J44*400</f>
        <v>69600</v>
      </c>
      <c r="L44" s="15">
        <v>6</v>
      </c>
      <c r="M44" s="16">
        <f>K44*L44</f>
        <v>417600</v>
      </c>
      <c r="N44" s="16"/>
      <c r="O44" s="19"/>
      <c r="P44" s="24" t="s">
        <v>33</v>
      </c>
      <c r="Q44" s="15">
        <v>1281</v>
      </c>
      <c r="R44" s="16">
        <f>Q44*400</f>
        <v>512400</v>
      </c>
      <c r="S44" s="15">
        <v>6</v>
      </c>
      <c r="T44" s="16">
        <f>R44*S44</f>
        <v>3074400</v>
      </c>
      <c r="U44" s="16"/>
      <c r="V44" s="19"/>
    </row>
    <row r="45" spans="1:22" x14ac:dyDescent="0.2">
      <c r="A45" s="20" t="s">
        <v>4</v>
      </c>
      <c r="B45" s="21">
        <v>7500</v>
      </c>
      <c r="C45" s="22">
        <f>B45*400</f>
        <v>3000000</v>
      </c>
      <c r="D45" s="21">
        <v>6</v>
      </c>
      <c r="E45" s="22">
        <f>C45*D45</f>
        <v>18000000</v>
      </c>
      <c r="F45" s="22"/>
      <c r="G45" s="23"/>
      <c r="H45" s="15"/>
      <c r="I45" s="20" t="s">
        <v>19</v>
      </c>
      <c r="J45" s="21">
        <v>128</v>
      </c>
      <c r="K45" s="22">
        <f>J45*400</f>
        <v>51200</v>
      </c>
      <c r="L45" s="21">
        <v>6</v>
      </c>
      <c r="M45" s="22">
        <f>K45*L45</f>
        <v>307200</v>
      </c>
      <c r="N45" s="22"/>
      <c r="O45" s="23"/>
      <c r="P45" s="27" t="s">
        <v>34</v>
      </c>
      <c r="Q45" s="21">
        <v>1288</v>
      </c>
      <c r="R45" s="22">
        <f>Q45*400</f>
        <v>515200</v>
      </c>
      <c r="S45" s="21">
        <v>6</v>
      </c>
      <c r="T45" s="22">
        <f>R45*S45</f>
        <v>3091200</v>
      </c>
      <c r="U45" s="22"/>
      <c r="V45" s="23"/>
    </row>
    <row r="46" spans="1:22" x14ac:dyDescent="0.2">
      <c r="A46" s="14"/>
      <c r="B46" s="15"/>
      <c r="C46" s="16"/>
      <c r="D46" s="15"/>
      <c r="E46" s="16"/>
      <c r="F46" s="16"/>
      <c r="G46" s="16"/>
      <c r="H46" s="15"/>
      <c r="I46" s="26"/>
      <c r="J46" s="15"/>
      <c r="K46" s="16"/>
      <c r="L46" s="15"/>
      <c r="M46" s="16"/>
      <c r="N46" s="16"/>
      <c r="O46" s="19"/>
    </row>
    <row r="47" spans="1:22" ht="16" x14ac:dyDescent="0.2">
      <c r="A47" s="59" t="s">
        <v>12</v>
      </c>
      <c r="B47" s="60"/>
      <c r="C47" s="60"/>
      <c r="D47" s="60"/>
      <c r="E47" s="60"/>
      <c r="F47" s="60"/>
      <c r="G47" s="61"/>
      <c r="H47" s="7"/>
      <c r="I47" s="59" t="s">
        <v>15</v>
      </c>
      <c r="J47" s="60"/>
      <c r="K47" s="60"/>
      <c r="L47" s="60"/>
      <c r="M47" s="60"/>
      <c r="N47" s="60"/>
      <c r="O47" s="61"/>
    </row>
    <row r="48" spans="1:22" ht="32" x14ac:dyDescent="0.2">
      <c r="A48" s="10" t="s">
        <v>0</v>
      </c>
      <c r="B48" s="11" t="s">
        <v>5</v>
      </c>
      <c r="C48" s="11" t="s">
        <v>6</v>
      </c>
      <c r="D48" s="11" t="s">
        <v>7</v>
      </c>
      <c r="E48" s="11" t="s">
        <v>8</v>
      </c>
      <c r="F48" s="12" t="s">
        <v>9</v>
      </c>
      <c r="G48" s="13" t="s">
        <v>10</v>
      </c>
      <c r="H48" s="7"/>
      <c r="I48" s="10" t="s">
        <v>0</v>
      </c>
      <c r="J48" s="11" t="s">
        <v>5</v>
      </c>
      <c r="K48" s="11" t="s">
        <v>6</v>
      </c>
      <c r="L48" s="11" t="s">
        <v>7</v>
      </c>
      <c r="M48" s="11" t="s">
        <v>8</v>
      </c>
      <c r="N48" s="12" t="s">
        <v>9</v>
      </c>
      <c r="O48" s="13" t="s">
        <v>10</v>
      </c>
    </row>
    <row r="49" spans="1:15" x14ac:dyDescent="0.2">
      <c r="A49" s="24" t="s">
        <v>28</v>
      </c>
      <c r="B49" s="15">
        <v>141</v>
      </c>
      <c r="C49" s="16">
        <f>B49*400</f>
        <v>56400</v>
      </c>
      <c r="D49" s="15">
        <v>6</v>
      </c>
      <c r="E49" s="16">
        <f>C49*D49</f>
        <v>338400</v>
      </c>
      <c r="F49" s="25">
        <f>AVERAGE(E49:E51)</f>
        <v>308000</v>
      </c>
      <c r="G49" s="18">
        <f>_xlfn.STDEV.S(E49:E51)</f>
        <v>26436.338626973291</v>
      </c>
      <c r="H49" s="7"/>
      <c r="I49" s="24" t="s">
        <v>20</v>
      </c>
      <c r="J49" s="15">
        <v>47</v>
      </c>
      <c r="K49" s="16">
        <f>J49*400</f>
        <v>18800</v>
      </c>
      <c r="L49" s="15">
        <v>6</v>
      </c>
      <c r="M49" s="16">
        <f>K49*L49</f>
        <v>112800</v>
      </c>
      <c r="N49" s="25">
        <f>AVERAGE(M49:M51)</f>
        <v>115200</v>
      </c>
      <c r="O49" s="18">
        <f>_xlfn.STDEV.S(M49:M51)</f>
        <v>6349.8031465550175</v>
      </c>
    </row>
    <row r="50" spans="1:15" x14ac:dyDescent="0.2">
      <c r="A50" s="24" t="s">
        <v>29</v>
      </c>
      <c r="B50" s="15">
        <v>123</v>
      </c>
      <c r="C50" s="16">
        <f>B50*400</f>
        <v>49200</v>
      </c>
      <c r="D50" s="15">
        <v>6</v>
      </c>
      <c r="E50" s="16">
        <f>C50*D50</f>
        <v>295200</v>
      </c>
      <c r="F50" s="16"/>
      <c r="G50" s="19"/>
      <c r="H50" s="7"/>
      <c r="I50" s="24" t="s">
        <v>21</v>
      </c>
      <c r="J50" s="15">
        <v>46</v>
      </c>
      <c r="K50" s="16">
        <f>J50*400</f>
        <v>18400</v>
      </c>
      <c r="L50" s="15">
        <v>6</v>
      </c>
      <c r="M50" s="16">
        <f>K50*L50</f>
        <v>110400</v>
      </c>
      <c r="N50" s="16"/>
      <c r="O50" s="19"/>
    </row>
    <row r="51" spans="1:15" x14ac:dyDescent="0.2">
      <c r="A51" s="27" t="s">
        <v>30</v>
      </c>
      <c r="B51" s="21">
        <v>121</v>
      </c>
      <c r="C51" s="22">
        <f>B51*400</f>
        <v>48400</v>
      </c>
      <c r="D51" s="21">
        <v>6</v>
      </c>
      <c r="E51" s="22">
        <f>C51*D51</f>
        <v>290400</v>
      </c>
      <c r="F51" s="22"/>
      <c r="G51" s="23"/>
      <c r="H51" s="8"/>
      <c r="I51" s="27" t="s">
        <v>22</v>
      </c>
      <c r="J51" s="21">
        <v>51</v>
      </c>
      <c r="K51" s="22">
        <f>J51*400</f>
        <v>20400</v>
      </c>
      <c r="L51" s="21">
        <v>6</v>
      </c>
      <c r="M51" s="22">
        <f>K51*L51</f>
        <v>122400</v>
      </c>
      <c r="N51" s="22"/>
      <c r="O51" s="23"/>
    </row>
    <row r="54" spans="1:15" x14ac:dyDescent="0.2">
      <c r="A54" s="28" t="s">
        <v>13</v>
      </c>
    </row>
    <row r="55" spans="1:15" x14ac:dyDescent="0.2">
      <c r="A55" s="28"/>
      <c r="B55" t="s">
        <v>51</v>
      </c>
      <c r="C55" t="s">
        <v>52</v>
      </c>
      <c r="D55" t="s">
        <v>53</v>
      </c>
      <c r="F55" t="s">
        <v>54</v>
      </c>
      <c r="G55" s="17">
        <v>275200</v>
      </c>
      <c r="H55" s="18">
        <v>26327.172275046934</v>
      </c>
    </row>
    <row r="56" spans="1:15" x14ac:dyDescent="0.2">
      <c r="A56" s="34" t="s">
        <v>11</v>
      </c>
      <c r="B56" s="36">
        <v>4566400</v>
      </c>
      <c r="C56" s="35">
        <v>14768800</v>
      </c>
      <c r="D56" s="35">
        <v>19464000</v>
      </c>
      <c r="E56" s="7"/>
      <c r="F56" s="7"/>
    </row>
    <row r="57" spans="1:15" x14ac:dyDescent="0.2">
      <c r="A57" s="30" t="s">
        <v>12</v>
      </c>
      <c r="B57" s="37">
        <v>601600</v>
      </c>
      <c r="C57" s="37">
        <v>396800</v>
      </c>
      <c r="D57" s="37">
        <v>308000</v>
      </c>
      <c r="E57" s="25"/>
      <c r="F57" s="31"/>
      <c r="H57" s="17"/>
    </row>
    <row r="58" spans="1:15" x14ac:dyDescent="0.2">
      <c r="A58" s="34" t="s">
        <v>16</v>
      </c>
      <c r="B58" s="36">
        <v>469600</v>
      </c>
      <c r="C58" s="36">
        <v>378400</v>
      </c>
      <c r="D58" s="36">
        <v>374400</v>
      </c>
      <c r="E58" s="25"/>
      <c r="F58" s="31"/>
    </row>
    <row r="59" spans="1:15" x14ac:dyDescent="0.2">
      <c r="A59" s="29" t="s">
        <v>15</v>
      </c>
      <c r="B59" s="37">
        <v>341600</v>
      </c>
      <c r="C59" s="37">
        <v>160800</v>
      </c>
      <c r="D59" s="37">
        <v>115200</v>
      </c>
      <c r="E59" s="25"/>
      <c r="F59" s="31"/>
    </row>
    <row r="60" spans="1:15" x14ac:dyDescent="0.2">
      <c r="A60" s="30" t="s">
        <v>31</v>
      </c>
      <c r="B60" s="37">
        <v>2015200</v>
      </c>
      <c r="C60" s="37">
        <v>3110400</v>
      </c>
      <c r="D60" s="37">
        <v>3060800</v>
      </c>
      <c r="E60" s="32"/>
      <c r="F60" s="7"/>
    </row>
    <row r="61" spans="1:15" x14ac:dyDescent="0.2">
      <c r="C61" s="7"/>
      <c r="D61" s="7"/>
      <c r="E61" s="7"/>
      <c r="F61" s="7"/>
    </row>
    <row r="62" spans="1:15" x14ac:dyDescent="0.2">
      <c r="A62" s="65" t="s">
        <v>55</v>
      </c>
      <c r="B62" s="65"/>
      <c r="C62" s="30"/>
    </row>
    <row r="63" spans="1:15" x14ac:dyDescent="0.2">
      <c r="A63" s="28"/>
      <c r="B63" t="s">
        <v>51</v>
      </c>
      <c r="C63" t="s">
        <v>52</v>
      </c>
      <c r="D63" t="s">
        <v>53</v>
      </c>
      <c r="E63" s="7"/>
    </row>
    <row r="64" spans="1:15" x14ac:dyDescent="0.2">
      <c r="A64" s="28" t="s">
        <v>54</v>
      </c>
      <c r="B64">
        <v>1</v>
      </c>
      <c r="E64" s="7"/>
    </row>
    <row r="65" spans="1:9" x14ac:dyDescent="0.2">
      <c r="A65" s="34" t="s">
        <v>11</v>
      </c>
      <c r="B65" s="69">
        <f>B56/G$55</f>
        <v>16.593023255813954</v>
      </c>
      <c r="C65" s="70">
        <f>C56/G$55</f>
        <v>53.665697674418603</v>
      </c>
      <c r="D65" s="70">
        <f>D56/G$55</f>
        <v>70.726744186046517</v>
      </c>
      <c r="E65" s="33"/>
    </row>
    <row r="66" spans="1:9" x14ac:dyDescent="0.2">
      <c r="A66" s="30" t="s">
        <v>12</v>
      </c>
      <c r="B66" s="71">
        <f>B57/G$55</f>
        <v>2.1860465116279069</v>
      </c>
      <c r="C66" s="72">
        <f>C57/G$55</f>
        <v>1.441860465116279</v>
      </c>
      <c r="D66" s="72">
        <f>D57/G$55</f>
        <v>1.1191860465116279</v>
      </c>
      <c r="E66" s="33"/>
    </row>
    <row r="67" spans="1:9" x14ac:dyDescent="0.2">
      <c r="A67" s="34" t="s">
        <v>16</v>
      </c>
      <c r="B67" s="69">
        <f>B58/G$55</f>
        <v>1.7063953488372092</v>
      </c>
      <c r="C67" s="70">
        <f>C58/G$55</f>
        <v>1.375</v>
      </c>
      <c r="D67" s="70">
        <f>D58/G$55</f>
        <v>1.3604651162790697</v>
      </c>
      <c r="E67" s="33"/>
    </row>
    <row r="68" spans="1:9" x14ac:dyDescent="0.2">
      <c r="A68" s="29" t="s">
        <v>15</v>
      </c>
      <c r="B68" s="71">
        <f>B59/G$55</f>
        <v>1.2412790697674418</v>
      </c>
      <c r="C68" s="72">
        <f>C59/G$55</f>
        <v>0.58430232558139539</v>
      </c>
      <c r="D68" s="72">
        <f>D59/G$55</f>
        <v>0.41860465116279072</v>
      </c>
      <c r="E68" s="33"/>
    </row>
    <row r="69" spans="1:9" x14ac:dyDescent="0.2">
      <c r="A69" s="30" t="s">
        <v>31</v>
      </c>
      <c r="B69" s="71">
        <f>B60/G$55</f>
        <v>7.3226744186046515</v>
      </c>
      <c r="C69" s="72">
        <f>C60/G$55</f>
        <v>11.302325581395349</v>
      </c>
      <c r="D69" s="72">
        <f>D60/G$55</f>
        <v>11.122093023255815</v>
      </c>
    </row>
    <row r="71" spans="1:9" x14ac:dyDescent="0.2">
      <c r="C71" s="7"/>
      <c r="D71" s="7"/>
      <c r="H71" s="7"/>
      <c r="I71" s="7"/>
    </row>
    <row r="72" spans="1:9" x14ac:dyDescent="0.2">
      <c r="A72" s="29"/>
      <c r="B72" s="17"/>
      <c r="C72" s="17"/>
      <c r="D72" s="25"/>
      <c r="F72" s="29"/>
      <c r="G72" s="17"/>
      <c r="H72" s="17"/>
      <c r="I72" s="25"/>
    </row>
    <row r="73" spans="1:9" x14ac:dyDescent="0.2">
      <c r="A73" s="30"/>
      <c r="B73" s="17"/>
      <c r="C73" s="17"/>
      <c r="D73" s="25"/>
      <c r="F73" s="30"/>
      <c r="G73" s="17"/>
      <c r="H73" s="17"/>
      <c r="I73" s="25"/>
    </row>
    <row r="74" spans="1:9" x14ac:dyDescent="0.2">
      <c r="A74" s="29"/>
      <c r="B74" s="17"/>
      <c r="C74" s="17"/>
      <c r="D74" s="25"/>
      <c r="F74" s="29"/>
      <c r="G74" s="17"/>
      <c r="H74" s="17"/>
      <c r="I74" s="25"/>
    </row>
    <row r="75" spans="1:9" x14ac:dyDescent="0.2">
      <c r="A75" s="30"/>
      <c r="B75" s="17"/>
      <c r="C75" s="17"/>
      <c r="D75" s="25"/>
      <c r="F75" s="30"/>
      <c r="G75" s="17"/>
      <c r="H75" s="17"/>
      <c r="I75" s="25"/>
    </row>
  </sheetData>
  <mergeCells count="21">
    <mergeCell ref="A62:B62"/>
    <mergeCell ref="A13:G13"/>
    <mergeCell ref="I13:O13"/>
    <mergeCell ref="A12:O12"/>
    <mergeCell ref="A19:G19"/>
    <mergeCell ref="I19:O19"/>
    <mergeCell ref="A47:G47"/>
    <mergeCell ref="I47:O47"/>
    <mergeCell ref="I27:O27"/>
    <mergeCell ref="P13:V13"/>
    <mergeCell ref="P27:V27"/>
    <mergeCell ref="P41:V41"/>
    <mergeCell ref="A40:O40"/>
    <mergeCell ref="A5:G5"/>
    <mergeCell ref="A6:G6"/>
    <mergeCell ref="A26:O26"/>
    <mergeCell ref="A27:G27"/>
    <mergeCell ref="A41:G41"/>
    <mergeCell ref="I41:O41"/>
    <mergeCell ref="A33:G33"/>
    <mergeCell ref="I33:O33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"/>
  <sheetViews>
    <sheetView topLeftCell="A29" workbookViewId="0">
      <selection activeCell="G66" sqref="G66"/>
    </sheetView>
  </sheetViews>
  <sheetFormatPr baseColWidth="10" defaultColWidth="8.83203125" defaultRowHeight="15" x14ac:dyDescent="0.2"/>
  <cols>
    <col min="1" max="1" width="12.66406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13.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</cols>
  <sheetData>
    <row r="1" spans="1:22" ht="19" x14ac:dyDescent="0.25">
      <c r="A1" s="3" t="s">
        <v>23</v>
      </c>
    </row>
    <row r="2" spans="1:22" x14ac:dyDescent="0.2">
      <c r="A2" t="s">
        <v>45</v>
      </c>
    </row>
    <row r="3" spans="1:22" x14ac:dyDescent="0.2">
      <c r="A3" s="2" t="s">
        <v>41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22" ht="19" x14ac:dyDescent="0.25">
      <c r="A5" s="53" t="s">
        <v>38</v>
      </c>
      <c r="B5" s="54"/>
      <c r="C5" s="54"/>
      <c r="D5" s="54"/>
      <c r="E5" s="54"/>
      <c r="F5" s="54"/>
      <c r="G5" s="55"/>
    </row>
    <row r="6" spans="1:22" ht="16" x14ac:dyDescent="0.2">
      <c r="A6" s="50" t="s">
        <v>1</v>
      </c>
      <c r="B6" s="51"/>
      <c r="C6" s="51"/>
      <c r="D6" s="51"/>
      <c r="E6" s="51"/>
      <c r="F6" s="51"/>
      <c r="G6" s="52"/>
    </row>
    <row r="7" spans="1:22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22" x14ac:dyDescent="0.2">
      <c r="A8" s="14" t="s">
        <v>2</v>
      </c>
      <c r="B8" s="15">
        <v>80</v>
      </c>
      <c r="C8" s="16">
        <f>B8*400</f>
        <v>32000</v>
      </c>
      <c r="D8" s="15">
        <v>6</v>
      </c>
      <c r="E8" s="16">
        <f>C8*D8</f>
        <v>192000</v>
      </c>
      <c r="F8" s="17">
        <f>AVERAGE(E8:E10)</f>
        <v>200000</v>
      </c>
      <c r="G8" s="18">
        <f>_xlfn.STDEV.S(E8:E10)</f>
        <v>8428.5230022821906</v>
      </c>
      <c r="H8" s="1"/>
      <c r="I8" s="1"/>
      <c r="J8" s="1"/>
      <c r="K8" s="1"/>
      <c r="L8" s="1"/>
      <c r="M8" s="1"/>
      <c r="N8" s="1"/>
      <c r="O8" s="1"/>
    </row>
    <row r="9" spans="1:22" x14ac:dyDescent="0.2">
      <c r="A9" s="14" t="s">
        <v>3</v>
      </c>
      <c r="B9" s="15">
        <v>87</v>
      </c>
      <c r="C9" s="16">
        <f>B9*400</f>
        <v>34800</v>
      </c>
      <c r="D9" s="15">
        <v>6</v>
      </c>
      <c r="E9" s="16">
        <f>C9*D9</f>
        <v>208800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22" x14ac:dyDescent="0.2">
      <c r="A10" s="20" t="s">
        <v>4</v>
      </c>
      <c r="B10" s="21">
        <v>83</v>
      </c>
      <c r="C10" s="22">
        <f>B10*400</f>
        <v>33200</v>
      </c>
      <c r="D10" s="21">
        <v>6</v>
      </c>
      <c r="E10" s="22">
        <f>C10*D10</f>
        <v>199200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2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2" ht="19" x14ac:dyDescent="0.25">
      <c r="A12" s="53" t="s">
        <v>39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</row>
    <row r="13" spans="1:22" ht="16" x14ac:dyDescent="0.2">
      <c r="A13" s="50" t="s">
        <v>11</v>
      </c>
      <c r="B13" s="51"/>
      <c r="C13" s="51"/>
      <c r="D13" s="51"/>
      <c r="E13" s="51"/>
      <c r="F13" s="51"/>
      <c r="G13" s="52"/>
      <c r="H13" s="15"/>
      <c r="I13" s="56" t="s">
        <v>16</v>
      </c>
      <c r="J13" s="57"/>
      <c r="K13" s="57"/>
      <c r="L13" s="57"/>
      <c r="M13" s="57"/>
      <c r="N13" s="57"/>
      <c r="O13" s="58"/>
      <c r="P13" s="62" t="s">
        <v>31</v>
      </c>
      <c r="Q13" s="63"/>
      <c r="R13" s="63"/>
      <c r="S13" s="63"/>
      <c r="T13" s="63"/>
      <c r="U13" s="63"/>
      <c r="V13" s="64"/>
    </row>
    <row r="14" spans="1:22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  <c r="P14" s="10" t="s">
        <v>0</v>
      </c>
      <c r="Q14" s="11" t="s">
        <v>5</v>
      </c>
      <c r="R14" s="11" t="s">
        <v>6</v>
      </c>
      <c r="S14" s="11" t="s">
        <v>7</v>
      </c>
      <c r="T14" s="11" t="s">
        <v>8</v>
      </c>
      <c r="U14" s="12" t="s">
        <v>9</v>
      </c>
      <c r="V14" s="13" t="s">
        <v>10</v>
      </c>
    </row>
    <row r="15" spans="1:22" x14ac:dyDescent="0.2">
      <c r="A15" s="14" t="s">
        <v>2</v>
      </c>
      <c r="B15" s="15">
        <v>1472</v>
      </c>
      <c r="C15" s="16">
        <f>B15*400</f>
        <v>588800</v>
      </c>
      <c r="D15" s="15">
        <v>6</v>
      </c>
      <c r="E15" s="16">
        <f>C15*D15</f>
        <v>3532800</v>
      </c>
      <c r="F15" s="17">
        <f>AVERAGE(E15:E17)</f>
        <v>3626400</v>
      </c>
      <c r="G15" s="18">
        <f>_xlfn.STDEV.S(E15:E17)</f>
        <v>103032.42208159527</v>
      </c>
      <c r="H15" s="15"/>
      <c r="I15" s="14" t="s">
        <v>17</v>
      </c>
      <c r="J15" s="15">
        <v>195</v>
      </c>
      <c r="K15" s="16">
        <f>J15*400</f>
        <v>78000</v>
      </c>
      <c r="L15" s="15">
        <v>6</v>
      </c>
      <c r="M15" s="16">
        <f>K15*L15</f>
        <v>468000</v>
      </c>
      <c r="N15" s="17">
        <f>AVERAGE(M15:M17)</f>
        <v>390400</v>
      </c>
      <c r="O15" s="18">
        <f>_xlfn.STDEV.S(K15:K17)</f>
        <v>11705.269468633904</v>
      </c>
      <c r="P15" s="24" t="s">
        <v>32</v>
      </c>
      <c r="Q15" s="15">
        <v>793</v>
      </c>
      <c r="R15" s="16">
        <f>Q15*400</f>
        <v>317200</v>
      </c>
      <c r="S15" s="15">
        <v>6</v>
      </c>
      <c r="T15" s="16">
        <f>R15*S15</f>
        <v>1903200</v>
      </c>
      <c r="U15" s="25">
        <f>AVERAGE(T15:T17)</f>
        <v>1938400</v>
      </c>
      <c r="V15" s="18">
        <f>_xlfn.STDEV.S(R15:R17)</f>
        <v>5619.0153348547947</v>
      </c>
    </row>
    <row r="16" spans="1:22" x14ac:dyDescent="0.2">
      <c r="A16" s="14" t="s">
        <v>3</v>
      </c>
      <c r="B16" s="15">
        <v>1504</v>
      </c>
      <c r="C16" s="16">
        <f>B16*400</f>
        <v>601600</v>
      </c>
      <c r="D16" s="15">
        <v>6</v>
      </c>
      <c r="E16" s="16">
        <f>C16*D16</f>
        <v>3609600</v>
      </c>
      <c r="F16" s="16"/>
      <c r="G16" s="19"/>
      <c r="H16" s="15"/>
      <c r="I16" s="14" t="s">
        <v>18</v>
      </c>
      <c r="J16" s="15">
        <v>155</v>
      </c>
      <c r="K16" s="16">
        <f>J16*400</f>
        <v>62000</v>
      </c>
      <c r="L16" s="15">
        <v>6</v>
      </c>
      <c r="M16" s="16">
        <f>K16*L16</f>
        <v>372000</v>
      </c>
      <c r="N16" s="16"/>
      <c r="O16" s="19"/>
      <c r="P16" s="24" t="s">
        <v>33</v>
      </c>
      <c r="Q16" s="15">
        <v>809</v>
      </c>
      <c r="R16" s="16">
        <f>Q16*400</f>
        <v>323600</v>
      </c>
      <c r="S16" s="15">
        <v>6</v>
      </c>
      <c r="T16" s="16">
        <f>R16*S16</f>
        <v>1941600</v>
      </c>
      <c r="U16" s="16"/>
      <c r="V16" s="19"/>
    </row>
    <row r="17" spans="1:23" x14ac:dyDescent="0.2">
      <c r="A17" s="20" t="s">
        <v>4</v>
      </c>
      <c r="B17" s="21">
        <v>1557</v>
      </c>
      <c r="C17" s="22">
        <f>B17*400</f>
        <v>622800</v>
      </c>
      <c r="D17" s="21">
        <v>6</v>
      </c>
      <c r="E17" s="22">
        <f>C17*D17</f>
        <v>3736800</v>
      </c>
      <c r="F17" s="22"/>
      <c r="G17" s="23"/>
      <c r="H17" s="15"/>
      <c r="I17" s="20" t="s">
        <v>19</v>
      </c>
      <c r="J17" s="21">
        <v>138</v>
      </c>
      <c r="K17" s="22">
        <f>J17*400</f>
        <v>55200</v>
      </c>
      <c r="L17" s="21">
        <v>6</v>
      </c>
      <c r="M17" s="22">
        <f>K17*L17</f>
        <v>331200</v>
      </c>
      <c r="N17" s="22"/>
      <c r="O17" s="23"/>
      <c r="P17" s="27" t="s">
        <v>34</v>
      </c>
      <c r="Q17" s="21">
        <v>821</v>
      </c>
      <c r="R17" s="22">
        <f>Q17*400</f>
        <v>328400</v>
      </c>
      <c r="S17" s="21">
        <v>6</v>
      </c>
      <c r="T17" s="22">
        <f>R17*S17</f>
        <v>1970400</v>
      </c>
      <c r="U17" s="22"/>
      <c r="V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59" t="s">
        <v>12</v>
      </c>
      <c r="B19" s="60"/>
      <c r="C19" s="60"/>
      <c r="D19" s="60"/>
      <c r="E19" s="60"/>
      <c r="F19" s="60"/>
      <c r="G19" s="61"/>
      <c r="H19" s="7"/>
      <c r="I19" s="59" t="s">
        <v>15</v>
      </c>
      <c r="J19" s="60"/>
      <c r="K19" s="60"/>
      <c r="L19" s="60"/>
      <c r="M19" s="60"/>
      <c r="N19" s="60"/>
      <c r="O19" s="61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24" t="s">
        <v>28</v>
      </c>
      <c r="B21" s="15">
        <v>113</v>
      </c>
      <c r="C21" s="16">
        <f>B21*400</f>
        <v>45200</v>
      </c>
      <c r="D21" s="15">
        <v>6</v>
      </c>
      <c r="E21" s="16">
        <f>C21*D21</f>
        <v>271200</v>
      </c>
      <c r="F21" s="25">
        <f>AVERAGE(E21:E23)</f>
        <v>296800</v>
      </c>
      <c r="G21" s="18">
        <f>_xlfn.STDEV.S(E21:E23)</f>
        <v>46434.469954980639</v>
      </c>
      <c r="H21" s="7"/>
      <c r="I21" s="24" t="s">
        <v>20</v>
      </c>
      <c r="J21" s="15">
        <v>74</v>
      </c>
      <c r="K21" s="16">
        <f>J21*400</f>
        <v>29600</v>
      </c>
      <c r="L21" s="15">
        <v>6</v>
      </c>
      <c r="M21" s="16">
        <f>K21*L21</f>
        <v>177600</v>
      </c>
      <c r="N21" s="25">
        <f>AVERAGE(M21:M23)</f>
        <v>216800</v>
      </c>
      <c r="O21" s="18">
        <f>_xlfn.STDEV.S(M21:M23)</f>
        <v>39606.060142357004</v>
      </c>
    </row>
    <row r="22" spans="1:23" x14ac:dyDescent="0.2">
      <c r="A22" s="24" t="s">
        <v>29</v>
      </c>
      <c r="B22" s="15">
        <v>146</v>
      </c>
      <c r="C22" s="16">
        <f>B22*400</f>
        <v>58400</v>
      </c>
      <c r="D22" s="15">
        <v>6</v>
      </c>
      <c r="E22" s="16">
        <f>C22*D22</f>
        <v>350400</v>
      </c>
      <c r="F22" s="16"/>
      <c r="G22" s="19"/>
      <c r="H22" s="7"/>
      <c r="I22" s="24" t="s">
        <v>21</v>
      </c>
      <c r="J22" s="15">
        <v>107</v>
      </c>
      <c r="K22" s="16">
        <f>J22*400</f>
        <v>42800</v>
      </c>
      <c r="L22" s="15">
        <v>6</v>
      </c>
      <c r="M22" s="16">
        <f>K22*L22</f>
        <v>256800</v>
      </c>
      <c r="N22" s="16"/>
      <c r="O22" s="19"/>
    </row>
    <row r="23" spans="1:23" x14ac:dyDescent="0.2">
      <c r="A23" s="27" t="s">
        <v>30</v>
      </c>
      <c r="B23" s="21">
        <v>112</v>
      </c>
      <c r="C23" s="22">
        <f>B23*400</f>
        <v>44800</v>
      </c>
      <c r="D23" s="21">
        <v>6</v>
      </c>
      <c r="E23" s="22">
        <f>C23*D23</f>
        <v>268800</v>
      </c>
      <c r="F23" s="22"/>
      <c r="G23" s="23"/>
      <c r="H23" s="8"/>
      <c r="I23" s="27" t="s">
        <v>22</v>
      </c>
      <c r="J23" s="21">
        <v>90</v>
      </c>
      <c r="K23" s="22">
        <f>J23*400</f>
        <v>36000</v>
      </c>
      <c r="L23" s="21">
        <v>6</v>
      </c>
      <c r="M23" s="22">
        <f>K23*L23</f>
        <v>216000</v>
      </c>
      <c r="N23" s="22"/>
      <c r="O23" s="23"/>
    </row>
    <row r="26" spans="1:23" ht="19" x14ac:dyDescent="0.25">
      <c r="A26" s="53" t="s">
        <v>42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</row>
    <row r="27" spans="1:23" ht="16" x14ac:dyDescent="0.2">
      <c r="A27" s="50" t="s">
        <v>11</v>
      </c>
      <c r="B27" s="51"/>
      <c r="C27" s="51"/>
      <c r="D27" s="51"/>
      <c r="E27" s="51"/>
      <c r="F27" s="51"/>
      <c r="G27" s="52"/>
      <c r="H27" s="15"/>
      <c r="I27" s="56" t="s">
        <v>16</v>
      </c>
      <c r="J27" s="57"/>
      <c r="K27" s="57"/>
      <c r="L27" s="57"/>
      <c r="M27" s="57"/>
      <c r="N27" s="57"/>
      <c r="O27" s="58"/>
      <c r="P27" s="62" t="s">
        <v>31</v>
      </c>
      <c r="Q27" s="63"/>
      <c r="R27" s="63"/>
      <c r="S27" s="63"/>
      <c r="T27" s="63"/>
      <c r="U27" s="63"/>
      <c r="V27" s="64"/>
    </row>
    <row r="28" spans="1:23" ht="32" x14ac:dyDescent="0.2">
      <c r="A28" s="4" t="s">
        <v>0</v>
      </c>
      <c r="B28" s="5" t="s">
        <v>5</v>
      </c>
      <c r="C28" s="5" t="s">
        <v>6</v>
      </c>
      <c r="D28" s="5" t="s">
        <v>7</v>
      </c>
      <c r="E28" s="5" t="s">
        <v>8</v>
      </c>
      <c r="F28" s="9" t="s">
        <v>9</v>
      </c>
      <c r="G28" s="6" t="s">
        <v>10</v>
      </c>
      <c r="H28" s="15"/>
      <c r="I28" s="10" t="s">
        <v>0</v>
      </c>
      <c r="J28" s="11" t="s">
        <v>5</v>
      </c>
      <c r="K28" s="11" t="s">
        <v>6</v>
      </c>
      <c r="L28" s="11" t="s">
        <v>7</v>
      </c>
      <c r="M28" s="11" t="s">
        <v>8</v>
      </c>
      <c r="N28" s="12" t="s">
        <v>9</v>
      </c>
      <c r="O28" s="13" t="s">
        <v>10</v>
      </c>
      <c r="P28" s="10" t="s">
        <v>0</v>
      </c>
      <c r="Q28" s="11" t="s">
        <v>5</v>
      </c>
      <c r="R28" s="11" t="s">
        <v>6</v>
      </c>
      <c r="S28" s="11" t="s">
        <v>7</v>
      </c>
      <c r="T28" s="11" t="s">
        <v>8</v>
      </c>
      <c r="U28" s="12" t="s">
        <v>9</v>
      </c>
      <c r="V28" s="13" t="s">
        <v>10</v>
      </c>
    </row>
    <row r="29" spans="1:23" x14ac:dyDescent="0.2">
      <c r="A29" s="14" t="s">
        <v>2</v>
      </c>
      <c r="B29" s="15">
        <v>3171</v>
      </c>
      <c r="C29" s="16">
        <f>B29*400</f>
        <v>1268400</v>
      </c>
      <c r="D29" s="15">
        <v>6</v>
      </c>
      <c r="E29" s="16">
        <f>C29*D29</f>
        <v>7610400</v>
      </c>
      <c r="F29" s="17">
        <f>AVERAGE(E29:E31)</f>
        <v>7548800</v>
      </c>
      <c r="G29" s="18">
        <f>_xlfn.STDEV.S(E29:E31)</f>
        <v>391253.98400527501</v>
      </c>
      <c r="H29" s="15"/>
      <c r="I29" s="14" t="s">
        <v>17</v>
      </c>
      <c r="J29" s="15">
        <v>150</v>
      </c>
      <c r="K29" s="16">
        <f>J29*400</f>
        <v>60000</v>
      </c>
      <c r="L29" s="15">
        <v>6</v>
      </c>
      <c r="M29" s="16">
        <f>K29*L29</f>
        <v>360000</v>
      </c>
      <c r="N29" s="17">
        <f>AVERAGE(M29:M31)</f>
        <v>324800</v>
      </c>
      <c r="O29" s="18">
        <f>_xlfn.STDEV.S(K29:K31)</f>
        <v>6004.4427995721071</v>
      </c>
      <c r="P29" s="24" t="s">
        <v>32</v>
      </c>
      <c r="Q29" s="15">
        <v>667</v>
      </c>
      <c r="R29" s="16">
        <f>Q29*400</f>
        <v>266800</v>
      </c>
      <c r="S29" s="15">
        <v>6</v>
      </c>
      <c r="T29" s="16">
        <f>R29*S29</f>
        <v>1600800</v>
      </c>
      <c r="U29" s="25">
        <f>AVERAGE(T29:T31)</f>
        <v>1504000</v>
      </c>
      <c r="V29" s="18">
        <f>_xlfn.STDEV.S(R29:R31)</f>
        <v>14479.410669406865</v>
      </c>
    </row>
    <row r="30" spans="1:23" x14ac:dyDescent="0.2">
      <c r="A30" s="14" t="s">
        <v>3</v>
      </c>
      <c r="B30" s="15">
        <v>2971</v>
      </c>
      <c r="C30" s="16">
        <f>B30*400</f>
        <v>1188400</v>
      </c>
      <c r="D30" s="15">
        <v>6</v>
      </c>
      <c r="E30" s="16">
        <f>C30*D30</f>
        <v>7130400</v>
      </c>
      <c r="F30" s="16"/>
      <c r="G30" s="19"/>
      <c r="H30" s="15"/>
      <c r="I30" s="14" t="s">
        <v>18</v>
      </c>
      <c r="J30" s="15">
        <v>136</v>
      </c>
      <c r="K30" s="16">
        <f>J30*400</f>
        <v>54400</v>
      </c>
      <c r="L30" s="15">
        <v>6</v>
      </c>
      <c r="M30" s="16">
        <f>K30*L30</f>
        <v>326400</v>
      </c>
      <c r="N30" s="16"/>
      <c r="O30" s="19"/>
      <c r="P30" s="24" t="s">
        <v>33</v>
      </c>
      <c r="Q30" s="15">
        <v>597</v>
      </c>
      <c r="R30" s="16">
        <f>Q30*400</f>
        <v>238800</v>
      </c>
      <c r="S30" s="15">
        <v>6</v>
      </c>
      <c r="T30" s="16">
        <f>R30*S30</f>
        <v>1432800</v>
      </c>
      <c r="U30" s="16"/>
      <c r="V30" s="19"/>
    </row>
    <row r="31" spans="1:23" x14ac:dyDescent="0.2">
      <c r="A31" s="20" t="s">
        <v>4</v>
      </c>
      <c r="B31" s="21">
        <v>3294</v>
      </c>
      <c r="C31" s="22">
        <f>B31*400</f>
        <v>1317600</v>
      </c>
      <c r="D31" s="21">
        <v>6</v>
      </c>
      <c r="E31" s="22">
        <f>C31*D31</f>
        <v>7905600</v>
      </c>
      <c r="F31" s="22"/>
      <c r="G31" s="23"/>
      <c r="H31" s="15"/>
      <c r="I31" s="20" t="s">
        <v>19</v>
      </c>
      <c r="J31" s="21">
        <v>120</v>
      </c>
      <c r="K31" s="22">
        <f>J31*400</f>
        <v>48000</v>
      </c>
      <c r="L31" s="21">
        <v>6</v>
      </c>
      <c r="M31" s="22">
        <f>K31*L31</f>
        <v>288000</v>
      </c>
      <c r="N31" s="22"/>
      <c r="O31" s="23"/>
      <c r="P31" s="27" t="s">
        <v>34</v>
      </c>
      <c r="Q31" s="21">
        <v>616</v>
      </c>
      <c r="R31" s="22">
        <f>Q31*400</f>
        <v>246400</v>
      </c>
      <c r="S31" s="21">
        <v>6</v>
      </c>
      <c r="T31" s="22">
        <f>R31*S31</f>
        <v>1478400</v>
      </c>
      <c r="U31" s="22"/>
      <c r="V31" s="23"/>
    </row>
    <row r="32" spans="1:23" x14ac:dyDescent="0.2">
      <c r="A32" s="14"/>
      <c r="B32" s="15"/>
      <c r="C32" s="16"/>
      <c r="D32" s="15"/>
      <c r="E32" s="16"/>
      <c r="F32" s="16"/>
      <c r="G32" s="16"/>
      <c r="H32" s="15"/>
      <c r="I32" s="26"/>
      <c r="J32" s="15"/>
      <c r="K32" s="16"/>
      <c r="L32" s="15"/>
      <c r="M32" s="16"/>
      <c r="N32" s="16"/>
      <c r="O32" s="19"/>
    </row>
    <row r="33" spans="1:22" ht="16" x14ac:dyDescent="0.2">
      <c r="A33" s="59" t="s">
        <v>12</v>
      </c>
      <c r="B33" s="60"/>
      <c r="C33" s="60"/>
      <c r="D33" s="60"/>
      <c r="E33" s="60"/>
      <c r="F33" s="60"/>
      <c r="G33" s="61"/>
      <c r="H33" s="7"/>
      <c r="I33" s="59" t="s">
        <v>15</v>
      </c>
      <c r="J33" s="60"/>
      <c r="K33" s="60"/>
      <c r="L33" s="60"/>
      <c r="M33" s="60"/>
      <c r="N33" s="60"/>
      <c r="O33" s="61"/>
    </row>
    <row r="34" spans="1:22" ht="32" x14ac:dyDescent="0.2">
      <c r="A34" s="10" t="s">
        <v>0</v>
      </c>
      <c r="B34" s="11" t="s">
        <v>5</v>
      </c>
      <c r="C34" s="11" t="s">
        <v>6</v>
      </c>
      <c r="D34" s="11" t="s">
        <v>7</v>
      </c>
      <c r="E34" s="11" t="s">
        <v>8</v>
      </c>
      <c r="F34" s="12" t="s">
        <v>9</v>
      </c>
      <c r="G34" s="13" t="s">
        <v>10</v>
      </c>
      <c r="H34" s="7"/>
      <c r="I34" s="10" t="s">
        <v>0</v>
      </c>
      <c r="J34" s="11" t="s">
        <v>5</v>
      </c>
      <c r="K34" s="11" t="s">
        <v>6</v>
      </c>
      <c r="L34" s="11" t="s">
        <v>7</v>
      </c>
      <c r="M34" s="11" t="s">
        <v>8</v>
      </c>
      <c r="N34" s="12" t="s">
        <v>9</v>
      </c>
      <c r="O34" s="13" t="s">
        <v>10</v>
      </c>
    </row>
    <row r="35" spans="1:22" x14ac:dyDescent="0.2">
      <c r="A35" s="24" t="s">
        <v>28</v>
      </c>
      <c r="B35" s="15">
        <v>119</v>
      </c>
      <c r="C35" s="16">
        <f>B35*400</f>
        <v>47600</v>
      </c>
      <c r="D35" s="15">
        <v>6</v>
      </c>
      <c r="E35" s="16">
        <f>C35*D35</f>
        <v>285600</v>
      </c>
      <c r="F35" s="25">
        <f>AVERAGE(E35:E37)</f>
        <v>247200</v>
      </c>
      <c r="G35" s="18">
        <f>_xlfn.STDEV.S(E35:E37)</f>
        <v>34613.2922444543</v>
      </c>
      <c r="H35" s="7"/>
      <c r="I35" s="24" t="s">
        <v>20</v>
      </c>
      <c r="J35" s="15">
        <v>90</v>
      </c>
      <c r="K35" s="16">
        <f>J35*400</f>
        <v>36000</v>
      </c>
      <c r="L35" s="15">
        <v>6</v>
      </c>
      <c r="M35" s="16">
        <f>K35*L35</f>
        <v>216000</v>
      </c>
      <c r="N35" s="25">
        <f>AVERAGE(M35:M37)</f>
        <v>213600</v>
      </c>
      <c r="O35" s="18">
        <f>_xlfn.STDEV.S(M35:M37)</f>
        <v>4156.9219381653056</v>
      </c>
    </row>
    <row r="36" spans="1:22" x14ac:dyDescent="0.2">
      <c r="A36" s="24" t="s">
        <v>29</v>
      </c>
      <c r="B36" s="15">
        <v>91</v>
      </c>
      <c r="C36" s="16">
        <f>B36*400</f>
        <v>36400</v>
      </c>
      <c r="D36" s="15">
        <v>6</v>
      </c>
      <c r="E36" s="16">
        <f>C36*D36</f>
        <v>218400</v>
      </c>
      <c r="F36" s="16"/>
      <c r="G36" s="19"/>
      <c r="H36" s="7"/>
      <c r="I36" s="24" t="s">
        <v>21</v>
      </c>
      <c r="J36" s="15">
        <v>87</v>
      </c>
      <c r="K36" s="16">
        <f>J36*400</f>
        <v>34800</v>
      </c>
      <c r="L36" s="15">
        <v>6</v>
      </c>
      <c r="M36" s="16">
        <f>K36*L36</f>
        <v>208800</v>
      </c>
      <c r="N36" s="16"/>
      <c r="O36" s="19"/>
    </row>
    <row r="37" spans="1:22" x14ac:dyDescent="0.2">
      <c r="A37" s="27" t="s">
        <v>30</v>
      </c>
      <c r="B37" s="21">
        <v>99</v>
      </c>
      <c r="C37" s="22">
        <f>B37*400</f>
        <v>39600</v>
      </c>
      <c r="D37" s="21">
        <v>6</v>
      </c>
      <c r="E37" s="22">
        <f>C37*D37</f>
        <v>237600</v>
      </c>
      <c r="F37" s="22"/>
      <c r="G37" s="23"/>
      <c r="H37" s="8"/>
      <c r="I37" s="27" t="s">
        <v>22</v>
      </c>
      <c r="J37" s="21">
        <v>90</v>
      </c>
      <c r="K37" s="22">
        <f>J37*400</f>
        <v>36000</v>
      </c>
      <c r="L37" s="21">
        <v>6</v>
      </c>
      <c r="M37" s="22">
        <f>K37*L37</f>
        <v>216000</v>
      </c>
      <c r="N37" s="22"/>
      <c r="O37" s="23"/>
    </row>
    <row r="40" spans="1:22" ht="19" x14ac:dyDescent="0.25">
      <c r="A40" s="53" t="s">
        <v>40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</row>
    <row r="41" spans="1:22" ht="16" x14ac:dyDescent="0.2">
      <c r="A41" s="50" t="s">
        <v>11</v>
      </c>
      <c r="B41" s="51"/>
      <c r="C41" s="51"/>
      <c r="D41" s="51"/>
      <c r="E41" s="51"/>
      <c r="F41" s="51"/>
      <c r="G41" s="52"/>
      <c r="H41" s="15"/>
      <c r="I41" s="56" t="s">
        <v>16</v>
      </c>
      <c r="J41" s="57"/>
      <c r="K41" s="57"/>
      <c r="L41" s="57"/>
      <c r="M41" s="57"/>
      <c r="N41" s="57"/>
      <c r="O41" s="58"/>
      <c r="P41" s="62" t="s">
        <v>31</v>
      </c>
      <c r="Q41" s="63"/>
      <c r="R41" s="63"/>
      <c r="S41" s="63"/>
      <c r="T41" s="63"/>
      <c r="U41" s="63"/>
      <c r="V41" s="64"/>
    </row>
    <row r="42" spans="1:22" ht="32" x14ac:dyDescent="0.2">
      <c r="A42" s="4" t="s">
        <v>0</v>
      </c>
      <c r="B42" s="5" t="s">
        <v>5</v>
      </c>
      <c r="C42" s="5" t="s">
        <v>6</v>
      </c>
      <c r="D42" s="5" t="s">
        <v>7</v>
      </c>
      <c r="E42" s="5" t="s">
        <v>8</v>
      </c>
      <c r="F42" s="9" t="s">
        <v>9</v>
      </c>
      <c r="G42" s="6" t="s">
        <v>10</v>
      </c>
      <c r="H42" s="15"/>
      <c r="I42" s="10" t="s">
        <v>0</v>
      </c>
      <c r="J42" s="11" t="s">
        <v>5</v>
      </c>
      <c r="K42" s="11" t="s">
        <v>6</v>
      </c>
      <c r="L42" s="11" t="s">
        <v>7</v>
      </c>
      <c r="M42" s="11" t="s">
        <v>8</v>
      </c>
      <c r="N42" s="12" t="s">
        <v>9</v>
      </c>
      <c r="O42" s="13" t="s">
        <v>10</v>
      </c>
      <c r="P42" s="10" t="s">
        <v>0</v>
      </c>
      <c r="Q42" s="11" t="s">
        <v>5</v>
      </c>
      <c r="R42" s="11" t="s">
        <v>6</v>
      </c>
      <c r="S42" s="11" t="s">
        <v>7</v>
      </c>
      <c r="T42" s="11" t="s">
        <v>8</v>
      </c>
      <c r="U42" s="12" t="s">
        <v>9</v>
      </c>
      <c r="V42" s="13" t="s">
        <v>10</v>
      </c>
    </row>
    <row r="43" spans="1:22" x14ac:dyDescent="0.2">
      <c r="A43" s="14" t="s">
        <v>2</v>
      </c>
      <c r="B43" s="15">
        <v>6773</v>
      </c>
      <c r="C43" s="16">
        <f>B43*400</f>
        <v>2709200</v>
      </c>
      <c r="D43" s="15">
        <v>6</v>
      </c>
      <c r="E43" s="16">
        <f>C43*D43</f>
        <v>16255200</v>
      </c>
      <c r="F43" s="17">
        <f>AVERAGE(E43:E45)</f>
        <v>16537600</v>
      </c>
      <c r="G43" s="18">
        <f>_xlfn.STDEV.S(E43:E45)</f>
        <v>466454.88527830853</v>
      </c>
      <c r="H43" s="15"/>
      <c r="I43" s="14" t="s">
        <v>17</v>
      </c>
      <c r="J43" s="15">
        <v>98</v>
      </c>
      <c r="K43" s="16">
        <f>J43*400</f>
        <v>39200</v>
      </c>
      <c r="L43" s="15">
        <v>6</v>
      </c>
      <c r="M43" s="16">
        <f>K43*L43</f>
        <v>235200</v>
      </c>
      <c r="N43" s="17">
        <f>AVERAGE(M43:M45)</f>
        <v>262400</v>
      </c>
      <c r="O43" s="18">
        <f>_xlfn.STDEV.S(K43:K45)</f>
        <v>5604.7598818623346</v>
      </c>
      <c r="P43" s="24" t="s">
        <v>32</v>
      </c>
      <c r="Q43" s="15">
        <v>664</v>
      </c>
      <c r="R43" s="16">
        <f>Q43*400</f>
        <v>265600</v>
      </c>
      <c r="S43" s="15">
        <v>6</v>
      </c>
      <c r="T43" s="16">
        <f>R43*S43</f>
        <v>1593600</v>
      </c>
      <c r="U43" s="25">
        <f>AVERAGE(T43:T45)</f>
        <v>1549600</v>
      </c>
      <c r="V43" s="18">
        <f>_xlfn.STDEV.S(R43:R45)</f>
        <v>9451.6312525052163</v>
      </c>
    </row>
    <row r="44" spans="1:22" x14ac:dyDescent="0.2">
      <c r="A44" s="14" t="s">
        <v>3</v>
      </c>
      <c r="B44" s="15">
        <v>6784</v>
      </c>
      <c r="C44" s="16">
        <f>B44*400</f>
        <v>2713600</v>
      </c>
      <c r="D44" s="15">
        <v>6</v>
      </c>
      <c r="E44" s="16">
        <f>C44*D44</f>
        <v>16281600</v>
      </c>
      <c r="F44" s="16"/>
      <c r="G44" s="19"/>
      <c r="H44" s="15"/>
      <c r="I44" s="14" t="s">
        <v>18</v>
      </c>
      <c r="J44" s="15">
        <v>105</v>
      </c>
      <c r="K44" s="16">
        <f>J44*400</f>
        <v>42000</v>
      </c>
      <c r="L44" s="15">
        <v>6</v>
      </c>
      <c r="M44" s="16">
        <f>K44*L44</f>
        <v>252000</v>
      </c>
      <c r="N44" s="16"/>
      <c r="O44" s="19"/>
      <c r="P44" s="24" t="s">
        <v>33</v>
      </c>
      <c r="Q44" s="15">
        <v>654</v>
      </c>
      <c r="R44" s="16">
        <f>Q44*400</f>
        <v>261600</v>
      </c>
      <c r="S44" s="15">
        <v>6</v>
      </c>
      <c r="T44" s="16">
        <f>R44*S44</f>
        <v>1569600</v>
      </c>
      <c r="U44" s="16"/>
      <c r="V44" s="19"/>
    </row>
    <row r="45" spans="1:22" x14ac:dyDescent="0.2">
      <c r="A45" s="20" t="s">
        <v>4</v>
      </c>
      <c r="B45" s="21">
        <v>7115</v>
      </c>
      <c r="C45" s="22">
        <f>B45*400</f>
        <v>2846000</v>
      </c>
      <c r="D45" s="21">
        <v>6</v>
      </c>
      <c r="E45" s="22">
        <f>C45*D45</f>
        <v>17076000</v>
      </c>
      <c r="F45" s="22"/>
      <c r="G45" s="23"/>
      <c r="H45" s="15"/>
      <c r="I45" s="20" t="s">
        <v>19</v>
      </c>
      <c r="J45" s="21">
        <v>125</v>
      </c>
      <c r="K45" s="22">
        <f>J45*400</f>
        <v>50000</v>
      </c>
      <c r="L45" s="21">
        <v>6</v>
      </c>
      <c r="M45" s="22">
        <f>K45*L45</f>
        <v>300000</v>
      </c>
      <c r="N45" s="22"/>
      <c r="O45" s="23"/>
      <c r="P45" s="27" t="s">
        <v>34</v>
      </c>
      <c r="Q45" s="21">
        <v>619</v>
      </c>
      <c r="R45" s="22">
        <f>Q45*400</f>
        <v>247600</v>
      </c>
      <c r="S45" s="21">
        <v>6</v>
      </c>
      <c r="T45" s="22">
        <f>R45*S45</f>
        <v>1485600</v>
      </c>
      <c r="U45" s="22"/>
      <c r="V45" s="23"/>
    </row>
    <row r="46" spans="1:22" x14ac:dyDescent="0.2">
      <c r="A46" s="14"/>
      <c r="B46" s="15"/>
      <c r="C46" s="16"/>
      <c r="D46" s="15"/>
      <c r="E46" s="16"/>
      <c r="F46" s="16"/>
      <c r="G46" s="16"/>
      <c r="H46" s="15"/>
      <c r="I46" s="26"/>
      <c r="J46" s="15"/>
      <c r="K46" s="16"/>
      <c r="L46" s="15"/>
      <c r="M46" s="16"/>
      <c r="N46" s="16"/>
      <c r="O46" s="19"/>
    </row>
    <row r="47" spans="1:22" ht="16" x14ac:dyDescent="0.2">
      <c r="A47" s="59" t="s">
        <v>12</v>
      </c>
      <c r="B47" s="60"/>
      <c r="C47" s="60"/>
      <c r="D47" s="60"/>
      <c r="E47" s="60"/>
      <c r="F47" s="60"/>
      <c r="G47" s="61"/>
      <c r="H47" s="7"/>
      <c r="I47" s="59" t="s">
        <v>15</v>
      </c>
      <c r="J47" s="60"/>
      <c r="K47" s="60"/>
      <c r="L47" s="60"/>
      <c r="M47" s="60"/>
      <c r="N47" s="60"/>
      <c r="O47" s="61"/>
    </row>
    <row r="48" spans="1:22" ht="32" x14ac:dyDescent="0.2">
      <c r="A48" s="10" t="s">
        <v>0</v>
      </c>
      <c r="B48" s="11" t="s">
        <v>5</v>
      </c>
      <c r="C48" s="11" t="s">
        <v>6</v>
      </c>
      <c r="D48" s="11" t="s">
        <v>7</v>
      </c>
      <c r="E48" s="11" t="s">
        <v>8</v>
      </c>
      <c r="F48" s="12" t="s">
        <v>9</v>
      </c>
      <c r="G48" s="13" t="s">
        <v>10</v>
      </c>
      <c r="H48" s="7"/>
      <c r="I48" s="10" t="s">
        <v>0</v>
      </c>
      <c r="J48" s="11" t="s">
        <v>5</v>
      </c>
      <c r="K48" s="11" t="s">
        <v>6</v>
      </c>
      <c r="L48" s="11" t="s">
        <v>7</v>
      </c>
      <c r="M48" s="11" t="s">
        <v>8</v>
      </c>
      <c r="N48" s="12" t="s">
        <v>9</v>
      </c>
      <c r="O48" s="13" t="s">
        <v>10</v>
      </c>
    </row>
    <row r="49" spans="1:15" x14ac:dyDescent="0.2">
      <c r="A49" s="24" t="s">
        <v>28</v>
      </c>
      <c r="B49" s="15">
        <v>101</v>
      </c>
      <c r="C49" s="16">
        <f>B49*400</f>
        <v>40400</v>
      </c>
      <c r="D49" s="15">
        <v>6</v>
      </c>
      <c r="E49" s="16">
        <f>C49*D49</f>
        <v>242400</v>
      </c>
      <c r="F49" s="25">
        <f>AVERAGE(E49:E51)</f>
        <v>230400</v>
      </c>
      <c r="G49" s="18">
        <f>_xlfn.STDEV.S(E49:E51)</f>
        <v>14987.995196156156</v>
      </c>
      <c r="H49" s="7"/>
      <c r="I49" s="24" t="s">
        <v>20</v>
      </c>
      <c r="J49" s="15">
        <v>66</v>
      </c>
      <c r="K49" s="16">
        <f>J49*400</f>
        <v>26400</v>
      </c>
      <c r="L49" s="15">
        <v>6</v>
      </c>
      <c r="M49" s="16">
        <f>K49*L49</f>
        <v>158400</v>
      </c>
      <c r="N49" s="25">
        <f>AVERAGE(M49:M51)</f>
        <v>156800</v>
      </c>
      <c r="O49" s="18">
        <f>_xlfn.STDEV.S(M49:M51)</f>
        <v>19249.935064825542</v>
      </c>
    </row>
    <row r="50" spans="1:15" x14ac:dyDescent="0.2">
      <c r="A50" s="24" t="s">
        <v>29</v>
      </c>
      <c r="B50" s="15">
        <v>98</v>
      </c>
      <c r="C50" s="16">
        <f>B50*400</f>
        <v>39200</v>
      </c>
      <c r="D50" s="15">
        <v>6</v>
      </c>
      <c r="E50" s="16">
        <f>C50*D50</f>
        <v>235200</v>
      </c>
      <c r="F50" s="16"/>
      <c r="G50" s="19"/>
      <c r="H50" s="7"/>
      <c r="I50" s="24" t="s">
        <v>21</v>
      </c>
      <c r="J50" s="15">
        <v>57</v>
      </c>
      <c r="K50" s="16">
        <f>J50*400</f>
        <v>22800</v>
      </c>
      <c r="L50" s="15">
        <v>6</v>
      </c>
      <c r="M50" s="16">
        <f>K50*L50</f>
        <v>136800</v>
      </c>
      <c r="N50" s="16"/>
      <c r="O50" s="19"/>
    </row>
    <row r="51" spans="1:15" x14ac:dyDescent="0.2">
      <c r="A51" s="27" t="s">
        <v>30</v>
      </c>
      <c r="B51" s="21">
        <v>89</v>
      </c>
      <c r="C51" s="22">
        <f>B51*400</f>
        <v>35600</v>
      </c>
      <c r="D51" s="21">
        <v>6</v>
      </c>
      <c r="E51" s="22">
        <f>C51*D51</f>
        <v>213600</v>
      </c>
      <c r="F51" s="22"/>
      <c r="G51" s="23"/>
      <c r="H51" s="8"/>
      <c r="I51" s="27" t="s">
        <v>22</v>
      </c>
      <c r="J51" s="21">
        <v>73</v>
      </c>
      <c r="K51" s="22">
        <f>J51*400</f>
        <v>29200</v>
      </c>
      <c r="L51" s="21">
        <v>6</v>
      </c>
      <c r="M51" s="22">
        <f>K51*L51</f>
        <v>175200</v>
      </c>
      <c r="N51" s="22"/>
      <c r="O51" s="23"/>
    </row>
    <row r="54" spans="1:15" x14ac:dyDescent="0.2">
      <c r="A54" s="28" t="s">
        <v>13</v>
      </c>
    </row>
    <row r="55" spans="1:15" x14ac:dyDescent="0.2">
      <c r="A55" s="28"/>
      <c r="B55" t="s">
        <v>51</v>
      </c>
      <c r="C55" t="s">
        <v>52</v>
      </c>
      <c r="D55" t="s">
        <v>53</v>
      </c>
      <c r="F55" t="s">
        <v>54</v>
      </c>
      <c r="G55" s="17">
        <v>200000</v>
      </c>
      <c r="H55" s="18"/>
    </row>
    <row r="56" spans="1:15" x14ac:dyDescent="0.2">
      <c r="A56" s="34" t="s">
        <v>11</v>
      </c>
      <c r="B56" s="36">
        <v>3626400</v>
      </c>
      <c r="C56" s="35">
        <v>7548800</v>
      </c>
      <c r="D56" s="35">
        <v>16537600</v>
      </c>
      <c r="E56" s="7"/>
      <c r="F56" s="7"/>
    </row>
    <row r="57" spans="1:15" x14ac:dyDescent="0.2">
      <c r="A57" s="30" t="s">
        <v>12</v>
      </c>
      <c r="B57" s="37">
        <v>296800</v>
      </c>
      <c r="C57" s="37">
        <v>247200</v>
      </c>
      <c r="D57" s="37">
        <v>230400</v>
      </c>
      <c r="E57" s="25"/>
      <c r="F57" s="31"/>
      <c r="H57" s="17"/>
    </row>
    <row r="58" spans="1:15" x14ac:dyDescent="0.2">
      <c r="A58" s="34" t="s">
        <v>16</v>
      </c>
      <c r="B58" s="36">
        <v>390400</v>
      </c>
      <c r="C58" s="36">
        <v>324800</v>
      </c>
      <c r="D58" s="36">
        <v>262400</v>
      </c>
      <c r="E58" s="25"/>
      <c r="F58" s="31"/>
    </row>
    <row r="59" spans="1:15" x14ac:dyDescent="0.2">
      <c r="A59" s="29" t="s">
        <v>15</v>
      </c>
      <c r="B59" s="37">
        <v>216800</v>
      </c>
      <c r="C59" s="37">
        <v>213600</v>
      </c>
      <c r="D59" s="37">
        <v>156800</v>
      </c>
      <c r="E59" s="25"/>
      <c r="F59" s="31"/>
    </row>
    <row r="60" spans="1:15" x14ac:dyDescent="0.2">
      <c r="A60" s="30" t="s">
        <v>31</v>
      </c>
      <c r="B60" s="37">
        <v>1938400</v>
      </c>
      <c r="C60" s="37">
        <v>1504000</v>
      </c>
      <c r="D60" s="37">
        <v>1549600</v>
      </c>
      <c r="E60" s="32"/>
      <c r="F60" s="7"/>
    </row>
    <row r="61" spans="1:15" x14ac:dyDescent="0.2">
      <c r="C61" s="7"/>
      <c r="D61" s="7"/>
      <c r="E61" s="7"/>
      <c r="F61" s="7"/>
    </row>
    <row r="62" spans="1:15" x14ac:dyDescent="0.2">
      <c r="A62" s="65" t="s">
        <v>55</v>
      </c>
      <c r="B62" s="65"/>
      <c r="C62" s="30"/>
    </row>
    <row r="63" spans="1:15" x14ac:dyDescent="0.2">
      <c r="A63" s="28"/>
      <c r="B63" t="s">
        <v>51</v>
      </c>
      <c r="C63" t="s">
        <v>52</v>
      </c>
      <c r="D63" t="s">
        <v>53</v>
      </c>
      <c r="E63" s="7"/>
    </row>
    <row r="64" spans="1:15" x14ac:dyDescent="0.2">
      <c r="A64" s="28" t="s">
        <v>54</v>
      </c>
      <c r="B64">
        <v>1</v>
      </c>
      <c r="E64" s="7"/>
    </row>
    <row r="65" spans="1:9" x14ac:dyDescent="0.2">
      <c r="A65" s="34" t="s">
        <v>11</v>
      </c>
      <c r="B65" s="69">
        <f>B56/G$55</f>
        <v>18.132000000000001</v>
      </c>
      <c r="C65" s="70">
        <f>C56/G$55</f>
        <v>37.744</v>
      </c>
      <c r="D65" s="70">
        <f>D56/G$55</f>
        <v>82.688000000000002</v>
      </c>
      <c r="E65" s="33"/>
    </row>
    <row r="66" spans="1:9" x14ac:dyDescent="0.2">
      <c r="A66" s="30" t="s">
        <v>12</v>
      </c>
      <c r="B66" s="71">
        <f>B57/G$55</f>
        <v>1.484</v>
      </c>
      <c r="C66" s="72">
        <f>C57/G$55</f>
        <v>1.236</v>
      </c>
      <c r="D66" s="72">
        <f>D57/G$55</f>
        <v>1.1519999999999999</v>
      </c>
      <c r="E66" s="33"/>
    </row>
    <row r="67" spans="1:9" x14ac:dyDescent="0.2">
      <c r="A67" s="34" t="s">
        <v>16</v>
      </c>
      <c r="B67" s="69">
        <f>B58/G$55</f>
        <v>1.952</v>
      </c>
      <c r="C67" s="70">
        <f>C58/G$55</f>
        <v>1.6240000000000001</v>
      </c>
      <c r="D67" s="70">
        <f>D58/G$55</f>
        <v>1.3120000000000001</v>
      </c>
      <c r="E67" s="33"/>
    </row>
    <row r="68" spans="1:9" x14ac:dyDescent="0.2">
      <c r="A68" s="29" t="s">
        <v>15</v>
      </c>
      <c r="B68" s="71">
        <f>B59/G$55</f>
        <v>1.0840000000000001</v>
      </c>
      <c r="C68" s="72">
        <f>C59/G$55</f>
        <v>1.0680000000000001</v>
      </c>
      <c r="D68" s="72">
        <f>D59/G$55</f>
        <v>0.78400000000000003</v>
      </c>
      <c r="E68" s="33"/>
    </row>
    <row r="69" spans="1:9" x14ac:dyDescent="0.2">
      <c r="A69" s="30" t="s">
        <v>31</v>
      </c>
      <c r="B69" s="71">
        <f>B60/G$55</f>
        <v>9.6920000000000002</v>
      </c>
      <c r="C69" s="72">
        <f>C60/G$55</f>
        <v>7.52</v>
      </c>
      <c r="D69" s="72">
        <f>D60/G$55</f>
        <v>7.7480000000000002</v>
      </c>
    </row>
    <row r="70" spans="1:9" x14ac:dyDescent="0.2">
      <c r="C70" s="7"/>
      <c r="D70" s="7"/>
      <c r="H70" s="7"/>
      <c r="I70" s="7"/>
    </row>
    <row r="71" spans="1:9" x14ac:dyDescent="0.2">
      <c r="A71" s="29"/>
      <c r="B71" s="17"/>
      <c r="C71" s="17"/>
      <c r="D71" s="25"/>
      <c r="F71" s="29"/>
      <c r="G71" s="17"/>
      <c r="H71" s="17"/>
      <c r="I71" s="25"/>
    </row>
    <row r="72" spans="1:9" x14ac:dyDescent="0.2">
      <c r="A72" s="30"/>
      <c r="B72" s="17"/>
      <c r="C72" s="17"/>
      <c r="D72" s="25"/>
      <c r="F72" s="30"/>
      <c r="G72" s="17"/>
      <c r="H72" s="17"/>
      <c r="I72" s="25"/>
    </row>
    <row r="73" spans="1:9" x14ac:dyDescent="0.2">
      <c r="A73" s="29"/>
      <c r="B73" s="17"/>
      <c r="C73" s="17"/>
      <c r="D73" s="25"/>
      <c r="F73" s="29"/>
      <c r="G73" s="17"/>
      <c r="H73" s="17"/>
      <c r="I73" s="25"/>
    </row>
    <row r="74" spans="1:9" x14ac:dyDescent="0.2">
      <c r="A74" s="30"/>
      <c r="B74" s="17"/>
      <c r="C74" s="17"/>
      <c r="D74" s="25"/>
      <c r="F74" s="30"/>
      <c r="G74" s="17"/>
      <c r="H74" s="17"/>
      <c r="I74" s="25"/>
    </row>
  </sheetData>
  <mergeCells count="21">
    <mergeCell ref="A47:G47"/>
    <mergeCell ref="I47:O47"/>
    <mergeCell ref="A62:B62"/>
    <mergeCell ref="A33:G33"/>
    <mergeCell ref="I33:O33"/>
    <mergeCell ref="A40:O40"/>
    <mergeCell ref="A41:G41"/>
    <mergeCell ref="I41:O41"/>
    <mergeCell ref="P13:V13"/>
    <mergeCell ref="P41:V41"/>
    <mergeCell ref="A19:G19"/>
    <mergeCell ref="I19:O19"/>
    <mergeCell ref="A26:O26"/>
    <mergeCell ref="A27:G27"/>
    <mergeCell ref="I27:O27"/>
    <mergeCell ref="P27:V27"/>
    <mergeCell ref="A5:G5"/>
    <mergeCell ref="A6:G6"/>
    <mergeCell ref="A12:O12"/>
    <mergeCell ref="A13:G13"/>
    <mergeCell ref="I13:O13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4"/>
  <sheetViews>
    <sheetView topLeftCell="A34" workbookViewId="0">
      <selection activeCell="F67" sqref="F67"/>
    </sheetView>
  </sheetViews>
  <sheetFormatPr baseColWidth="10" defaultColWidth="8.83203125" defaultRowHeight="15" x14ac:dyDescent="0.2"/>
  <cols>
    <col min="1" max="1" width="12.6640625" customWidth="1"/>
    <col min="2" max="2" width="12.33203125" customWidth="1"/>
    <col min="3" max="3" width="11.1640625" customWidth="1"/>
    <col min="4" max="4" width="10.6640625" customWidth="1"/>
    <col min="5" max="8" width="9.5" bestFit="1" customWidth="1"/>
    <col min="9" max="9" width="13.5" customWidth="1"/>
    <col min="10" max="10" width="8.83203125" customWidth="1"/>
    <col min="11" max="11" width="9.5" bestFit="1" customWidth="1"/>
    <col min="12" max="12" width="8.83203125" customWidth="1"/>
    <col min="13" max="15" width="9.5" bestFit="1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</cols>
  <sheetData>
    <row r="1" spans="1:22" ht="19" x14ac:dyDescent="0.25">
      <c r="A1" s="3" t="s">
        <v>23</v>
      </c>
    </row>
    <row r="2" spans="1:22" x14ac:dyDescent="0.2">
      <c r="A2" t="s">
        <v>44</v>
      </c>
    </row>
    <row r="3" spans="1:22" x14ac:dyDescent="0.2">
      <c r="A3" s="2" t="s">
        <v>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">
      <c r="A4" s="2" t="s">
        <v>43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22" ht="19" x14ac:dyDescent="0.25">
      <c r="A5" s="53" t="s">
        <v>47</v>
      </c>
      <c r="B5" s="54"/>
      <c r="C5" s="54"/>
      <c r="D5" s="54"/>
      <c r="E5" s="54"/>
      <c r="F5" s="54"/>
      <c r="G5" s="55"/>
    </row>
    <row r="6" spans="1:22" ht="16" x14ac:dyDescent="0.2">
      <c r="A6" s="50" t="s">
        <v>1</v>
      </c>
      <c r="B6" s="51"/>
      <c r="C6" s="51"/>
      <c r="D6" s="51"/>
      <c r="E6" s="51"/>
      <c r="F6" s="51"/>
      <c r="G6" s="52"/>
    </row>
    <row r="7" spans="1:22" ht="32" x14ac:dyDescent="0.2">
      <c r="A7" s="4" t="s">
        <v>0</v>
      </c>
      <c r="B7" s="5" t="s">
        <v>5</v>
      </c>
      <c r="C7" s="5" t="s">
        <v>6</v>
      </c>
      <c r="D7" s="5" t="s">
        <v>7</v>
      </c>
      <c r="E7" s="5" t="s">
        <v>8</v>
      </c>
      <c r="F7" s="9" t="s">
        <v>9</v>
      </c>
      <c r="G7" s="6" t="s">
        <v>10</v>
      </c>
      <c r="H7" s="1"/>
      <c r="I7" s="1"/>
      <c r="J7" s="1"/>
      <c r="K7" s="1"/>
      <c r="L7" s="1"/>
      <c r="M7" s="1"/>
      <c r="N7" s="1"/>
      <c r="O7" s="1"/>
    </row>
    <row r="8" spans="1:22" x14ac:dyDescent="0.2">
      <c r="A8" s="14" t="s">
        <v>2</v>
      </c>
      <c r="B8" s="15">
        <v>94</v>
      </c>
      <c r="C8" s="16">
        <f>B8*400</f>
        <v>37600</v>
      </c>
      <c r="D8" s="15">
        <v>6</v>
      </c>
      <c r="E8" s="16">
        <f>C8*D8</f>
        <v>225600</v>
      </c>
      <c r="F8" s="17">
        <f>AVERAGE(E8:E10)</f>
        <v>243200</v>
      </c>
      <c r="G8" s="18">
        <f>_xlfn.STDEV.S(E8:E10)</f>
        <v>26436.338626973291</v>
      </c>
      <c r="H8" s="1"/>
      <c r="I8" s="1"/>
      <c r="J8" s="1"/>
      <c r="K8" s="1"/>
      <c r="L8" s="1"/>
      <c r="M8" s="1"/>
      <c r="N8" s="1"/>
      <c r="O8" s="1"/>
    </row>
    <row r="9" spans="1:22" x14ac:dyDescent="0.2">
      <c r="A9" s="14" t="s">
        <v>3</v>
      </c>
      <c r="B9" s="15">
        <v>114</v>
      </c>
      <c r="C9" s="16">
        <f>B9*400</f>
        <v>45600</v>
      </c>
      <c r="D9" s="15">
        <v>6</v>
      </c>
      <c r="E9" s="16">
        <f>C9*D9</f>
        <v>273600</v>
      </c>
      <c r="F9" s="16"/>
      <c r="G9" s="19"/>
      <c r="H9" s="1"/>
      <c r="I9" s="1"/>
      <c r="J9" s="1"/>
      <c r="K9" s="1"/>
      <c r="L9" s="1"/>
      <c r="M9" s="1"/>
      <c r="N9" s="1"/>
      <c r="O9" s="1"/>
    </row>
    <row r="10" spans="1:22" x14ac:dyDescent="0.2">
      <c r="A10" s="20" t="s">
        <v>4</v>
      </c>
      <c r="B10" s="21">
        <v>96</v>
      </c>
      <c r="C10" s="22">
        <f>B10*400</f>
        <v>38400</v>
      </c>
      <c r="D10" s="21">
        <v>6</v>
      </c>
      <c r="E10" s="22">
        <f>C10*D10</f>
        <v>230400</v>
      </c>
      <c r="F10" s="22"/>
      <c r="G10" s="23"/>
      <c r="H10" s="1"/>
      <c r="I10" s="1"/>
      <c r="J10" s="1"/>
      <c r="K10" s="1"/>
      <c r="L10" s="1"/>
      <c r="M10" s="1"/>
      <c r="N10" s="1"/>
      <c r="O10" s="1"/>
    </row>
    <row r="11" spans="1:22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2" ht="19" x14ac:dyDescent="0.25">
      <c r="A12" s="53" t="s">
        <v>48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5"/>
    </row>
    <row r="13" spans="1:22" ht="16" x14ac:dyDescent="0.2">
      <c r="A13" s="50" t="s">
        <v>11</v>
      </c>
      <c r="B13" s="51"/>
      <c r="C13" s="51"/>
      <c r="D13" s="51"/>
      <c r="E13" s="51"/>
      <c r="F13" s="51"/>
      <c r="G13" s="52"/>
      <c r="H13" s="15"/>
      <c r="I13" s="56" t="s">
        <v>16</v>
      </c>
      <c r="J13" s="57"/>
      <c r="K13" s="57"/>
      <c r="L13" s="57"/>
      <c r="M13" s="57"/>
      <c r="N13" s="57"/>
      <c r="O13" s="58"/>
      <c r="P13" s="62" t="s">
        <v>31</v>
      </c>
      <c r="Q13" s="63"/>
      <c r="R13" s="63"/>
      <c r="S13" s="63"/>
      <c r="T13" s="63"/>
      <c r="U13" s="63"/>
      <c r="V13" s="64"/>
    </row>
    <row r="14" spans="1:22" ht="32" x14ac:dyDescent="0.2">
      <c r="A14" s="4" t="s">
        <v>0</v>
      </c>
      <c r="B14" s="5" t="s">
        <v>5</v>
      </c>
      <c r="C14" s="5" t="s">
        <v>6</v>
      </c>
      <c r="D14" s="5" t="s">
        <v>7</v>
      </c>
      <c r="E14" s="5" t="s">
        <v>8</v>
      </c>
      <c r="F14" s="9" t="s">
        <v>9</v>
      </c>
      <c r="G14" s="6" t="s">
        <v>10</v>
      </c>
      <c r="H14" s="15"/>
      <c r="I14" s="10" t="s">
        <v>0</v>
      </c>
      <c r="J14" s="11" t="s">
        <v>5</v>
      </c>
      <c r="K14" s="11" t="s">
        <v>6</v>
      </c>
      <c r="L14" s="11" t="s">
        <v>7</v>
      </c>
      <c r="M14" s="11" t="s">
        <v>8</v>
      </c>
      <c r="N14" s="12" t="s">
        <v>9</v>
      </c>
      <c r="O14" s="13" t="s">
        <v>10</v>
      </c>
      <c r="P14" s="10" t="s">
        <v>0</v>
      </c>
      <c r="Q14" s="11" t="s">
        <v>5</v>
      </c>
      <c r="R14" s="11" t="s">
        <v>6</v>
      </c>
      <c r="S14" s="11" t="s">
        <v>7</v>
      </c>
      <c r="T14" s="11" t="s">
        <v>8</v>
      </c>
      <c r="U14" s="12" t="s">
        <v>9</v>
      </c>
      <c r="V14" s="13" t="s">
        <v>10</v>
      </c>
    </row>
    <row r="15" spans="1:22" x14ac:dyDescent="0.2">
      <c r="A15" s="14" t="s">
        <v>2</v>
      </c>
      <c r="B15" s="15">
        <v>1125</v>
      </c>
      <c r="C15" s="16">
        <f>B15*400</f>
        <v>450000</v>
      </c>
      <c r="D15" s="15">
        <v>6</v>
      </c>
      <c r="E15" s="16">
        <f>C15*D15</f>
        <v>2700000</v>
      </c>
      <c r="F15" s="17">
        <f>AVERAGE(E15:E17)</f>
        <v>2619200</v>
      </c>
      <c r="G15" s="18">
        <f>_xlfn.STDEV.S(E15:E17)</f>
        <v>159023.01720191326</v>
      </c>
      <c r="H15" s="15"/>
      <c r="I15" s="14" t="s">
        <v>17</v>
      </c>
      <c r="J15" s="15">
        <v>174</v>
      </c>
      <c r="K15" s="16">
        <f>J15*400</f>
        <v>69600</v>
      </c>
      <c r="L15" s="15">
        <v>6</v>
      </c>
      <c r="M15" s="16">
        <f>K15*L15</f>
        <v>417600</v>
      </c>
      <c r="N15" s="17">
        <f>AVERAGE(M15:M17)</f>
        <v>416000</v>
      </c>
      <c r="O15" s="18">
        <f>_xlfn.STDEV.S(K15:K17)</f>
        <v>230.9401076758503</v>
      </c>
      <c r="P15" s="24" t="s">
        <v>32</v>
      </c>
      <c r="Q15" s="15">
        <v>602</v>
      </c>
      <c r="R15" s="16">
        <f>Q15*400</f>
        <v>240800</v>
      </c>
      <c r="S15" s="15">
        <v>6</v>
      </c>
      <c r="T15" s="16">
        <f>R15*S15</f>
        <v>1444800</v>
      </c>
      <c r="U15" s="25">
        <f>AVERAGE(T15:T17)</f>
        <v>1364000</v>
      </c>
      <c r="V15" s="18">
        <f>_xlfn.STDEV.S(R15:R17)</f>
        <v>18068.019629536971</v>
      </c>
    </row>
    <row r="16" spans="1:22" x14ac:dyDescent="0.2">
      <c r="A16" s="14" t="s">
        <v>3</v>
      </c>
      <c r="B16" s="15">
        <v>1015</v>
      </c>
      <c r="C16" s="16">
        <f>B16*400</f>
        <v>406000</v>
      </c>
      <c r="D16" s="15">
        <v>6</v>
      </c>
      <c r="E16" s="16">
        <f>C16*D16</f>
        <v>2436000</v>
      </c>
      <c r="F16" s="16"/>
      <c r="G16" s="19"/>
      <c r="H16" s="15"/>
      <c r="I16" s="14" t="s">
        <v>18</v>
      </c>
      <c r="J16" s="15">
        <v>173</v>
      </c>
      <c r="K16" s="16">
        <f>J16*400</f>
        <v>69200</v>
      </c>
      <c r="L16" s="15">
        <v>6</v>
      </c>
      <c r="M16" s="16">
        <f>K16*L16</f>
        <v>415200</v>
      </c>
      <c r="N16" s="16"/>
      <c r="O16" s="19"/>
      <c r="P16" s="24" t="s">
        <v>33</v>
      </c>
      <c r="Q16" s="15">
        <v>517</v>
      </c>
      <c r="R16" s="16">
        <f>Q16*400</f>
        <v>206800</v>
      </c>
      <c r="S16" s="15">
        <v>6</v>
      </c>
      <c r="T16" s="16">
        <f>R16*S16</f>
        <v>1240800</v>
      </c>
      <c r="U16" s="16"/>
      <c r="V16" s="19"/>
    </row>
    <row r="17" spans="1:23" x14ac:dyDescent="0.2">
      <c r="A17" s="20" t="s">
        <v>4</v>
      </c>
      <c r="B17" s="21">
        <v>1134</v>
      </c>
      <c r="C17" s="22">
        <f>B17*400</f>
        <v>453600</v>
      </c>
      <c r="D17" s="21">
        <v>6</v>
      </c>
      <c r="E17" s="22">
        <f>C17*D17</f>
        <v>2721600</v>
      </c>
      <c r="F17" s="22"/>
      <c r="G17" s="23"/>
      <c r="H17" s="15"/>
      <c r="I17" s="20" t="s">
        <v>19</v>
      </c>
      <c r="J17" s="21">
        <v>173</v>
      </c>
      <c r="K17" s="22">
        <f>J17*400</f>
        <v>69200</v>
      </c>
      <c r="L17" s="21">
        <v>6</v>
      </c>
      <c r="M17" s="22">
        <f>K17*L17</f>
        <v>415200</v>
      </c>
      <c r="N17" s="22"/>
      <c r="O17" s="23"/>
      <c r="P17" s="27" t="s">
        <v>34</v>
      </c>
      <c r="Q17" s="21">
        <v>586</v>
      </c>
      <c r="R17" s="22">
        <f>Q17*400</f>
        <v>234400</v>
      </c>
      <c r="S17" s="21">
        <v>6</v>
      </c>
      <c r="T17" s="22">
        <f>R17*S17</f>
        <v>1406400</v>
      </c>
      <c r="U17" s="22"/>
      <c r="V17" s="23"/>
    </row>
    <row r="18" spans="1:23" x14ac:dyDescent="0.2">
      <c r="A18" s="14"/>
      <c r="B18" s="15"/>
      <c r="C18" s="16"/>
      <c r="D18" s="15"/>
      <c r="E18" s="16"/>
      <c r="F18" s="16"/>
      <c r="G18" s="16"/>
      <c r="H18" s="15"/>
      <c r="I18" s="26"/>
      <c r="J18" s="15"/>
      <c r="K18" s="16"/>
      <c r="L18" s="15"/>
      <c r="M18" s="16"/>
      <c r="N18" s="16"/>
      <c r="O18" s="19"/>
      <c r="P18" s="26"/>
      <c r="Q18" s="15"/>
      <c r="R18" s="16"/>
      <c r="S18" s="15"/>
      <c r="T18" s="16"/>
      <c r="U18" s="16"/>
      <c r="V18" s="16"/>
      <c r="W18" s="7"/>
    </row>
    <row r="19" spans="1:23" ht="16" x14ac:dyDescent="0.2">
      <c r="A19" s="59" t="s">
        <v>12</v>
      </c>
      <c r="B19" s="60"/>
      <c r="C19" s="60"/>
      <c r="D19" s="60"/>
      <c r="E19" s="60"/>
      <c r="F19" s="60"/>
      <c r="G19" s="61"/>
      <c r="H19" s="7"/>
      <c r="I19" s="59" t="s">
        <v>15</v>
      </c>
      <c r="J19" s="60"/>
      <c r="K19" s="60"/>
      <c r="L19" s="60"/>
      <c r="M19" s="60"/>
      <c r="N19" s="60"/>
      <c r="O19" s="61"/>
    </row>
    <row r="20" spans="1:23" ht="32" x14ac:dyDescent="0.2">
      <c r="A20" s="10" t="s">
        <v>0</v>
      </c>
      <c r="B20" s="11" t="s">
        <v>5</v>
      </c>
      <c r="C20" s="11" t="s">
        <v>6</v>
      </c>
      <c r="D20" s="11" t="s">
        <v>7</v>
      </c>
      <c r="E20" s="11" t="s">
        <v>8</v>
      </c>
      <c r="F20" s="12" t="s">
        <v>9</v>
      </c>
      <c r="G20" s="13" t="s">
        <v>10</v>
      </c>
      <c r="H20" s="7"/>
      <c r="I20" s="10" t="s">
        <v>0</v>
      </c>
      <c r="J20" s="11" t="s">
        <v>5</v>
      </c>
      <c r="K20" s="11" t="s">
        <v>6</v>
      </c>
      <c r="L20" s="11" t="s">
        <v>7</v>
      </c>
      <c r="M20" s="11" t="s">
        <v>8</v>
      </c>
      <c r="N20" s="12" t="s">
        <v>9</v>
      </c>
      <c r="O20" s="13" t="s">
        <v>10</v>
      </c>
    </row>
    <row r="21" spans="1:23" x14ac:dyDescent="0.2">
      <c r="A21" s="24" t="s">
        <v>28</v>
      </c>
      <c r="B21" s="15">
        <v>129</v>
      </c>
      <c r="C21" s="16">
        <f>B21*400</f>
        <v>51600</v>
      </c>
      <c r="D21" s="15">
        <v>6</v>
      </c>
      <c r="E21" s="16">
        <f>C21*D21</f>
        <v>309600</v>
      </c>
      <c r="F21" s="25">
        <f>AVERAGE(E21:E23)</f>
        <v>336000</v>
      </c>
      <c r="G21" s="18">
        <f>_xlfn.STDEV.S(E21:E23)</f>
        <v>30641.148803528889</v>
      </c>
      <c r="H21" s="7"/>
      <c r="I21" s="24" t="s">
        <v>20</v>
      </c>
      <c r="J21" s="15">
        <v>128</v>
      </c>
      <c r="K21" s="16">
        <f>J21*400</f>
        <v>51200</v>
      </c>
      <c r="L21" s="15">
        <v>6</v>
      </c>
      <c r="M21" s="16">
        <f>K21*L21</f>
        <v>307200</v>
      </c>
      <c r="N21" s="25">
        <f>AVERAGE(M21:M23)</f>
        <v>302400</v>
      </c>
      <c r="O21" s="18">
        <f>_xlfn.STDEV.S(M21:M23)</f>
        <v>17306.64612222715</v>
      </c>
    </row>
    <row r="22" spans="1:23" x14ac:dyDescent="0.2">
      <c r="A22" s="24" t="s">
        <v>29</v>
      </c>
      <c r="B22" s="15">
        <v>137</v>
      </c>
      <c r="C22" s="16">
        <f>B22*400</f>
        <v>54800</v>
      </c>
      <c r="D22" s="15">
        <v>6</v>
      </c>
      <c r="E22" s="16">
        <f>C22*D22</f>
        <v>328800</v>
      </c>
      <c r="F22" s="16"/>
      <c r="G22" s="19"/>
      <c r="H22" s="7"/>
      <c r="I22" s="24" t="s">
        <v>21</v>
      </c>
      <c r="J22" s="15">
        <v>118</v>
      </c>
      <c r="K22" s="16">
        <f>J22*400</f>
        <v>47200</v>
      </c>
      <c r="L22" s="15">
        <v>6</v>
      </c>
      <c r="M22" s="16">
        <f>K22*L22</f>
        <v>283200</v>
      </c>
      <c r="N22" s="16"/>
      <c r="O22" s="19"/>
    </row>
    <row r="23" spans="1:23" x14ac:dyDescent="0.2">
      <c r="A23" s="27" t="s">
        <v>30</v>
      </c>
      <c r="B23" s="21">
        <v>154</v>
      </c>
      <c r="C23" s="22">
        <f>B23*400</f>
        <v>61600</v>
      </c>
      <c r="D23" s="21">
        <v>6</v>
      </c>
      <c r="E23" s="22">
        <f>C23*D23</f>
        <v>369600</v>
      </c>
      <c r="F23" s="22"/>
      <c r="G23" s="23"/>
      <c r="H23" s="8"/>
      <c r="I23" s="27" t="s">
        <v>22</v>
      </c>
      <c r="J23" s="21">
        <v>132</v>
      </c>
      <c r="K23" s="22">
        <f>J23*400</f>
        <v>52800</v>
      </c>
      <c r="L23" s="21">
        <v>6</v>
      </c>
      <c r="M23" s="22">
        <f>K23*L23</f>
        <v>316800</v>
      </c>
      <c r="N23" s="22"/>
      <c r="O23" s="23"/>
    </row>
    <row r="26" spans="1:23" ht="19" x14ac:dyDescent="0.25">
      <c r="A26" s="53" t="s">
        <v>50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5"/>
    </row>
    <row r="27" spans="1:23" ht="16" x14ac:dyDescent="0.2">
      <c r="A27" s="50" t="s">
        <v>11</v>
      </c>
      <c r="B27" s="51"/>
      <c r="C27" s="51"/>
      <c r="D27" s="51"/>
      <c r="E27" s="51"/>
      <c r="F27" s="51"/>
      <c r="G27" s="52"/>
      <c r="H27" s="15"/>
      <c r="I27" s="56" t="s">
        <v>16</v>
      </c>
      <c r="J27" s="57"/>
      <c r="K27" s="57"/>
      <c r="L27" s="57"/>
      <c r="M27" s="57"/>
      <c r="N27" s="57"/>
      <c r="O27" s="58"/>
      <c r="P27" s="62" t="s">
        <v>31</v>
      </c>
      <c r="Q27" s="63"/>
      <c r="R27" s="63"/>
      <c r="S27" s="63"/>
      <c r="T27" s="63"/>
      <c r="U27" s="63"/>
      <c r="V27" s="64"/>
    </row>
    <row r="28" spans="1:23" ht="32" x14ac:dyDescent="0.2">
      <c r="A28" s="4" t="s">
        <v>0</v>
      </c>
      <c r="B28" s="5" t="s">
        <v>5</v>
      </c>
      <c r="C28" s="5" t="s">
        <v>6</v>
      </c>
      <c r="D28" s="5" t="s">
        <v>7</v>
      </c>
      <c r="E28" s="5" t="s">
        <v>8</v>
      </c>
      <c r="F28" s="9" t="s">
        <v>9</v>
      </c>
      <c r="G28" s="6" t="s">
        <v>10</v>
      </c>
      <c r="H28" s="15"/>
      <c r="I28" s="10" t="s">
        <v>0</v>
      </c>
      <c r="J28" s="11" t="s">
        <v>5</v>
      </c>
      <c r="K28" s="11" t="s">
        <v>6</v>
      </c>
      <c r="L28" s="11" t="s">
        <v>7</v>
      </c>
      <c r="M28" s="11" t="s">
        <v>8</v>
      </c>
      <c r="N28" s="12" t="s">
        <v>9</v>
      </c>
      <c r="O28" s="13" t="s">
        <v>10</v>
      </c>
      <c r="P28" s="10" t="s">
        <v>0</v>
      </c>
      <c r="Q28" s="11" t="s">
        <v>5</v>
      </c>
      <c r="R28" s="11" t="s">
        <v>6</v>
      </c>
      <c r="S28" s="11" t="s">
        <v>7</v>
      </c>
      <c r="T28" s="11" t="s">
        <v>8</v>
      </c>
      <c r="U28" s="12" t="s">
        <v>9</v>
      </c>
      <c r="V28" s="13" t="s">
        <v>10</v>
      </c>
    </row>
    <row r="29" spans="1:23" x14ac:dyDescent="0.2">
      <c r="A29" s="14" t="s">
        <v>2</v>
      </c>
      <c r="B29" s="15">
        <v>4530</v>
      </c>
      <c r="C29" s="16">
        <f>B29*400</f>
        <v>1812000</v>
      </c>
      <c r="D29" s="15">
        <v>6</v>
      </c>
      <c r="E29" s="16">
        <f>C29*D29</f>
        <v>10872000</v>
      </c>
      <c r="F29" s="17">
        <f>AVERAGE(E29:E31)</f>
        <v>10220000</v>
      </c>
      <c r="G29" s="18">
        <f>_xlfn.STDEV.S(E29:E31)</f>
        <v>805743.78061515314</v>
      </c>
      <c r="H29" s="15"/>
      <c r="I29" s="14" t="s">
        <v>17</v>
      </c>
      <c r="J29" s="15">
        <v>137</v>
      </c>
      <c r="K29" s="16">
        <f>J29*400</f>
        <v>54800</v>
      </c>
      <c r="L29" s="15">
        <v>6</v>
      </c>
      <c r="M29" s="16">
        <f>K29*L29</f>
        <v>328800</v>
      </c>
      <c r="N29" s="17">
        <f>AVERAGE(M29:M31)</f>
        <v>311200</v>
      </c>
      <c r="O29" s="18">
        <f>_xlfn.STDEV.S(K29:K31)</f>
        <v>3233.1615074619044</v>
      </c>
      <c r="P29" s="24" t="s">
        <v>32</v>
      </c>
      <c r="Q29" s="15">
        <v>528</v>
      </c>
      <c r="R29" s="16">
        <f>Q29*400</f>
        <v>211200</v>
      </c>
      <c r="S29" s="15">
        <v>6</v>
      </c>
      <c r="T29" s="16">
        <f>R29*S29</f>
        <v>1267200</v>
      </c>
      <c r="U29" s="25">
        <f>AVERAGE(T29:T31)</f>
        <v>1328800</v>
      </c>
      <c r="V29" s="18">
        <f>_xlfn.STDEV.S(R29:R31)</f>
        <v>9263.5486360969317</v>
      </c>
    </row>
    <row r="30" spans="1:23" x14ac:dyDescent="0.2">
      <c r="A30" s="14" t="s">
        <v>3</v>
      </c>
      <c r="B30" s="15">
        <v>4362</v>
      </c>
      <c r="C30" s="16">
        <f>B30*400</f>
        <v>1744800</v>
      </c>
      <c r="D30" s="15">
        <v>6</v>
      </c>
      <c r="E30" s="16">
        <f>C30*D30</f>
        <v>10468800</v>
      </c>
      <c r="F30" s="16"/>
      <c r="G30" s="19"/>
      <c r="H30" s="15"/>
      <c r="I30" s="14" t="s">
        <v>18</v>
      </c>
      <c r="J30" s="15">
        <v>131</v>
      </c>
      <c r="K30" s="16">
        <f>J30*400</f>
        <v>52400</v>
      </c>
      <c r="L30" s="15">
        <v>6</v>
      </c>
      <c r="M30" s="16">
        <f>K30*L30</f>
        <v>314400</v>
      </c>
      <c r="N30" s="16"/>
      <c r="O30" s="19"/>
      <c r="P30" s="24" t="s">
        <v>33</v>
      </c>
      <c r="Q30" s="15">
        <v>573</v>
      </c>
      <c r="R30" s="16">
        <f>Q30*400</f>
        <v>229200</v>
      </c>
      <c r="S30" s="15">
        <v>6</v>
      </c>
      <c r="T30" s="16">
        <f>R30*S30</f>
        <v>1375200</v>
      </c>
      <c r="U30" s="16"/>
      <c r="V30" s="19"/>
    </row>
    <row r="31" spans="1:23" x14ac:dyDescent="0.2">
      <c r="A31" s="20" t="s">
        <v>4</v>
      </c>
      <c r="B31" s="21">
        <v>3883</v>
      </c>
      <c r="C31" s="22">
        <f>B31*400</f>
        <v>1553200</v>
      </c>
      <c r="D31" s="21">
        <v>6</v>
      </c>
      <c r="E31" s="22">
        <f>C31*D31</f>
        <v>9319200</v>
      </c>
      <c r="F31" s="22"/>
      <c r="G31" s="23"/>
      <c r="H31" s="15"/>
      <c r="I31" s="20" t="s">
        <v>19</v>
      </c>
      <c r="J31" s="21">
        <v>121</v>
      </c>
      <c r="K31" s="22">
        <f>J31*400</f>
        <v>48400</v>
      </c>
      <c r="L31" s="21">
        <v>6</v>
      </c>
      <c r="M31" s="22">
        <f>K31*L31</f>
        <v>290400</v>
      </c>
      <c r="N31" s="22"/>
      <c r="O31" s="23"/>
      <c r="P31" s="27" t="s">
        <v>34</v>
      </c>
      <c r="Q31" s="21">
        <v>560</v>
      </c>
      <c r="R31" s="22">
        <f>Q31*400</f>
        <v>224000</v>
      </c>
      <c r="S31" s="21">
        <v>6</v>
      </c>
      <c r="T31" s="22">
        <f>R31*S31</f>
        <v>1344000</v>
      </c>
      <c r="U31" s="22"/>
      <c r="V31" s="23"/>
    </row>
    <row r="32" spans="1:23" x14ac:dyDescent="0.2">
      <c r="A32" s="14"/>
      <c r="B32" s="15"/>
      <c r="C32" s="16"/>
      <c r="D32" s="15"/>
      <c r="E32" s="16"/>
      <c r="F32" s="16"/>
      <c r="G32" s="16"/>
      <c r="H32" s="15"/>
      <c r="I32" s="26"/>
      <c r="J32" s="15"/>
      <c r="K32" s="16"/>
      <c r="L32" s="15"/>
      <c r="M32" s="16"/>
      <c r="N32" s="16"/>
      <c r="O32" s="19"/>
    </row>
    <row r="33" spans="1:22" ht="16" x14ac:dyDescent="0.2">
      <c r="A33" s="59" t="s">
        <v>12</v>
      </c>
      <c r="B33" s="60"/>
      <c r="C33" s="60"/>
      <c r="D33" s="60"/>
      <c r="E33" s="60"/>
      <c r="F33" s="60"/>
      <c r="G33" s="61"/>
      <c r="H33" s="7"/>
      <c r="I33" s="59" t="s">
        <v>15</v>
      </c>
      <c r="J33" s="60"/>
      <c r="K33" s="60"/>
      <c r="L33" s="60"/>
      <c r="M33" s="60"/>
      <c r="N33" s="60"/>
      <c r="O33" s="61"/>
    </row>
    <row r="34" spans="1:22" ht="32" x14ac:dyDescent="0.2">
      <c r="A34" s="10" t="s">
        <v>0</v>
      </c>
      <c r="B34" s="11" t="s">
        <v>5</v>
      </c>
      <c r="C34" s="11" t="s">
        <v>6</v>
      </c>
      <c r="D34" s="11" t="s">
        <v>7</v>
      </c>
      <c r="E34" s="11" t="s">
        <v>8</v>
      </c>
      <c r="F34" s="12" t="s">
        <v>9</v>
      </c>
      <c r="G34" s="13" t="s">
        <v>10</v>
      </c>
      <c r="H34" s="7"/>
      <c r="I34" s="10" t="s">
        <v>0</v>
      </c>
      <c r="J34" s="11" t="s">
        <v>5</v>
      </c>
      <c r="K34" s="11" t="s">
        <v>6</v>
      </c>
      <c r="L34" s="11" t="s">
        <v>7</v>
      </c>
      <c r="M34" s="11" t="s">
        <v>8</v>
      </c>
      <c r="N34" s="12" t="s">
        <v>9</v>
      </c>
      <c r="O34" s="13" t="s">
        <v>10</v>
      </c>
    </row>
    <row r="35" spans="1:22" x14ac:dyDescent="0.2">
      <c r="A35" s="24" t="s">
        <v>28</v>
      </c>
      <c r="B35" s="15">
        <v>130</v>
      </c>
      <c r="C35" s="16">
        <f>B35*400</f>
        <v>52000</v>
      </c>
      <c r="D35" s="15">
        <v>6</v>
      </c>
      <c r="E35" s="16">
        <f>C35*D35</f>
        <v>312000</v>
      </c>
      <c r="F35" s="25">
        <f>AVERAGE(E35:E37)</f>
        <v>316800</v>
      </c>
      <c r="G35" s="18">
        <f>_xlfn.STDEV.S(E35:E37)</f>
        <v>4800</v>
      </c>
      <c r="H35" s="7"/>
      <c r="I35" s="24" t="s">
        <v>20</v>
      </c>
      <c r="J35" s="15">
        <v>98</v>
      </c>
      <c r="K35" s="16">
        <f>J35*400</f>
        <v>39200</v>
      </c>
      <c r="L35" s="15">
        <v>6</v>
      </c>
      <c r="M35" s="16">
        <f>K35*L35</f>
        <v>235200</v>
      </c>
      <c r="N35" s="25">
        <f>AVERAGE(M35:M37)</f>
        <v>228000</v>
      </c>
      <c r="O35" s="18">
        <f>_xlfn.STDEV.S(M35:M37)</f>
        <v>10461.357464497616</v>
      </c>
    </row>
    <row r="36" spans="1:22" x14ac:dyDescent="0.2">
      <c r="A36" s="24" t="s">
        <v>29</v>
      </c>
      <c r="B36" s="15">
        <v>132</v>
      </c>
      <c r="C36" s="16">
        <f>B36*400</f>
        <v>52800</v>
      </c>
      <c r="D36" s="15">
        <v>6</v>
      </c>
      <c r="E36" s="16">
        <f>C36*D36</f>
        <v>316800</v>
      </c>
      <c r="F36" s="16"/>
      <c r="G36" s="19"/>
      <c r="H36" s="7"/>
      <c r="I36" s="24" t="s">
        <v>21</v>
      </c>
      <c r="J36" s="15">
        <v>90</v>
      </c>
      <c r="K36" s="16">
        <f>J36*400</f>
        <v>36000</v>
      </c>
      <c r="L36" s="15">
        <v>6</v>
      </c>
      <c r="M36" s="16">
        <f>K36*L36</f>
        <v>216000</v>
      </c>
      <c r="N36" s="16"/>
      <c r="O36" s="19"/>
    </row>
    <row r="37" spans="1:22" x14ac:dyDescent="0.2">
      <c r="A37" s="27" t="s">
        <v>30</v>
      </c>
      <c r="B37" s="21">
        <v>134</v>
      </c>
      <c r="C37" s="22">
        <f>B37*400</f>
        <v>53600</v>
      </c>
      <c r="D37" s="21">
        <v>6</v>
      </c>
      <c r="E37" s="22">
        <f>C37*D37</f>
        <v>321600</v>
      </c>
      <c r="F37" s="22"/>
      <c r="G37" s="23"/>
      <c r="H37" s="8"/>
      <c r="I37" s="27" t="s">
        <v>22</v>
      </c>
      <c r="J37" s="21">
        <v>97</v>
      </c>
      <c r="K37" s="22">
        <f>J37*400</f>
        <v>38800</v>
      </c>
      <c r="L37" s="21">
        <v>6</v>
      </c>
      <c r="M37" s="22">
        <f>K37*L37</f>
        <v>232800</v>
      </c>
      <c r="N37" s="22"/>
      <c r="O37" s="23"/>
    </row>
    <row r="40" spans="1:22" ht="19" x14ac:dyDescent="0.25">
      <c r="A40" s="53" t="s">
        <v>49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5"/>
    </row>
    <row r="41" spans="1:22" ht="16" x14ac:dyDescent="0.2">
      <c r="A41" s="50" t="s">
        <v>11</v>
      </c>
      <c r="B41" s="51"/>
      <c r="C41" s="51"/>
      <c r="D41" s="51"/>
      <c r="E41" s="51"/>
      <c r="F41" s="51"/>
      <c r="G41" s="52"/>
      <c r="H41" s="15"/>
      <c r="I41" s="56" t="s">
        <v>16</v>
      </c>
      <c r="J41" s="57"/>
      <c r="K41" s="57"/>
      <c r="L41" s="57"/>
      <c r="M41" s="57"/>
      <c r="N41" s="57"/>
      <c r="O41" s="58"/>
      <c r="P41" s="62" t="s">
        <v>31</v>
      </c>
      <c r="Q41" s="63"/>
      <c r="R41" s="63"/>
      <c r="S41" s="63"/>
      <c r="T41" s="63"/>
      <c r="U41" s="63"/>
      <c r="V41" s="64"/>
    </row>
    <row r="42" spans="1:22" ht="32" x14ac:dyDescent="0.2">
      <c r="A42" s="4" t="s">
        <v>0</v>
      </c>
      <c r="B42" s="5" t="s">
        <v>5</v>
      </c>
      <c r="C42" s="5" t="s">
        <v>6</v>
      </c>
      <c r="D42" s="5" t="s">
        <v>7</v>
      </c>
      <c r="E42" s="5" t="s">
        <v>8</v>
      </c>
      <c r="F42" s="9" t="s">
        <v>9</v>
      </c>
      <c r="G42" s="6" t="s">
        <v>10</v>
      </c>
      <c r="H42" s="15"/>
      <c r="I42" s="10" t="s">
        <v>0</v>
      </c>
      <c r="J42" s="11" t="s">
        <v>5</v>
      </c>
      <c r="K42" s="11" t="s">
        <v>6</v>
      </c>
      <c r="L42" s="11" t="s">
        <v>7</v>
      </c>
      <c r="M42" s="11" t="s">
        <v>8</v>
      </c>
      <c r="N42" s="12" t="s">
        <v>9</v>
      </c>
      <c r="O42" s="13" t="s">
        <v>10</v>
      </c>
      <c r="P42" s="10" t="s">
        <v>0</v>
      </c>
      <c r="Q42" s="11" t="s">
        <v>5</v>
      </c>
      <c r="R42" s="11" t="s">
        <v>6</v>
      </c>
      <c r="S42" s="11" t="s">
        <v>7</v>
      </c>
      <c r="T42" s="11" t="s">
        <v>8</v>
      </c>
      <c r="U42" s="12" t="s">
        <v>9</v>
      </c>
      <c r="V42" s="13" t="s">
        <v>10</v>
      </c>
    </row>
    <row r="43" spans="1:22" x14ac:dyDescent="0.2">
      <c r="A43" s="14" t="s">
        <v>2</v>
      </c>
      <c r="B43" s="15">
        <v>6648</v>
      </c>
      <c r="C43" s="16">
        <f>B43*400</f>
        <v>2659200</v>
      </c>
      <c r="D43" s="15">
        <v>6</v>
      </c>
      <c r="E43" s="16">
        <f>C43*D43</f>
        <v>15955200</v>
      </c>
      <c r="F43" s="17">
        <f>AVERAGE(E43:E45)</f>
        <v>15956800</v>
      </c>
      <c r="G43" s="18">
        <f>_xlfn.STDEV.S(E43:E45)</f>
        <v>604801.58729950432</v>
      </c>
      <c r="H43" s="15"/>
      <c r="I43" s="14" t="s">
        <v>17</v>
      </c>
      <c r="J43" s="15">
        <v>80</v>
      </c>
      <c r="K43" s="16">
        <f>J43*400</f>
        <v>32000</v>
      </c>
      <c r="L43" s="15">
        <v>6</v>
      </c>
      <c r="M43" s="16">
        <f>K43*L43</f>
        <v>192000</v>
      </c>
      <c r="N43" s="17">
        <f>AVERAGE(M43:M45)</f>
        <v>224800</v>
      </c>
      <c r="O43" s="18">
        <f>_xlfn.STDEV.S(K43:K45)</f>
        <v>5064.9119768593464</v>
      </c>
      <c r="P43" s="24" t="s">
        <v>32</v>
      </c>
      <c r="Q43" s="15">
        <v>540</v>
      </c>
      <c r="R43" s="16">
        <f>Q43*400</f>
        <v>216000</v>
      </c>
      <c r="S43" s="15">
        <v>6</v>
      </c>
      <c r="T43" s="16">
        <f>R43*S43</f>
        <v>1296000</v>
      </c>
      <c r="U43" s="25">
        <f>AVERAGE(T43:T45)</f>
        <v>1252000</v>
      </c>
      <c r="V43" s="18">
        <f>_xlfn.STDEV.S(R43:R45)</f>
        <v>6429.100507328636</v>
      </c>
    </row>
    <row r="44" spans="1:22" x14ac:dyDescent="0.2">
      <c r="A44" s="14" t="s">
        <v>3</v>
      </c>
      <c r="B44" s="15">
        <v>6901</v>
      </c>
      <c r="C44" s="16">
        <f>B44*400</f>
        <v>2760400</v>
      </c>
      <c r="D44" s="15">
        <v>6</v>
      </c>
      <c r="E44" s="16">
        <f>C44*D44</f>
        <v>16562400</v>
      </c>
      <c r="F44" s="16"/>
      <c r="G44" s="19"/>
      <c r="H44" s="15"/>
      <c r="I44" s="14" t="s">
        <v>18</v>
      </c>
      <c r="J44" s="15">
        <v>96</v>
      </c>
      <c r="K44" s="16">
        <f>J44*400</f>
        <v>38400</v>
      </c>
      <c r="L44" s="15">
        <v>6</v>
      </c>
      <c r="M44" s="16">
        <f>K44*L44</f>
        <v>230400</v>
      </c>
      <c r="N44" s="16"/>
      <c r="O44" s="19"/>
      <c r="P44" s="24" t="s">
        <v>33</v>
      </c>
      <c r="Q44" s="15">
        <v>515</v>
      </c>
      <c r="R44" s="16">
        <f>Q44*400</f>
        <v>206000</v>
      </c>
      <c r="S44" s="15">
        <v>6</v>
      </c>
      <c r="T44" s="16">
        <f>R44*S44</f>
        <v>1236000</v>
      </c>
      <c r="U44" s="16"/>
      <c r="V44" s="19"/>
    </row>
    <row r="45" spans="1:22" x14ac:dyDescent="0.2">
      <c r="A45" s="20" t="s">
        <v>4</v>
      </c>
      <c r="B45" s="21">
        <v>6397</v>
      </c>
      <c r="C45" s="22">
        <f>B45*400</f>
        <v>2558800</v>
      </c>
      <c r="D45" s="21">
        <v>6</v>
      </c>
      <c r="E45" s="22">
        <f>C45*D45</f>
        <v>15352800</v>
      </c>
      <c r="F45" s="22"/>
      <c r="G45" s="23"/>
      <c r="H45" s="15"/>
      <c r="I45" s="20" t="s">
        <v>19</v>
      </c>
      <c r="J45" s="21">
        <v>105</v>
      </c>
      <c r="K45" s="22">
        <f>J45*400</f>
        <v>42000</v>
      </c>
      <c r="L45" s="21">
        <v>6</v>
      </c>
      <c r="M45" s="22">
        <f>K45*L45</f>
        <v>252000</v>
      </c>
      <c r="N45" s="22"/>
      <c r="O45" s="23"/>
      <c r="P45" s="27" t="s">
        <v>34</v>
      </c>
      <c r="Q45" s="21">
        <v>510</v>
      </c>
      <c r="R45" s="22">
        <f>Q45*400</f>
        <v>204000</v>
      </c>
      <c r="S45" s="21">
        <v>6</v>
      </c>
      <c r="T45" s="22">
        <f>R45*S45</f>
        <v>1224000</v>
      </c>
      <c r="U45" s="22"/>
      <c r="V45" s="23"/>
    </row>
    <row r="46" spans="1:22" x14ac:dyDescent="0.2">
      <c r="A46" s="14"/>
      <c r="B46" s="15"/>
      <c r="C46" s="16"/>
      <c r="D46" s="15"/>
      <c r="E46" s="16"/>
      <c r="F46" s="16"/>
      <c r="G46" s="16"/>
      <c r="H46" s="15"/>
      <c r="I46" s="26"/>
      <c r="J46" s="15"/>
      <c r="K46" s="16"/>
      <c r="L46" s="15"/>
      <c r="M46" s="16"/>
      <c r="N46" s="16"/>
      <c r="O46" s="19"/>
    </row>
    <row r="47" spans="1:22" ht="16" x14ac:dyDescent="0.2">
      <c r="A47" s="59" t="s">
        <v>12</v>
      </c>
      <c r="B47" s="60"/>
      <c r="C47" s="60"/>
      <c r="D47" s="60"/>
      <c r="E47" s="60"/>
      <c r="F47" s="60"/>
      <c r="G47" s="61"/>
      <c r="H47" s="7"/>
      <c r="I47" s="59" t="s">
        <v>15</v>
      </c>
      <c r="J47" s="60"/>
      <c r="K47" s="60"/>
      <c r="L47" s="60"/>
      <c r="M47" s="60"/>
      <c r="N47" s="60"/>
      <c r="O47" s="61"/>
    </row>
    <row r="48" spans="1:22" ht="32" x14ac:dyDescent="0.2">
      <c r="A48" s="10" t="s">
        <v>0</v>
      </c>
      <c r="B48" s="11" t="s">
        <v>5</v>
      </c>
      <c r="C48" s="11" t="s">
        <v>6</v>
      </c>
      <c r="D48" s="11" t="s">
        <v>7</v>
      </c>
      <c r="E48" s="11" t="s">
        <v>8</v>
      </c>
      <c r="F48" s="12" t="s">
        <v>9</v>
      </c>
      <c r="G48" s="13" t="s">
        <v>10</v>
      </c>
      <c r="H48" s="7"/>
      <c r="I48" s="10" t="s">
        <v>0</v>
      </c>
      <c r="J48" s="11" t="s">
        <v>5</v>
      </c>
      <c r="K48" s="11" t="s">
        <v>6</v>
      </c>
      <c r="L48" s="11" t="s">
        <v>7</v>
      </c>
      <c r="M48" s="11" t="s">
        <v>8</v>
      </c>
      <c r="N48" s="12" t="s">
        <v>9</v>
      </c>
      <c r="O48" s="13" t="s">
        <v>10</v>
      </c>
    </row>
    <row r="49" spans="1:15" x14ac:dyDescent="0.2">
      <c r="A49" s="24" t="s">
        <v>28</v>
      </c>
      <c r="B49" s="15">
        <v>129</v>
      </c>
      <c r="C49" s="16">
        <f>B49*400</f>
        <v>51600</v>
      </c>
      <c r="D49" s="15">
        <v>6</v>
      </c>
      <c r="E49" s="16">
        <f>C49*D49</f>
        <v>309600</v>
      </c>
      <c r="F49" s="25">
        <f>AVERAGE(E49:E51)</f>
        <v>304000</v>
      </c>
      <c r="G49" s="18">
        <f>_xlfn.STDEV.S(E49:E51)</f>
        <v>20968.547875329852</v>
      </c>
      <c r="H49" s="7"/>
      <c r="I49" s="24" t="s">
        <v>20</v>
      </c>
      <c r="J49" s="15">
        <v>57</v>
      </c>
      <c r="K49" s="16">
        <f>J49*400</f>
        <v>22800</v>
      </c>
      <c r="L49" s="15">
        <v>6</v>
      </c>
      <c r="M49" s="16">
        <f>K49*L49</f>
        <v>136800</v>
      </c>
      <c r="N49" s="25">
        <f>AVERAGE(M49:M51)</f>
        <v>166400</v>
      </c>
      <c r="O49" s="18">
        <f>_xlfn.STDEV.S(M49:M51)</f>
        <v>25662.423891752704</v>
      </c>
    </row>
    <row r="50" spans="1:15" x14ac:dyDescent="0.2">
      <c r="A50" s="24" t="s">
        <v>29</v>
      </c>
      <c r="B50" s="15">
        <v>134</v>
      </c>
      <c r="C50" s="16">
        <f>B50*400</f>
        <v>53600</v>
      </c>
      <c r="D50" s="15">
        <v>6</v>
      </c>
      <c r="E50" s="16">
        <f>C50*D50</f>
        <v>321600</v>
      </c>
      <c r="F50" s="16"/>
      <c r="G50" s="19"/>
      <c r="H50" s="7"/>
      <c r="I50" s="24" t="s">
        <v>21</v>
      </c>
      <c r="J50" s="15">
        <v>76</v>
      </c>
      <c r="K50" s="16">
        <f>J50*400</f>
        <v>30400</v>
      </c>
      <c r="L50" s="15">
        <v>6</v>
      </c>
      <c r="M50" s="16">
        <f>K50*L50</f>
        <v>182400</v>
      </c>
      <c r="N50" s="16"/>
      <c r="O50" s="19"/>
    </row>
    <row r="51" spans="1:15" x14ac:dyDescent="0.2">
      <c r="A51" s="27" t="s">
        <v>30</v>
      </c>
      <c r="B51" s="21">
        <v>117</v>
      </c>
      <c r="C51" s="22">
        <f>B51*400</f>
        <v>46800</v>
      </c>
      <c r="D51" s="21">
        <v>6</v>
      </c>
      <c r="E51" s="22">
        <f>C51*D51</f>
        <v>280800</v>
      </c>
      <c r="F51" s="22"/>
      <c r="G51" s="23"/>
      <c r="H51" s="8"/>
      <c r="I51" s="27" t="s">
        <v>22</v>
      </c>
      <c r="J51" s="21">
        <v>75</v>
      </c>
      <c r="K51" s="22">
        <f>J51*400</f>
        <v>30000</v>
      </c>
      <c r="L51" s="21">
        <v>6</v>
      </c>
      <c r="M51" s="22">
        <f>K51*L51</f>
        <v>180000</v>
      </c>
      <c r="N51" s="22"/>
      <c r="O51" s="23"/>
    </row>
    <row r="54" spans="1:15" x14ac:dyDescent="0.2">
      <c r="A54" s="28" t="s">
        <v>13</v>
      </c>
    </row>
    <row r="55" spans="1:15" x14ac:dyDescent="0.2">
      <c r="A55" s="28"/>
      <c r="B55" t="s">
        <v>51</v>
      </c>
      <c r="C55" t="s">
        <v>52</v>
      </c>
      <c r="D55" t="s">
        <v>53</v>
      </c>
      <c r="F55" t="s">
        <v>54</v>
      </c>
      <c r="G55" s="17">
        <v>243200</v>
      </c>
      <c r="H55" s="18"/>
    </row>
    <row r="56" spans="1:15" x14ac:dyDescent="0.2">
      <c r="A56" s="34" t="s">
        <v>11</v>
      </c>
      <c r="B56" s="36">
        <v>2619200</v>
      </c>
      <c r="C56" s="35">
        <v>10220000</v>
      </c>
      <c r="D56" s="35">
        <v>15956800</v>
      </c>
      <c r="E56" s="7"/>
      <c r="F56" s="7"/>
    </row>
    <row r="57" spans="1:15" x14ac:dyDescent="0.2">
      <c r="A57" s="30" t="s">
        <v>12</v>
      </c>
      <c r="B57" s="37">
        <v>336000</v>
      </c>
      <c r="C57" s="37">
        <v>316800</v>
      </c>
      <c r="D57" s="37">
        <v>304000</v>
      </c>
      <c r="E57" s="25"/>
      <c r="F57" s="31"/>
      <c r="H57" s="17"/>
    </row>
    <row r="58" spans="1:15" x14ac:dyDescent="0.2">
      <c r="A58" s="34" t="s">
        <v>16</v>
      </c>
      <c r="B58" s="36">
        <v>416000</v>
      </c>
      <c r="C58" s="36">
        <v>311200</v>
      </c>
      <c r="D58" s="36">
        <v>224800</v>
      </c>
      <c r="E58" s="25"/>
      <c r="F58" s="31"/>
    </row>
    <row r="59" spans="1:15" x14ac:dyDescent="0.2">
      <c r="A59" s="29" t="s">
        <v>15</v>
      </c>
      <c r="B59" s="37">
        <v>302400</v>
      </c>
      <c r="C59" s="37">
        <v>228000</v>
      </c>
      <c r="D59" s="37">
        <v>166400</v>
      </c>
      <c r="E59" s="25"/>
      <c r="F59" s="31"/>
    </row>
    <row r="60" spans="1:15" x14ac:dyDescent="0.2">
      <c r="A60" s="30" t="s">
        <v>31</v>
      </c>
      <c r="B60" s="37">
        <v>1364000</v>
      </c>
      <c r="C60" s="37">
        <v>1328800</v>
      </c>
      <c r="D60" s="37">
        <v>1252000</v>
      </c>
      <c r="E60" s="32"/>
      <c r="F60" s="7"/>
    </row>
    <row r="61" spans="1:15" x14ac:dyDescent="0.2">
      <c r="C61" s="7"/>
      <c r="D61" s="7"/>
      <c r="E61" s="7"/>
      <c r="F61" s="7"/>
    </row>
    <row r="62" spans="1:15" x14ac:dyDescent="0.2">
      <c r="A62" s="65" t="s">
        <v>55</v>
      </c>
      <c r="B62" s="65"/>
      <c r="C62" s="30"/>
    </row>
    <row r="63" spans="1:15" x14ac:dyDescent="0.2">
      <c r="A63" s="28"/>
      <c r="B63" t="s">
        <v>51</v>
      </c>
      <c r="C63" t="s">
        <v>52</v>
      </c>
      <c r="D63" t="s">
        <v>53</v>
      </c>
      <c r="E63" s="7"/>
    </row>
    <row r="64" spans="1:15" x14ac:dyDescent="0.2">
      <c r="A64" s="28" t="s">
        <v>54</v>
      </c>
      <c r="B64">
        <v>1</v>
      </c>
      <c r="E64" s="7"/>
    </row>
    <row r="65" spans="1:9" x14ac:dyDescent="0.2">
      <c r="A65" s="34" t="s">
        <v>11</v>
      </c>
      <c r="B65" s="69">
        <f>B56/G$55</f>
        <v>10.769736842105264</v>
      </c>
      <c r="C65" s="70">
        <f>C56/G$55</f>
        <v>42.023026315789473</v>
      </c>
      <c r="D65" s="70">
        <f>D56/G$55</f>
        <v>65.611842105263165</v>
      </c>
      <c r="E65" s="33"/>
    </row>
    <row r="66" spans="1:9" x14ac:dyDescent="0.2">
      <c r="A66" s="30" t="s">
        <v>12</v>
      </c>
      <c r="B66" s="71">
        <f>B57/G$55</f>
        <v>1.381578947368421</v>
      </c>
      <c r="C66" s="72">
        <f>C57/G$55</f>
        <v>1.3026315789473684</v>
      </c>
      <c r="D66" s="72">
        <f>D57/G$55</f>
        <v>1.25</v>
      </c>
      <c r="E66" s="33"/>
    </row>
    <row r="67" spans="1:9" x14ac:dyDescent="0.2">
      <c r="A67" s="34" t="s">
        <v>16</v>
      </c>
      <c r="B67" s="69">
        <f>B58/G$55</f>
        <v>1.7105263157894737</v>
      </c>
      <c r="C67" s="70">
        <f>C58/G$55</f>
        <v>1.2796052631578947</v>
      </c>
      <c r="D67" s="70">
        <f>D58/G$55</f>
        <v>0.92434210526315785</v>
      </c>
      <c r="E67" s="33"/>
    </row>
    <row r="68" spans="1:9" x14ac:dyDescent="0.2">
      <c r="A68" s="29" t="s">
        <v>15</v>
      </c>
      <c r="B68" s="71">
        <f>B59/G$55</f>
        <v>1.243421052631579</v>
      </c>
      <c r="C68" s="72">
        <f>C59/G$55</f>
        <v>0.9375</v>
      </c>
      <c r="D68" s="72">
        <f>D59/G$55</f>
        <v>0.68421052631578949</v>
      </c>
      <c r="E68" s="33"/>
    </row>
    <row r="69" spans="1:9" x14ac:dyDescent="0.2">
      <c r="A69" s="30" t="s">
        <v>31</v>
      </c>
      <c r="B69" s="71">
        <f>B60/G$55</f>
        <v>5.6085526315789478</v>
      </c>
      <c r="C69" s="72">
        <f>C60/G$55</f>
        <v>5.4638157894736841</v>
      </c>
      <c r="D69" s="72">
        <f>D60/G$55</f>
        <v>5.1480263157894735</v>
      </c>
    </row>
    <row r="70" spans="1:9" x14ac:dyDescent="0.2">
      <c r="C70" s="7"/>
      <c r="D70" s="7"/>
      <c r="H70" s="7"/>
      <c r="I70" s="7"/>
    </row>
    <row r="71" spans="1:9" x14ac:dyDescent="0.2">
      <c r="A71" s="29"/>
      <c r="B71" s="17"/>
      <c r="C71" s="17"/>
      <c r="D71" s="25"/>
      <c r="F71" s="29"/>
      <c r="G71" s="17"/>
      <c r="H71" s="17"/>
      <c r="I71" s="25"/>
    </row>
    <row r="72" spans="1:9" x14ac:dyDescent="0.2">
      <c r="A72" s="30"/>
      <c r="B72" s="17"/>
      <c r="C72" s="17"/>
      <c r="D72" s="25"/>
      <c r="F72" s="30"/>
      <c r="G72" s="17"/>
      <c r="H72" s="17"/>
      <c r="I72" s="25"/>
    </row>
    <row r="73" spans="1:9" x14ac:dyDescent="0.2">
      <c r="A73" s="29"/>
      <c r="B73" s="17"/>
      <c r="C73" s="17"/>
      <c r="D73" s="25"/>
      <c r="F73" s="29"/>
      <c r="G73" s="17"/>
      <c r="H73" s="17"/>
      <c r="I73" s="25"/>
    </row>
    <row r="74" spans="1:9" x14ac:dyDescent="0.2">
      <c r="A74" s="30"/>
      <c r="B74" s="17"/>
      <c r="C74" s="17"/>
      <c r="D74" s="25"/>
      <c r="F74" s="30"/>
      <c r="G74" s="17"/>
      <c r="H74" s="17"/>
      <c r="I74" s="25"/>
    </row>
  </sheetData>
  <mergeCells count="21">
    <mergeCell ref="A47:G47"/>
    <mergeCell ref="I47:O47"/>
    <mergeCell ref="A62:B62"/>
    <mergeCell ref="A33:G33"/>
    <mergeCell ref="I33:O33"/>
    <mergeCell ref="A40:O40"/>
    <mergeCell ref="A41:G41"/>
    <mergeCell ref="I41:O41"/>
    <mergeCell ref="P13:V13"/>
    <mergeCell ref="P41:V41"/>
    <mergeCell ref="A19:G19"/>
    <mergeCell ref="I19:O19"/>
    <mergeCell ref="A26:O26"/>
    <mergeCell ref="A27:G27"/>
    <mergeCell ref="I27:O27"/>
    <mergeCell ref="P27:V27"/>
    <mergeCell ref="A5:G5"/>
    <mergeCell ref="A6:G6"/>
    <mergeCell ref="A12:O12"/>
    <mergeCell ref="A13:G13"/>
    <mergeCell ref="I13:O13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C58"/>
  <sheetViews>
    <sheetView workbookViewId="0">
      <selection activeCell="J4" sqref="A1:XFD1048576"/>
    </sheetView>
  </sheetViews>
  <sheetFormatPr baseColWidth="10" defaultRowHeight="21" x14ac:dyDescent="0.25"/>
  <cols>
    <col min="1" max="1" width="15" style="38" bestFit="1" customWidth="1"/>
    <col min="2" max="2" width="10.33203125" style="38" bestFit="1" customWidth="1"/>
    <col min="3" max="3" width="13" style="38" bestFit="1" customWidth="1"/>
    <col min="4" max="4" width="18.6640625" style="38" customWidth="1"/>
    <col min="5" max="5" width="13" style="38" bestFit="1" customWidth="1"/>
    <col min="6" max="6" width="13.1640625" style="38" bestFit="1" customWidth="1"/>
    <col min="7" max="7" width="16.83203125" style="38" customWidth="1"/>
    <col min="8" max="8" width="10.83203125" style="38"/>
    <col min="9" max="9" width="13.6640625" style="38" bestFit="1" customWidth="1"/>
    <col min="10" max="10" width="19.5" style="38" customWidth="1"/>
    <col min="11" max="11" width="13" style="38" bestFit="1" customWidth="1"/>
    <col min="12" max="12" width="7.5" style="38" bestFit="1" customWidth="1"/>
    <col min="13" max="13" width="17" style="38" customWidth="1"/>
    <col min="14" max="14" width="15.33203125" style="38" customWidth="1"/>
    <col min="15" max="15" width="8.1640625" style="38" customWidth="1"/>
    <col min="16" max="16" width="12" style="38" customWidth="1"/>
    <col min="17" max="17" width="14.5" style="38" customWidth="1"/>
    <col min="18" max="18" width="11" style="38" bestFit="1" customWidth="1"/>
    <col min="19" max="19" width="16" style="38" customWidth="1"/>
    <col min="20" max="16384" width="10.83203125" style="38"/>
  </cols>
  <sheetData>
    <row r="3" spans="1:26" x14ac:dyDescent="0.25">
      <c r="A3" s="38" t="s">
        <v>56</v>
      </c>
    </row>
    <row r="4" spans="1:26" ht="44" x14ac:dyDescent="0.25">
      <c r="A4" s="39" t="s">
        <v>0</v>
      </c>
      <c r="B4" s="40" t="s">
        <v>5</v>
      </c>
    </row>
    <row r="5" spans="1:26" x14ac:dyDescent="0.25">
      <c r="A5" s="41" t="s">
        <v>2</v>
      </c>
      <c r="B5" s="42">
        <v>127</v>
      </c>
      <c r="C5" s="43"/>
      <c r="D5" s="43"/>
      <c r="E5" s="43"/>
      <c r="F5" s="43"/>
      <c r="G5" s="43"/>
      <c r="H5" s="43"/>
    </row>
    <row r="6" spans="1:26" x14ac:dyDescent="0.25">
      <c r="A6" s="41" t="s">
        <v>3</v>
      </c>
      <c r="B6" s="42">
        <v>106</v>
      </c>
      <c r="C6" s="43"/>
      <c r="D6" s="43"/>
      <c r="E6" s="43"/>
      <c r="F6" s="43"/>
    </row>
    <row r="7" spans="1:26" x14ac:dyDescent="0.25">
      <c r="A7" s="44" t="s">
        <v>4</v>
      </c>
      <c r="B7" s="42">
        <v>111</v>
      </c>
      <c r="C7" s="43"/>
      <c r="D7" s="43"/>
      <c r="E7" s="43"/>
      <c r="F7" s="43"/>
    </row>
    <row r="8" spans="1:26" x14ac:dyDescent="0.25">
      <c r="A8" s="43"/>
      <c r="B8" s="43"/>
      <c r="C8" s="43"/>
      <c r="D8" s="43"/>
      <c r="E8" s="43"/>
      <c r="F8" s="43"/>
    </row>
    <row r="9" spans="1:26" x14ac:dyDescent="0.25">
      <c r="A9" s="67" t="s">
        <v>51</v>
      </c>
      <c r="D9" s="43"/>
      <c r="J9" s="67" t="s">
        <v>51</v>
      </c>
      <c r="M9" s="43"/>
    </row>
    <row r="10" spans="1:26" x14ac:dyDescent="0.25">
      <c r="A10" s="43" t="s">
        <v>11</v>
      </c>
      <c r="B10" s="43"/>
      <c r="C10" s="43"/>
      <c r="D10" s="43" t="s">
        <v>58</v>
      </c>
      <c r="E10" s="45"/>
      <c r="F10" s="45"/>
      <c r="G10" s="43" t="s">
        <v>31</v>
      </c>
      <c r="J10" s="43" t="s">
        <v>11</v>
      </c>
      <c r="K10" s="43"/>
      <c r="L10" s="43"/>
      <c r="M10" s="43" t="s">
        <v>58</v>
      </c>
      <c r="N10" s="45"/>
      <c r="P10" s="43" t="s">
        <v>31</v>
      </c>
      <c r="S10" s="43"/>
      <c r="T10" s="43" t="s">
        <v>56</v>
      </c>
      <c r="U10" s="43" t="s">
        <v>51</v>
      </c>
      <c r="V10" s="43" t="s">
        <v>52</v>
      </c>
      <c r="W10" s="46" t="s">
        <v>53</v>
      </c>
    </row>
    <row r="11" spans="1:26" ht="44" x14ac:dyDescent="0.25">
      <c r="A11" s="40" t="s">
        <v>0</v>
      </c>
      <c r="B11" s="40" t="s">
        <v>5</v>
      </c>
      <c r="C11" s="42"/>
      <c r="D11" s="40" t="s">
        <v>0</v>
      </c>
      <c r="E11" s="40" t="s">
        <v>5</v>
      </c>
      <c r="G11" s="40" t="s">
        <v>0</v>
      </c>
      <c r="H11" s="40" t="s">
        <v>5</v>
      </c>
      <c r="J11" s="40" t="s">
        <v>0</v>
      </c>
      <c r="K11" s="40" t="s">
        <v>5</v>
      </c>
      <c r="L11" s="42"/>
      <c r="M11" s="40" t="s">
        <v>0</v>
      </c>
      <c r="N11" s="40" t="s">
        <v>5</v>
      </c>
      <c r="P11" s="40" t="s">
        <v>0</v>
      </c>
      <c r="Q11" s="40" t="s">
        <v>5</v>
      </c>
      <c r="S11" s="43" t="s">
        <v>11</v>
      </c>
      <c r="T11" s="43">
        <v>1</v>
      </c>
      <c r="U11" s="43">
        <f>AVERAGE(K12:K14)</f>
        <v>16.662046833640954</v>
      </c>
      <c r="V11" s="43">
        <f>AVERAGE(K26:K28)</f>
        <v>53.96746843411529</v>
      </c>
      <c r="W11" s="43">
        <f>AVERAGE(K40:K42)</f>
        <v>71.181117084994654</v>
      </c>
    </row>
    <row r="12" spans="1:26" x14ac:dyDescent="0.25">
      <c r="A12" s="44" t="s">
        <v>68</v>
      </c>
      <c r="B12" s="42">
        <v>1956</v>
      </c>
      <c r="C12" s="42"/>
      <c r="D12" s="44" t="s">
        <v>61</v>
      </c>
      <c r="E12" s="42">
        <v>241</v>
      </c>
      <c r="G12" s="44" t="s">
        <v>32</v>
      </c>
      <c r="H12" s="43">
        <v>846</v>
      </c>
      <c r="J12" s="44" t="s">
        <v>68</v>
      </c>
      <c r="K12" s="42">
        <f>B12/B5</f>
        <v>15.401574803149606</v>
      </c>
      <c r="L12" s="42"/>
      <c r="M12" s="44" t="s">
        <v>61</v>
      </c>
      <c r="N12" s="42">
        <f>E12/B5</f>
        <v>1.8976377952755905</v>
      </c>
      <c r="P12" s="44" t="s">
        <v>32</v>
      </c>
      <c r="Q12" s="43">
        <f>H12/B5</f>
        <v>6.6614173228346454</v>
      </c>
      <c r="S12" s="43" t="s">
        <v>12</v>
      </c>
      <c r="T12" s="43">
        <v>1</v>
      </c>
      <c r="U12" s="43">
        <f>AVERAGE(K18:K20)</f>
        <v>2.1957316847377757</v>
      </c>
      <c r="V12" s="43">
        <f>AVERAGE(K32:K34)</f>
        <v>1.4443373696085031</v>
      </c>
      <c r="W12" s="43">
        <f>AVERAGE(K46:K48)</f>
        <v>1.1202345563510325</v>
      </c>
    </row>
    <row r="13" spans="1:26" x14ac:dyDescent="0.25">
      <c r="A13" s="44" t="s">
        <v>69</v>
      </c>
      <c r="B13" s="42">
        <v>1842</v>
      </c>
      <c r="C13" s="42"/>
      <c r="D13" s="44" t="s">
        <v>62</v>
      </c>
      <c r="E13" s="42">
        <v>162</v>
      </c>
      <c r="G13" s="44" t="s">
        <v>33</v>
      </c>
      <c r="H13" s="43">
        <v>821</v>
      </c>
      <c r="J13" s="44" t="s">
        <v>69</v>
      </c>
      <c r="K13" s="42">
        <f>B13/B6</f>
        <v>17.377358490566039</v>
      </c>
      <c r="L13" s="42"/>
      <c r="M13" s="44" t="s">
        <v>62</v>
      </c>
      <c r="N13" s="42">
        <f>E13/B6</f>
        <v>1.5283018867924529</v>
      </c>
      <c r="P13" s="44" t="s">
        <v>33</v>
      </c>
      <c r="Q13" s="43">
        <f t="shared" ref="Q13:Q14" si="0">H13/B6</f>
        <v>7.7452830188679247</v>
      </c>
      <c r="S13" s="43" t="s">
        <v>58</v>
      </c>
      <c r="T13" s="43">
        <v>1</v>
      </c>
      <c r="U13" s="43">
        <f>AVERAGE(N12:N14)</f>
        <v>1.6945324465752336</v>
      </c>
      <c r="V13" s="43">
        <f>AVERAGE(N26:N28)</f>
        <v>1.3821732890221972</v>
      </c>
      <c r="W13" s="43">
        <f>AVERAGE(N40:N42)</f>
        <v>1.3672497337628817</v>
      </c>
      <c r="Z13" s="43"/>
    </row>
    <row r="14" spans="1:26" x14ac:dyDescent="0.25">
      <c r="A14" s="44" t="s">
        <v>70</v>
      </c>
      <c r="B14" s="42">
        <v>1910</v>
      </c>
      <c r="C14" s="42"/>
      <c r="D14" s="44" t="s">
        <v>64</v>
      </c>
      <c r="E14" s="42">
        <v>184</v>
      </c>
      <c r="G14" s="66" t="s">
        <v>34</v>
      </c>
      <c r="H14" s="43">
        <v>852</v>
      </c>
      <c r="J14" s="44" t="s">
        <v>70</v>
      </c>
      <c r="K14" s="42">
        <f>B14/B7</f>
        <v>17.207207207207208</v>
      </c>
      <c r="L14" s="42"/>
      <c r="M14" s="44" t="s">
        <v>64</v>
      </c>
      <c r="N14" s="42">
        <f>E14/B7</f>
        <v>1.6576576576576576</v>
      </c>
      <c r="P14" s="66" t="s">
        <v>34</v>
      </c>
      <c r="Q14" s="43">
        <f t="shared" si="0"/>
        <v>7.6756756756756754</v>
      </c>
      <c r="S14" s="43" t="s">
        <v>15</v>
      </c>
      <c r="T14" s="43">
        <v>1</v>
      </c>
      <c r="U14" s="43">
        <f>AVERAGE(N18:N20)</f>
        <v>1.2472052352456453</v>
      </c>
      <c r="V14" s="43">
        <f>AVERAGE(N32:N34)</f>
        <v>0.58249959958472808</v>
      </c>
      <c r="W14" s="43">
        <f>AVERAGE(N46:N48)</f>
        <v>0.42116682125596111</v>
      </c>
    </row>
    <row r="15" spans="1:26" x14ac:dyDescent="0.25">
      <c r="A15" s="44"/>
      <c r="B15" s="42"/>
      <c r="C15" s="47"/>
      <c r="D15" s="42"/>
      <c r="E15" s="47"/>
      <c r="F15" s="47"/>
      <c r="J15" s="44"/>
      <c r="K15" s="42"/>
      <c r="L15" s="47"/>
      <c r="M15" s="42"/>
      <c r="N15" s="47"/>
      <c r="O15" s="42"/>
      <c r="S15" s="43" t="s">
        <v>31</v>
      </c>
      <c r="T15" s="43">
        <v>1</v>
      </c>
      <c r="U15" s="43">
        <f>AVERAGE(Q12:Q14)</f>
        <v>7.3607920057927485</v>
      </c>
      <c r="V15" s="43">
        <f>AVERAGE(Q26:Q28)</f>
        <v>11.370783426421518</v>
      </c>
      <c r="W15" s="43">
        <f>AVERAGE(Q40:Q42)</f>
        <v>11.195382353085519</v>
      </c>
    </row>
    <row r="16" spans="1:26" x14ac:dyDescent="0.25">
      <c r="A16" s="43" t="s">
        <v>12</v>
      </c>
      <c r="B16" s="43"/>
      <c r="C16" s="43"/>
      <c r="D16" s="43" t="s">
        <v>63</v>
      </c>
      <c r="E16" s="43"/>
      <c r="F16" s="43"/>
      <c r="J16" s="43" t="s">
        <v>12</v>
      </c>
      <c r="K16" s="43"/>
      <c r="L16" s="43"/>
      <c r="M16" s="43" t="s">
        <v>63</v>
      </c>
      <c r="N16" s="43"/>
      <c r="O16" s="43"/>
      <c r="S16" s="43"/>
      <c r="T16" s="43"/>
      <c r="U16" s="43"/>
      <c r="V16" s="43"/>
      <c r="W16" s="43"/>
    </row>
    <row r="17" spans="1:29" ht="44" x14ac:dyDescent="0.25">
      <c r="A17" s="40" t="s">
        <v>0</v>
      </c>
      <c r="B17" s="40" t="s">
        <v>5</v>
      </c>
      <c r="C17" s="48"/>
      <c r="D17" s="40" t="s">
        <v>0</v>
      </c>
      <c r="E17" s="40" t="s">
        <v>5</v>
      </c>
      <c r="J17" s="40" t="s">
        <v>0</v>
      </c>
      <c r="K17" s="40" t="s">
        <v>5</v>
      </c>
      <c r="L17" s="48"/>
      <c r="M17" s="40" t="s">
        <v>0</v>
      </c>
      <c r="N17" s="40" t="s">
        <v>5</v>
      </c>
      <c r="S17" s="43"/>
      <c r="T17" s="43" t="s">
        <v>56</v>
      </c>
      <c r="U17" s="43" t="s">
        <v>57</v>
      </c>
      <c r="V17" s="43" t="s">
        <v>59</v>
      </c>
      <c r="W17" s="43" t="s">
        <v>60</v>
      </c>
    </row>
    <row r="18" spans="1:29" x14ac:dyDescent="0.25">
      <c r="A18" s="49" t="s">
        <v>28</v>
      </c>
      <c r="B18" s="49">
        <v>257</v>
      </c>
      <c r="C18" s="48"/>
      <c r="D18" s="49" t="s">
        <v>65</v>
      </c>
      <c r="E18" s="42">
        <v>150</v>
      </c>
      <c r="J18" s="49" t="s">
        <v>28</v>
      </c>
      <c r="K18" s="42">
        <f>B18/B5</f>
        <v>2.0236220472440944</v>
      </c>
      <c r="L18" s="48"/>
      <c r="M18" s="49" t="s">
        <v>65</v>
      </c>
      <c r="N18" s="42">
        <f>E18/B5</f>
        <v>1.1811023622047243</v>
      </c>
      <c r="S18" s="43" t="s">
        <v>11</v>
      </c>
      <c r="T18" s="43">
        <v>0</v>
      </c>
      <c r="U18" s="43">
        <f>STDEV(K12:K14)</f>
        <v>1.0949110327078613</v>
      </c>
      <c r="V18" s="43">
        <f>STDEV(K26:K28)</f>
        <v>4.8543522304843076</v>
      </c>
      <c r="W18" s="43">
        <f>STDEV(K40:K42)</f>
        <v>8.954130650426908</v>
      </c>
    </row>
    <row r="19" spans="1:29" x14ac:dyDescent="0.25">
      <c r="A19" s="49" t="s">
        <v>29</v>
      </c>
      <c r="B19" s="49">
        <v>245</v>
      </c>
      <c r="C19" s="48"/>
      <c r="D19" s="49" t="s">
        <v>66</v>
      </c>
      <c r="E19" s="42">
        <v>153</v>
      </c>
      <c r="J19" s="49" t="s">
        <v>29</v>
      </c>
      <c r="K19" s="42">
        <f>B19/B6</f>
        <v>2.3113207547169812</v>
      </c>
      <c r="L19" s="48"/>
      <c r="M19" s="49" t="s">
        <v>66</v>
      </c>
      <c r="N19" s="42">
        <f t="shared" ref="N19:N20" si="1">E19/B6</f>
        <v>1.4433962264150944</v>
      </c>
      <c r="S19" s="43" t="s">
        <v>12</v>
      </c>
      <c r="T19" s="43">
        <v>0</v>
      </c>
      <c r="U19" s="43">
        <f>STDEV(K18:K20)</f>
        <v>0.15194922666638114</v>
      </c>
      <c r="V19" s="43">
        <f>STDEV(K32:K34)</f>
        <v>7.4239900727901612E-2</v>
      </c>
      <c r="W19" s="43">
        <f>STDEV(K46:K48)</f>
        <v>3.6194613757519034E-2</v>
      </c>
    </row>
    <row r="20" spans="1:29" x14ac:dyDescent="0.25">
      <c r="A20" s="49" t="s">
        <v>30</v>
      </c>
      <c r="B20" s="49">
        <v>250</v>
      </c>
      <c r="C20" s="48"/>
      <c r="D20" s="49" t="s">
        <v>67</v>
      </c>
      <c r="E20" s="42">
        <v>124</v>
      </c>
      <c r="J20" s="49" t="s">
        <v>30</v>
      </c>
      <c r="K20" s="42">
        <f>B20/B7</f>
        <v>2.2522522522522523</v>
      </c>
      <c r="L20" s="48"/>
      <c r="M20" s="49" t="s">
        <v>67</v>
      </c>
      <c r="N20" s="42">
        <f t="shared" si="1"/>
        <v>1.117117117117117</v>
      </c>
      <c r="S20" s="43" t="s">
        <v>58</v>
      </c>
      <c r="T20" s="43">
        <v>0</v>
      </c>
      <c r="U20" s="43">
        <f>STDEV(N12:N14)</f>
        <v>0.18740882014209734</v>
      </c>
      <c r="V20" s="43">
        <f>STDEV(N26:N28)</f>
        <v>0.12136632101747463</v>
      </c>
      <c r="W20" s="43">
        <f>STDEV(N40:N42)</f>
        <v>0.24967511884546437</v>
      </c>
    </row>
    <row r="21" spans="1:29" x14ac:dyDescent="0.25">
      <c r="S21" s="43" t="s">
        <v>15</v>
      </c>
      <c r="T21" s="43">
        <v>0</v>
      </c>
      <c r="U21" s="43">
        <f>STDEV(N18:N20)</f>
        <v>0.17289218218088434</v>
      </c>
      <c r="V21" s="43">
        <f>STDEV(N32:N34)</f>
        <v>6.6547712893859814E-2</v>
      </c>
      <c r="W21" s="43">
        <f>STDEV(N46:N48)</f>
        <v>4.6043683224671145E-2</v>
      </c>
    </row>
    <row r="22" spans="1:29" x14ac:dyDescent="0.25">
      <c r="S22" s="43" t="s">
        <v>31</v>
      </c>
      <c r="T22" s="43">
        <v>0</v>
      </c>
      <c r="U22" s="43">
        <f>STDEV(Q12:Q14)</f>
        <v>0.60667537112415515</v>
      </c>
      <c r="V22" s="43">
        <f>STDEV(Q26:Q28)</f>
        <v>1.0736746291936321</v>
      </c>
      <c r="W22" s="43">
        <f>STDEV(Q40:Q42)</f>
        <v>1.1493557414732936</v>
      </c>
    </row>
    <row r="23" spans="1:29" x14ac:dyDescent="0.25">
      <c r="A23" s="67" t="s">
        <v>52</v>
      </c>
      <c r="J23" s="67" t="s">
        <v>52</v>
      </c>
    </row>
    <row r="24" spans="1:29" x14ac:dyDescent="0.25">
      <c r="A24" s="43" t="s">
        <v>11</v>
      </c>
      <c r="B24" s="43"/>
      <c r="C24" s="43"/>
      <c r="D24" s="43" t="s">
        <v>58</v>
      </c>
      <c r="E24" s="45"/>
      <c r="F24" s="45"/>
      <c r="G24" s="43" t="s">
        <v>31</v>
      </c>
      <c r="J24" s="43" t="s">
        <v>11</v>
      </c>
      <c r="K24" s="43"/>
      <c r="L24" s="43"/>
      <c r="M24" s="43" t="s">
        <v>58</v>
      </c>
      <c r="N24" s="45"/>
      <c r="P24" s="43" t="s">
        <v>31</v>
      </c>
    </row>
    <row r="25" spans="1:29" ht="44" x14ac:dyDescent="0.25">
      <c r="A25" s="40" t="s">
        <v>0</v>
      </c>
      <c r="B25" s="40" t="s">
        <v>5</v>
      </c>
      <c r="C25" s="42"/>
      <c r="D25" s="40" t="s">
        <v>0</v>
      </c>
      <c r="E25" s="40" t="s">
        <v>5</v>
      </c>
      <c r="G25" s="40" t="s">
        <v>0</v>
      </c>
      <c r="H25" s="40" t="s">
        <v>5</v>
      </c>
      <c r="J25" s="40" t="s">
        <v>0</v>
      </c>
      <c r="K25" s="40" t="s">
        <v>5</v>
      </c>
      <c r="L25" s="42"/>
      <c r="M25" s="40" t="s">
        <v>0</v>
      </c>
      <c r="N25" s="40" t="s">
        <v>5</v>
      </c>
      <c r="P25" s="40" t="s">
        <v>0</v>
      </c>
      <c r="Q25" s="40" t="s">
        <v>5</v>
      </c>
    </row>
    <row r="26" spans="1:29" x14ac:dyDescent="0.25">
      <c r="A26" s="44" t="s">
        <v>68</v>
      </c>
      <c r="B26" s="42">
        <v>6142</v>
      </c>
      <c r="C26" s="42"/>
      <c r="D26" s="44" t="s">
        <v>61</v>
      </c>
      <c r="E26" s="42">
        <v>161</v>
      </c>
      <c r="G26" s="44" t="s">
        <v>32</v>
      </c>
      <c r="H26" s="43">
        <v>1290</v>
      </c>
      <c r="J26" s="44" t="s">
        <v>68</v>
      </c>
      <c r="K26" s="42">
        <f>B26/B5</f>
        <v>48.362204724409452</v>
      </c>
      <c r="L26" s="42"/>
      <c r="M26" s="44" t="s">
        <v>61</v>
      </c>
      <c r="N26" s="42">
        <f>E26/B5</f>
        <v>1.2677165354330708</v>
      </c>
      <c r="P26" s="44" t="s">
        <v>32</v>
      </c>
      <c r="Q26" s="43">
        <f>H26/B5</f>
        <v>10.15748031496063</v>
      </c>
      <c r="X26" s="43"/>
      <c r="Y26" s="43"/>
      <c r="Z26" s="43"/>
      <c r="AA26" s="43"/>
      <c r="AB26" s="43"/>
      <c r="AC26" s="43"/>
    </row>
    <row r="27" spans="1:29" x14ac:dyDescent="0.25">
      <c r="A27" s="44" t="s">
        <v>69</v>
      </c>
      <c r="B27" s="42">
        <v>6020</v>
      </c>
      <c r="C27" s="42"/>
      <c r="D27" s="44" t="s">
        <v>62</v>
      </c>
      <c r="E27" s="42">
        <v>160</v>
      </c>
      <c r="G27" s="44" t="s">
        <v>33</v>
      </c>
      <c r="H27" s="43">
        <v>1293</v>
      </c>
      <c r="J27" s="44" t="s">
        <v>69</v>
      </c>
      <c r="K27" s="42">
        <f>B27/B6</f>
        <v>56.79245283018868</v>
      </c>
      <c r="L27" s="42"/>
      <c r="M27" s="44" t="s">
        <v>62</v>
      </c>
      <c r="N27" s="42">
        <f>E27/B6</f>
        <v>1.5094339622641511</v>
      </c>
      <c r="P27" s="44" t="s">
        <v>33</v>
      </c>
      <c r="Q27" s="43">
        <f>H27/B6</f>
        <v>12.19811320754717</v>
      </c>
    </row>
    <row r="28" spans="1:29" x14ac:dyDescent="0.25">
      <c r="A28" s="44" t="s">
        <v>70</v>
      </c>
      <c r="B28" s="42">
        <v>6299</v>
      </c>
      <c r="C28" s="42"/>
      <c r="D28" s="44" t="s">
        <v>64</v>
      </c>
      <c r="E28" s="42">
        <v>152</v>
      </c>
      <c r="G28" s="66" t="s">
        <v>34</v>
      </c>
      <c r="H28" s="43">
        <v>1305</v>
      </c>
      <c r="J28" s="44" t="s">
        <v>70</v>
      </c>
      <c r="K28" s="42">
        <f>B28/B7</f>
        <v>56.747747747747745</v>
      </c>
      <c r="L28" s="42"/>
      <c r="M28" s="44" t="s">
        <v>64</v>
      </c>
      <c r="N28" s="42">
        <f>E28/B7</f>
        <v>1.3693693693693694</v>
      </c>
      <c r="P28" s="66" t="s">
        <v>34</v>
      </c>
      <c r="Q28" s="43">
        <f>H28/B7</f>
        <v>11.756756756756756</v>
      </c>
    </row>
    <row r="29" spans="1:29" x14ac:dyDescent="0.25">
      <c r="A29" s="44"/>
      <c r="B29" s="42"/>
      <c r="C29" s="47"/>
      <c r="D29" s="42"/>
      <c r="E29" s="47"/>
      <c r="F29" s="47"/>
      <c r="J29" s="44"/>
      <c r="K29" s="42"/>
      <c r="L29" s="47"/>
      <c r="M29" s="42"/>
      <c r="N29" s="47"/>
      <c r="O29" s="42"/>
    </row>
    <row r="30" spans="1:29" x14ac:dyDescent="0.25">
      <c r="A30" s="43" t="s">
        <v>12</v>
      </c>
      <c r="B30" s="43"/>
      <c r="C30" s="43"/>
      <c r="D30" s="43" t="s">
        <v>63</v>
      </c>
      <c r="E30" s="43"/>
      <c r="F30" s="43"/>
      <c r="J30" s="68" t="s">
        <v>12</v>
      </c>
      <c r="K30" s="68"/>
      <c r="L30" s="68"/>
      <c r="M30" s="68" t="s">
        <v>63</v>
      </c>
      <c r="N30" s="43"/>
      <c r="O30" s="43"/>
    </row>
    <row r="31" spans="1:29" ht="44" x14ac:dyDescent="0.25">
      <c r="A31" s="40" t="s">
        <v>0</v>
      </c>
      <c r="B31" s="40" t="s">
        <v>5</v>
      </c>
      <c r="C31" s="48"/>
      <c r="D31" s="40" t="s">
        <v>0</v>
      </c>
      <c r="E31" s="40" t="s">
        <v>5</v>
      </c>
      <c r="J31" s="40" t="s">
        <v>0</v>
      </c>
      <c r="K31" s="40" t="s">
        <v>5</v>
      </c>
      <c r="L31" s="48"/>
      <c r="M31" s="40" t="s">
        <v>0</v>
      </c>
      <c r="N31" s="40" t="s">
        <v>5</v>
      </c>
    </row>
    <row r="32" spans="1:29" x14ac:dyDescent="0.25">
      <c r="A32" s="49" t="s">
        <v>28</v>
      </c>
      <c r="B32" s="49">
        <v>180</v>
      </c>
      <c r="C32" s="48"/>
      <c r="D32" s="49" t="s">
        <v>65</v>
      </c>
      <c r="E32" s="42">
        <v>76</v>
      </c>
      <c r="J32" s="49" t="s">
        <v>28</v>
      </c>
      <c r="K32" s="42">
        <f>B32/B5</f>
        <v>1.4173228346456692</v>
      </c>
      <c r="L32" s="48"/>
      <c r="M32" s="49" t="s">
        <v>65</v>
      </c>
      <c r="N32" s="42">
        <f>E32/B5</f>
        <v>0.59842519685039375</v>
      </c>
    </row>
    <row r="33" spans="1:17" x14ac:dyDescent="0.25">
      <c r="A33" s="49" t="s">
        <v>29</v>
      </c>
      <c r="B33" s="49">
        <v>162</v>
      </c>
      <c r="C33" s="48"/>
      <c r="D33" s="49" t="s">
        <v>66</v>
      </c>
      <c r="E33" s="42">
        <v>54</v>
      </c>
      <c r="J33" s="49" t="s">
        <v>29</v>
      </c>
      <c r="K33" s="42">
        <f>B33/B6</f>
        <v>1.5283018867924529</v>
      </c>
      <c r="L33" s="48"/>
      <c r="M33" s="49" t="s">
        <v>66</v>
      </c>
      <c r="N33" s="42">
        <f>E33/B6</f>
        <v>0.50943396226415094</v>
      </c>
    </row>
    <row r="34" spans="1:17" x14ac:dyDescent="0.25">
      <c r="A34" s="49" t="s">
        <v>30</v>
      </c>
      <c r="B34" s="49">
        <v>154</v>
      </c>
      <c r="C34" s="48"/>
      <c r="D34" s="49" t="s">
        <v>67</v>
      </c>
      <c r="E34" s="42">
        <v>71</v>
      </c>
      <c r="J34" s="49" t="s">
        <v>30</v>
      </c>
      <c r="K34" s="42">
        <f>B34/B7</f>
        <v>1.3873873873873874</v>
      </c>
      <c r="L34" s="48"/>
      <c r="M34" s="49" t="s">
        <v>67</v>
      </c>
      <c r="N34" s="42">
        <f>E34/B7</f>
        <v>0.63963963963963966</v>
      </c>
    </row>
    <row r="37" spans="1:17" x14ac:dyDescent="0.25">
      <c r="A37" s="67" t="s">
        <v>53</v>
      </c>
      <c r="J37" s="67" t="s">
        <v>53</v>
      </c>
    </row>
    <row r="38" spans="1:17" x14ac:dyDescent="0.25">
      <c r="A38" s="43" t="s">
        <v>11</v>
      </c>
      <c r="B38" s="43"/>
      <c r="C38" s="43"/>
      <c r="D38" s="43" t="s">
        <v>58</v>
      </c>
      <c r="E38" s="45"/>
      <c r="F38" s="45"/>
      <c r="G38" s="43" t="s">
        <v>31</v>
      </c>
      <c r="J38" s="43" t="s">
        <v>11</v>
      </c>
      <c r="K38" s="43"/>
      <c r="L38" s="43"/>
      <c r="M38" s="43" t="s">
        <v>58</v>
      </c>
      <c r="N38" s="45"/>
      <c r="P38" s="43" t="s">
        <v>31</v>
      </c>
    </row>
    <row r="39" spans="1:17" ht="44" x14ac:dyDescent="0.25">
      <c r="A39" s="40" t="s">
        <v>0</v>
      </c>
      <c r="B39" s="40" t="s">
        <v>5</v>
      </c>
      <c r="C39" s="42"/>
      <c r="D39" s="40" t="s">
        <v>0</v>
      </c>
      <c r="E39" s="40" t="s">
        <v>5</v>
      </c>
      <c r="G39" s="40" t="s">
        <v>0</v>
      </c>
      <c r="H39" s="40" t="s">
        <v>5</v>
      </c>
      <c r="J39" s="40" t="s">
        <v>0</v>
      </c>
      <c r="K39" s="40" t="s">
        <v>5</v>
      </c>
      <c r="L39" s="42"/>
      <c r="M39" s="40" t="s">
        <v>0</v>
      </c>
      <c r="N39" s="40" t="s">
        <v>5</v>
      </c>
      <c r="P39" s="40" t="s">
        <v>0</v>
      </c>
      <c r="Q39" s="40" t="s">
        <v>5</v>
      </c>
    </row>
    <row r="40" spans="1:17" x14ac:dyDescent="0.25">
      <c r="A40" s="44" t="s">
        <v>68</v>
      </c>
      <c r="B40" s="42">
        <v>8204</v>
      </c>
      <c r="C40" s="42"/>
      <c r="D40" s="44" t="s">
        <v>61</v>
      </c>
      <c r="E40" s="42">
        <v>166</v>
      </c>
      <c r="G40" s="44" t="s">
        <v>32</v>
      </c>
      <c r="H40" s="43">
        <v>1257</v>
      </c>
      <c r="J40" s="44" t="s">
        <v>68</v>
      </c>
      <c r="K40" s="42">
        <f>B40/B5</f>
        <v>64.5984251968504</v>
      </c>
      <c r="L40" s="42"/>
      <c r="M40" s="44" t="s">
        <v>61</v>
      </c>
      <c r="N40" s="42">
        <f>E40/B5</f>
        <v>1.3070866141732282</v>
      </c>
      <c r="P40" s="44" t="s">
        <v>32</v>
      </c>
      <c r="Q40" s="43">
        <f>H40/B5</f>
        <v>9.8976377952755907</v>
      </c>
    </row>
    <row r="41" spans="1:17" x14ac:dyDescent="0.25">
      <c r="A41" s="44" t="s">
        <v>69</v>
      </c>
      <c r="B41" s="42">
        <v>8626</v>
      </c>
      <c r="C41" s="42"/>
      <c r="D41" s="44" t="s">
        <v>62</v>
      </c>
      <c r="E41" s="42">
        <v>174</v>
      </c>
      <c r="G41" s="44" t="s">
        <v>33</v>
      </c>
      <c r="H41" s="43">
        <v>1281</v>
      </c>
      <c r="J41" s="44" t="s">
        <v>69</v>
      </c>
      <c r="K41" s="42">
        <f>B41/B6</f>
        <v>81.377358490566039</v>
      </c>
      <c r="L41" s="42"/>
      <c r="M41" s="44" t="s">
        <v>62</v>
      </c>
      <c r="N41" s="42">
        <f>E41/B6</f>
        <v>1.6415094339622642</v>
      </c>
      <c r="P41" s="44" t="s">
        <v>33</v>
      </c>
      <c r="Q41" s="43">
        <f>H41/B6</f>
        <v>12.084905660377359</v>
      </c>
    </row>
    <row r="42" spans="1:17" x14ac:dyDescent="0.25">
      <c r="A42" s="44" t="s">
        <v>70</v>
      </c>
      <c r="B42" s="42">
        <v>7500</v>
      </c>
      <c r="C42" s="42"/>
      <c r="D42" s="44" t="s">
        <v>64</v>
      </c>
      <c r="E42" s="42">
        <v>128</v>
      </c>
      <c r="G42" s="66" t="s">
        <v>34</v>
      </c>
      <c r="H42" s="43">
        <v>1288</v>
      </c>
      <c r="J42" s="44" t="s">
        <v>70</v>
      </c>
      <c r="K42" s="42">
        <f>B42/B7</f>
        <v>67.567567567567565</v>
      </c>
      <c r="L42" s="42"/>
      <c r="M42" s="44" t="s">
        <v>64</v>
      </c>
      <c r="N42" s="42">
        <f>E42/B7</f>
        <v>1.1531531531531531</v>
      </c>
      <c r="P42" s="66" t="s">
        <v>34</v>
      </c>
      <c r="Q42" s="43">
        <f>H42/B7</f>
        <v>11.603603603603604</v>
      </c>
    </row>
    <row r="43" spans="1:17" x14ac:dyDescent="0.25">
      <c r="A43" s="44"/>
      <c r="B43" s="42"/>
      <c r="C43" s="47"/>
      <c r="D43" s="42"/>
      <c r="E43" s="47"/>
      <c r="F43" s="47"/>
      <c r="J43" s="44"/>
      <c r="K43" s="42"/>
      <c r="L43" s="47"/>
      <c r="M43" s="42"/>
      <c r="N43" s="47"/>
      <c r="O43" s="42"/>
    </row>
    <row r="44" spans="1:17" x14ac:dyDescent="0.25">
      <c r="A44" s="43" t="s">
        <v>12</v>
      </c>
      <c r="B44" s="43"/>
      <c r="C44" s="43"/>
      <c r="D44" s="43" t="s">
        <v>63</v>
      </c>
      <c r="E44" s="43"/>
      <c r="F44" s="43"/>
      <c r="J44" s="68" t="s">
        <v>12</v>
      </c>
      <c r="K44" s="68"/>
      <c r="L44" s="68"/>
      <c r="M44" s="68" t="s">
        <v>63</v>
      </c>
      <c r="N44" s="43"/>
      <c r="O44" s="43"/>
    </row>
    <row r="45" spans="1:17" ht="44" x14ac:dyDescent="0.25">
      <c r="A45" s="40" t="s">
        <v>0</v>
      </c>
      <c r="B45" s="40" t="s">
        <v>5</v>
      </c>
      <c r="C45" s="48"/>
      <c r="D45" s="40" t="s">
        <v>0</v>
      </c>
      <c r="E45" s="40" t="s">
        <v>5</v>
      </c>
      <c r="J45" s="40" t="s">
        <v>0</v>
      </c>
      <c r="K45" s="40" t="s">
        <v>5</v>
      </c>
      <c r="L45" s="48"/>
      <c r="M45" s="40" t="s">
        <v>0</v>
      </c>
      <c r="N45" s="40" t="s">
        <v>5</v>
      </c>
    </row>
    <row r="46" spans="1:17" x14ac:dyDescent="0.25">
      <c r="A46" s="49" t="s">
        <v>28</v>
      </c>
      <c r="B46" s="49">
        <v>141</v>
      </c>
      <c r="C46" s="48"/>
      <c r="D46" s="49" t="s">
        <v>65</v>
      </c>
      <c r="E46" s="42">
        <v>47</v>
      </c>
      <c r="J46" s="49" t="s">
        <v>28</v>
      </c>
      <c r="K46" s="42">
        <f>B46/B5</f>
        <v>1.110236220472441</v>
      </c>
      <c r="L46" s="48"/>
      <c r="M46" s="49" t="s">
        <v>65</v>
      </c>
      <c r="N46" s="42">
        <f>E46/B5</f>
        <v>0.37007874015748032</v>
      </c>
    </row>
    <row r="47" spans="1:17" x14ac:dyDescent="0.25">
      <c r="A47" s="49" t="s">
        <v>29</v>
      </c>
      <c r="B47" s="49">
        <v>123</v>
      </c>
      <c r="C47" s="48"/>
      <c r="D47" s="49" t="s">
        <v>66</v>
      </c>
      <c r="E47" s="42">
        <v>46</v>
      </c>
      <c r="J47" s="49" t="s">
        <v>29</v>
      </c>
      <c r="K47" s="42">
        <f>B47/B6</f>
        <v>1.1603773584905661</v>
      </c>
      <c r="L47" s="48"/>
      <c r="M47" s="49" t="s">
        <v>66</v>
      </c>
      <c r="N47" s="42">
        <f>E47/B6</f>
        <v>0.43396226415094341</v>
      </c>
    </row>
    <row r="48" spans="1:17" x14ac:dyDescent="0.25">
      <c r="A48" s="49" t="s">
        <v>30</v>
      </c>
      <c r="B48" s="49">
        <v>121</v>
      </c>
      <c r="C48" s="48"/>
      <c r="D48" s="49" t="s">
        <v>67</v>
      </c>
      <c r="E48" s="42">
        <v>51</v>
      </c>
      <c r="J48" s="49" t="s">
        <v>30</v>
      </c>
      <c r="K48" s="42">
        <f>B48/B7</f>
        <v>1.0900900900900901</v>
      </c>
      <c r="L48" s="48"/>
      <c r="M48" s="49" t="s">
        <v>67</v>
      </c>
      <c r="N48" s="42">
        <f>E48/B7</f>
        <v>0.45945945945945948</v>
      </c>
    </row>
    <row r="52" spans="12:15" x14ac:dyDescent="0.25">
      <c r="L52" s="43"/>
      <c r="M52" s="43"/>
      <c r="N52" s="43"/>
      <c r="O52" s="43"/>
    </row>
    <row r="57" spans="12:15" x14ac:dyDescent="0.25">
      <c r="L57" s="42"/>
      <c r="M57" s="47"/>
      <c r="N57" s="47"/>
      <c r="O57" s="47"/>
    </row>
    <row r="58" spans="12:15" x14ac:dyDescent="0.25">
      <c r="L58" s="43"/>
      <c r="M58" s="43"/>
      <c r="N58" s="43"/>
      <c r="O58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C14F-32FC-3A41-A5B6-4A3B6F10CC50}">
  <dimension ref="A3:AC58"/>
  <sheetViews>
    <sheetView topLeftCell="F8" workbookViewId="0">
      <selection activeCell="H40" sqref="H40:H42"/>
    </sheetView>
  </sheetViews>
  <sheetFormatPr baseColWidth="10" defaultRowHeight="15" x14ac:dyDescent="0.25"/>
  <cols>
    <col min="1" max="1" width="15" style="38" bestFit="1" customWidth="1"/>
    <col min="2" max="2" width="10.33203125" style="38" bestFit="1" customWidth="1"/>
    <col min="3" max="3" width="13" style="38" bestFit="1" customWidth="1"/>
    <col min="4" max="4" width="18.6640625" style="38" customWidth="1"/>
    <col min="5" max="5" width="13" style="38" bestFit="1" customWidth="1"/>
    <col min="6" max="6" width="13.1640625" style="38" bestFit="1" customWidth="1"/>
    <col min="7" max="7" width="16.83203125" style="38" customWidth="1"/>
    <col min="8" max="8" width="10.83203125" style="38"/>
    <col min="9" max="9" width="13.6640625" style="38" bestFit="1" customWidth="1"/>
    <col min="10" max="10" width="19.5" style="38" customWidth="1"/>
    <col min="11" max="11" width="13" style="38" bestFit="1" customWidth="1"/>
    <col min="12" max="12" width="7.5" style="38" bestFit="1" customWidth="1"/>
    <col min="13" max="13" width="17" style="38" customWidth="1"/>
    <col min="14" max="14" width="15.33203125" style="38" customWidth="1"/>
    <col min="15" max="15" width="8.1640625" style="38" customWidth="1"/>
    <col min="16" max="16" width="12" style="38" customWidth="1"/>
    <col min="17" max="17" width="14.5" style="38" customWidth="1"/>
    <col min="18" max="18" width="11" style="38" bestFit="1" customWidth="1"/>
    <col min="19" max="19" width="16" style="38" customWidth="1"/>
    <col min="20" max="16384" width="10.83203125" style="38"/>
  </cols>
  <sheetData>
    <row r="3" spans="1:26" ht="21" x14ac:dyDescent="0.25">
      <c r="A3" s="38" t="s">
        <v>56</v>
      </c>
    </row>
    <row r="4" spans="1:26" ht="44" x14ac:dyDescent="0.25">
      <c r="A4" s="39" t="s">
        <v>0</v>
      </c>
      <c r="B4" s="40" t="s">
        <v>5</v>
      </c>
    </row>
    <row r="5" spans="1:26" ht="21" x14ac:dyDescent="0.25">
      <c r="A5" s="41" t="s">
        <v>2</v>
      </c>
      <c r="B5" s="42">
        <v>80</v>
      </c>
      <c r="C5" s="43"/>
      <c r="D5" s="43"/>
      <c r="E5" s="43"/>
      <c r="F5" s="43"/>
      <c r="G5" s="43"/>
      <c r="H5" s="43"/>
    </row>
    <row r="6" spans="1:26" ht="21" x14ac:dyDescent="0.25">
      <c r="A6" s="41" t="s">
        <v>3</v>
      </c>
      <c r="B6" s="42">
        <v>87</v>
      </c>
      <c r="C6" s="43"/>
      <c r="D6" s="43"/>
      <c r="E6" s="43"/>
      <c r="F6" s="43"/>
    </row>
    <row r="7" spans="1:26" ht="21" x14ac:dyDescent="0.25">
      <c r="A7" s="44" t="s">
        <v>4</v>
      </c>
      <c r="B7" s="42">
        <v>83</v>
      </c>
      <c r="C7" s="43"/>
      <c r="D7" s="43"/>
      <c r="E7" s="43"/>
      <c r="F7" s="43"/>
    </row>
    <row r="8" spans="1:26" ht="21" x14ac:dyDescent="0.25">
      <c r="A8" s="43"/>
      <c r="B8" s="43"/>
      <c r="C8" s="43"/>
      <c r="D8" s="43"/>
      <c r="E8" s="43"/>
      <c r="F8" s="43"/>
    </row>
    <row r="9" spans="1:26" ht="21" x14ac:dyDescent="0.25">
      <c r="A9" s="67" t="s">
        <v>51</v>
      </c>
      <c r="D9" s="43"/>
      <c r="J9" s="67" t="s">
        <v>51</v>
      </c>
      <c r="M9" s="43"/>
    </row>
    <row r="10" spans="1:26" ht="21" x14ac:dyDescent="0.25">
      <c r="A10" s="43" t="s">
        <v>11</v>
      </c>
      <c r="B10" s="43"/>
      <c r="C10" s="43"/>
      <c r="D10" s="43" t="s">
        <v>58</v>
      </c>
      <c r="E10" s="45"/>
      <c r="F10" s="45"/>
      <c r="G10" s="43" t="s">
        <v>31</v>
      </c>
      <c r="J10" s="43" t="s">
        <v>11</v>
      </c>
      <c r="K10" s="43"/>
      <c r="L10" s="43"/>
      <c r="M10" s="43" t="s">
        <v>58</v>
      </c>
      <c r="N10" s="45"/>
      <c r="P10" s="43" t="s">
        <v>31</v>
      </c>
      <c r="S10" s="43"/>
      <c r="T10" s="43" t="s">
        <v>56</v>
      </c>
      <c r="U10" s="43" t="s">
        <v>51</v>
      </c>
      <c r="V10" s="43" t="s">
        <v>52</v>
      </c>
      <c r="W10" s="46" t="s">
        <v>53</v>
      </c>
    </row>
    <row r="11" spans="1:26" ht="44" x14ac:dyDescent="0.25">
      <c r="A11" s="40" t="s">
        <v>0</v>
      </c>
      <c r="B11" s="40" t="s">
        <v>5</v>
      </c>
      <c r="C11" s="42"/>
      <c r="D11" s="40" t="s">
        <v>0</v>
      </c>
      <c r="E11" s="40" t="s">
        <v>5</v>
      </c>
      <c r="G11" s="40" t="s">
        <v>0</v>
      </c>
      <c r="H11" s="40" t="s">
        <v>5</v>
      </c>
      <c r="J11" s="40" t="s">
        <v>0</v>
      </c>
      <c r="K11" s="40" t="s">
        <v>5</v>
      </c>
      <c r="L11" s="42"/>
      <c r="M11" s="40" t="s">
        <v>0</v>
      </c>
      <c r="N11" s="40" t="s">
        <v>5</v>
      </c>
      <c r="P11" s="40" t="s">
        <v>0</v>
      </c>
      <c r="Q11" s="40" t="s">
        <v>5</v>
      </c>
      <c r="S11" s="43" t="s">
        <v>11</v>
      </c>
      <c r="T11" s="43">
        <v>1</v>
      </c>
      <c r="U11" s="43">
        <f>AVERAGE(K12:K14)</f>
        <v>18.148797488805798</v>
      </c>
      <c r="V11" s="43">
        <f>AVERAGE(K26:K28)</f>
        <v>37.824557425102711</v>
      </c>
      <c r="W11" s="43">
        <f>AVERAGE(K40:K42)</f>
        <v>82.787467686839307</v>
      </c>
    </row>
    <row r="12" spans="1:26" ht="21" x14ac:dyDescent="0.25">
      <c r="A12" s="44" t="s">
        <v>68</v>
      </c>
      <c r="B12" s="42">
        <v>1472</v>
      </c>
      <c r="C12" s="42"/>
      <c r="D12" s="44" t="s">
        <v>61</v>
      </c>
      <c r="E12" s="42">
        <v>195</v>
      </c>
      <c r="G12" s="44" t="s">
        <v>32</v>
      </c>
      <c r="H12" s="43">
        <v>793</v>
      </c>
      <c r="J12" s="44" t="s">
        <v>68</v>
      </c>
      <c r="K12" s="42">
        <f>B12/B5</f>
        <v>18.399999999999999</v>
      </c>
      <c r="L12" s="42"/>
      <c r="M12" s="44" t="s">
        <v>61</v>
      </c>
      <c r="N12" s="42">
        <f>E12/B5</f>
        <v>2.4375</v>
      </c>
      <c r="P12" s="44" t="s">
        <v>32</v>
      </c>
      <c r="Q12" s="43">
        <f>H12/B5</f>
        <v>9.9124999999999996</v>
      </c>
      <c r="S12" s="43" t="s">
        <v>12</v>
      </c>
      <c r="T12" s="43">
        <v>1</v>
      </c>
      <c r="U12" s="43">
        <f>AVERAGE(K18:K20)</f>
        <v>1.4800195033005583</v>
      </c>
      <c r="V12" s="43">
        <f>AVERAGE(K32:K34)</f>
        <v>1.242082698610534</v>
      </c>
      <c r="W12" s="43">
        <f>AVERAGE(K46:K48)</f>
        <v>1.1537419794119004</v>
      </c>
    </row>
    <row r="13" spans="1:26" ht="21" x14ac:dyDescent="0.25">
      <c r="A13" s="44" t="s">
        <v>69</v>
      </c>
      <c r="B13" s="42">
        <v>1504</v>
      </c>
      <c r="C13" s="42"/>
      <c r="D13" s="44" t="s">
        <v>62</v>
      </c>
      <c r="E13" s="42">
        <v>155</v>
      </c>
      <c r="G13" s="44" t="s">
        <v>33</v>
      </c>
      <c r="H13" s="43">
        <v>809</v>
      </c>
      <c r="J13" s="44" t="s">
        <v>69</v>
      </c>
      <c r="K13" s="42">
        <f>B13/B6</f>
        <v>17.287356321839081</v>
      </c>
      <c r="L13" s="42"/>
      <c r="M13" s="44" t="s">
        <v>62</v>
      </c>
      <c r="N13" s="42">
        <f>E13/B6</f>
        <v>1.7816091954022988</v>
      </c>
      <c r="P13" s="44" t="s">
        <v>33</v>
      </c>
      <c r="Q13" s="43">
        <f t="shared" ref="Q13:Q14" si="0">H13/B6</f>
        <v>9.2988505747126435</v>
      </c>
      <c r="S13" s="43" t="s">
        <v>58</v>
      </c>
      <c r="T13" s="43">
        <v>1</v>
      </c>
      <c r="U13" s="43">
        <f>AVERAGE(N12:N14)</f>
        <v>1.9605865992706457</v>
      </c>
      <c r="V13" s="43">
        <f>AVERAGE(N26:N28)</f>
        <v>1.6280005077782393</v>
      </c>
      <c r="W13" s="43">
        <f>AVERAGE(N40:N42)</f>
        <v>1.31264021603656</v>
      </c>
      <c r="Z13" s="43"/>
    </row>
    <row r="14" spans="1:26" ht="21" x14ac:dyDescent="0.25">
      <c r="A14" s="44" t="s">
        <v>70</v>
      </c>
      <c r="B14" s="42">
        <v>1557</v>
      </c>
      <c r="C14" s="42"/>
      <c r="D14" s="44" t="s">
        <v>64</v>
      </c>
      <c r="E14" s="42">
        <v>138</v>
      </c>
      <c r="G14" s="66" t="s">
        <v>34</v>
      </c>
      <c r="H14" s="43">
        <v>821</v>
      </c>
      <c r="J14" s="44" t="s">
        <v>70</v>
      </c>
      <c r="K14" s="42">
        <f>B14/B7</f>
        <v>18.759036144578314</v>
      </c>
      <c r="L14" s="42"/>
      <c r="M14" s="44" t="s">
        <v>64</v>
      </c>
      <c r="N14" s="42">
        <f>E14/B7</f>
        <v>1.6626506024096386</v>
      </c>
      <c r="P14" s="66" t="s">
        <v>34</v>
      </c>
      <c r="Q14" s="43">
        <f t="shared" si="0"/>
        <v>9.8915662650602414</v>
      </c>
      <c r="S14" s="43" t="s">
        <v>15</v>
      </c>
      <c r="T14" s="43">
        <v>1</v>
      </c>
      <c r="U14" s="43">
        <f>AVERAGE(N18:N20)</f>
        <v>1.0797408022896182</v>
      </c>
      <c r="V14" s="43">
        <f>AVERAGE(N32:N34)</f>
        <v>1.0697791164658634</v>
      </c>
      <c r="W14" s="43">
        <f>AVERAGE(N46:N48)</f>
        <v>0.78656349536075332</v>
      </c>
    </row>
    <row r="15" spans="1:26" ht="21" x14ac:dyDescent="0.25">
      <c r="A15" s="44"/>
      <c r="B15" s="42"/>
      <c r="C15" s="47"/>
      <c r="D15" s="42"/>
      <c r="E15" s="47"/>
      <c r="F15" s="47"/>
      <c r="J15" s="44"/>
      <c r="K15" s="42"/>
      <c r="L15" s="47"/>
      <c r="M15" s="42"/>
      <c r="N15" s="47"/>
      <c r="O15" s="42"/>
      <c r="S15" s="43" t="s">
        <v>31</v>
      </c>
      <c r="T15" s="43">
        <v>1</v>
      </c>
      <c r="U15" s="43">
        <f>AVERAGE(Q12:Q14)</f>
        <v>9.7009722799242954</v>
      </c>
      <c r="V15" s="43">
        <f>AVERAGE(Q26:Q28)</f>
        <v>7.5404185708350644</v>
      </c>
      <c r="W15" s="43">
        <f>AVERAGE(Q40:Q42)</f>
        <v>7.7583575682038513</v>
      </c>
    </row>
    <row r="16" spans="1:26" ht="21" x14ac:dyDescent="0.25">
      <c r="A16" s="43" t="s">
        <v>12</v>
      </c>
      <c r="B16" s="43"/>
      <c r="C16" s="43"/>
      <c r="D16" s="43" t="s">
        <v>63</v>
      </c>
      <c r="E16" s="43"/>
      <c r="F16" s="43"/>
      <c r="J16" s="43" t="s">
        <v>12</v>
      </c>
      <c r="K16" s="43"/>
      <c r="L16" s="43"/>
      <c r="M16" s="43" t="s">
        <v>63</v>
      </c>
      <c r="N16" s="43"/>
      <c r="O16" s="43"/>
      <c r="S16" s="43"/>
      <c r="T16" s="43"/>
      <c r="U16" s="43"/>
      <c r="V16" s="43"/>
      <c r="W16" s="43"/>
    </row>
    <row r="17" spans="1:29" ht="44" x14ac:dyDescent="0.25">
      <c r="A17" s="40" t="s">
        <v>0</v>
      </c>
      <c r="B17" s="40" t="s">
        <v>5</v>
      </c>
      <c r="C17" s="48"/>
      <c r="D17" s="40" t="s">
        <v>0</v>
      </c>
      <c r="E17" s="40" t="s">
        <v>5</v>
      </c>
      <c r="J17" s="40" t="s">
        <v>0</v>
      </c>
      <c r="K17" s="40" t="s">
        <v>5</v>
      </c>
      <c r="L17" s="48"/>
      <c r="M17" s="40" t="s">
        <v>0</v>
      </c>
      <c r="N17" s="40" t="s">
        <v>5</v>
      </c>
      <c r="S17" s="43"/>
      <c r="T17" s="43" t="s">
        <v>56</v>
      </c>
      <c r="U17" s="43" t="s">
        <v>57</v>
      </c>
      <c r="V17" s="43" t="s">
        <v>59</v>
      </c>
      <c r="W17" s="43" t="s">
        <v>60</v>
      </c>
    </row>
    <row r="18" spans="1:29" ht="21" x14ac:dyDescent="0.25">
      <c r="A18" s="49" t="s">
        <v>28</v>
      </c>
      <c r="B18" s="49">
        <v>113</v>
      </c>
      <c r="C18" s="48"/>
      <c r="D18" s="49" t="s">
        <v>65</v>
      </c>
      <c r="E18" s="42">
        <v>74</v>
      </c>
      <c r="J18" s="49" t="s">
        <v>28</v>
      </c>
      <c r="K18" s="42">
        <f>B18/B5</f>
        <v>1.4125000000000001</v>
      </c>
      <c r="L18" s="48"/>
      <c r="M18" s="49" t="s">
        <v>65</v>
      </c>
      <c r="N18" s="42">
        <f>E18/B5</f>
        <v>0.92500000000000004</v>
      </c>
      <c r="S18" s="43" t="s">
        <v>11</v>
      </c>
      <c r="T18" s="43">
        <v>0</v>
      </c>
      <c r="U18" s="43">
        <f>STDEV(K12:K14)</f>
        <v>0.76732483433494425</v>
      </c>
      <c r="V18" s="43">
        <f>STDEV(K26:K28)</f>
        <v>3.1828530422999166</v>
      </c>
      <c r="W18" s="43">
        <f>STDEV(K40:K42)</f>
        <v>4.1995802354576339</v>
      </c>
    </row>
    <row r="19" spans="1:29" ht="21" x14ac:dyDescent="0.25">
      <c r="A19" s="49" t="s">
        <v>29</v>
      </c>
      <c r="B19" s="49">
        <v>146</v>
      </c>
      <c r="C19" s="48"/>
      <c r="D19" s="49" t="s">
        <v>66</v>
      </c>
      <c r="E19" s="42">
        <v>107</v>
      </c>
      <c r="J19" s="49" t="s">
        <v>29</v>
      </c>
      <c r="K19" s="42">
        <f>B19/B6</f>
        <v>1.6781609195402298</v>
      </c>
      <c r="L19" s="48"/>
      <c r="M19" s="49" t="s">
        <v>66</v>
      </c>
      <c r="N19" s="42">
        <f t="shared" ref="N19:N20" si="1">E19/B6</f>
        <v>1.2298850574712643</v>
      </c>
      <c r="S19" s="43" t="s">
        <v>12</v>
      </c>
      <c r="T19" s="43">
        <v>0</v>
      </c>
      <c r="U19" s="43">
        <f>STDEV(K18:K20)</f>
        <v>0.17447204402896466</v>
      </c>
      <c r="V19" s="43">
        <f>STDEV(K32:K34)</f>
        <v>0.22485409451782801</v>
      </c>
      <c r="W19" s="43">
        <f>STDEV(K46:K48)</f>
        <v>9.8001130628669775E-2</v>
      </c>
    </row>
    <row r="20" spans="1:29" ht="21" x14ac:dyDescent="0.25">
      <c r="A20" s="49" t="s">
        <v>30</v>
      </c>
      <c r="B20" s="49">
        <v>112</v>
      </c>
      <c r="C20" s="48"/>
      <c r="D20" s="49" t="s">
        <v>67</v>
      </c>
      <c r="E20" s="42">
        <v>90</v>
      </c>
      <c r="J20" s="49" t="s">
        <v>30</v>
      </c>
      <c r="K20" s="42">
        <f>B20/B7</f>
        <v>1.3493975903614457</v>
      </c>
      <c r="L20" s="48"/>
      <c r="M20" s="49" t="s">
        <v>67</v>
      </c>
      <c r="N20" s="42">
        <f t="shared" si="1"/>
        <v>1.0843373493975903</v>
      </c>
      <c r="S20" s="43" t="s">
        <v>58</v>
      </c>
      <c r="T20" s="43">
        <v>0</v>
      </c>
      <c r="U20" s="43">
        <f>STDEV(N12:N14)</f>
        <v>0.4172799786212209</v>
      </c>
      <c r="V20" s="43">
        <f>STDEV(N26:N28)</f>
        <v>0.22182047209366035</v>
      </c>
      <c r="W20" s="43">
        <f>STDEV(N40:N42)</f>
        <v>0.16771978891589162</v>
      </c>
    </row>
    <row r="21" spans="1:29" ht="21" x14ac:dyDescent="0.25">
      <c r="S21" s="43" t="s">
        <v>15</v>
      </c>
      <c r="T21" s="43">
        <v>0</v>
      </c>
      <c r="U21" s="43">
        <f>STDEV(N18:N20)</f>
        <v>0.15249449416716912</v>
      </c>
      <c r="V21" s="43">
        <f>STDEV(N32:N34)</f>
        <v>6.3758972776941855E-2</v>
      </c>
      <c r="W21" s="43">
        <f>STDEV(N46:N48)</f>
        <v>0.11700755226979669</v>
      </c>
    </row>
    <row r="22" spans="1:29" ht="21" x14ac:dyDescent="0.25">
      <c r="S22" s="43" t="s">
        <v>31</v>
      </c>
      <c r="T22" s="43">
        <v>0</v>
      </c>
      <c r="U22" s="43">
        <f>STDEV(Q12:Q14)</f>
        <v>0.34840487176039409</v>
      </c>
      <c r="V22" s="43">
        <f>STDEV(Q26:Q28)</f>
        <v>0.74484704394544166</v>
      </c>
      <c r="W22" s="43">
        <f>STDEV(Q40:Q42)</f>
        <v>0.47001572481234899</v>
      </c>
    </row>
    <row r="23" spans="1:29" ht="21" x14ac:dyDescent="0.25">
      <c r="A23" s="67" t="s">
        <v>52</v>
      </c>
      <c r="J23" s="67" t="s">
        <v>52</v>
      </c>
    </row>
    <row r="24" spans="1:29" ht="21" x14ac:dyDescent="0.25">
      <c r="A24" s="43" t="s">
        <v>11</v>
      </c>
      <c r="B24" s="43"/>
      <c r="C24" s="43"/>
      <c r="D24" s="43" t="s">
        <v>58</v>
      </c>
      <c r="E24" s="45"/>
      <c r="F24" s="45"/>
      <c r="G24" s="43" t="s">
        <v>31</v>
      </c>
      <c r="J24" s="43" t="s">
        <v>11</v>
      </c>
      <c r="K24" s="43"/>
      <c r="L24" s="43"/>
      <c r="M24" s="43" t="s">
        <v>58</v>
      </c>
      <c r="N24" s="45"/>
      <c r="P24" s="43" t="s">
        <v>31</v>
      </c>
    </row>
    <row r="25" spans="1:29" ht="44" x14ac:dyDescent="0.25">
      <c r="A25" s="40" t="s">
        <v>0</v>
      </c>
      <c r="B25" s="40" t="s">
        <v>5</v>
      </c>
      <c r="C25" s="42"/>
      <c r="D25" s="40" t="s">
        <v>0</v>
      </c>
      <c r="E25" s="40" t="s">
        <v>5</v>
      </c>
      <c r="G25" s="40" t="s">
        <v>0</v>
      </c>
      <c r="H25" s="40" t="s">
        <v>5</v>
      </c>
      <c r="J25" s="40" t="s">
        <v>0</v>
      </c>
      <c r="K25" s="40" t="s">
        <v>5</v>
      </c>
      <c r="L25" s="42"/>
      <c r="M25" s="40" t="s">
        <v>0</v>
      </c>
      <c r="N25" s="40" t="s">
        <v>5</v>
      </c>
      <c r="P25" s="40" t="s">
        <v>0</v>
      </c>
      <c r="Q25" s="40" t="s">
        <v>5</v>
      </c>
    </row>
    <row r="26" spans="1:29" ht="21" x14ac:dyDescent="0.25">
      <c r="A26" s="44" t="s">
        <v>68</v>
      </c>
      <c r="B26" s="42">
        <v>3171</v>
      </c>
      <c r="C26" s="42"/>
      <c r="D26" s="44" t="s">
        <v>61</v>
      </c>
      <c r="E26" s="42">
        <v>150</v>
      </c>
      <c r="G26" s="44" t="s">
        <v>32</v>
      </c>
      <c r="H26" s="43">
        <v>667</v>
      </c>
      <c r="J26" s="44" t="s">
        <v>68</v>
      </c>
      <c r="K26" s="42">
        <f>B26/B5</f>
        <v>39.637500000000003</v>
      </c>
      <c r="L26" s="42"/>
      <c r="M26" s="44" t="s">
        <v>61</v>
      </c>
      <c r="N26" s="42">
        <f>E26/B5</f>
        <v>1.875</v>
      </c>
      <c r="P26" s="44" t="s">
        <v>32</v>
      </c>
      <c r="Q26" s="43">
        <f>H26/B5</f>
        <v>8.3375000000000004</v>
      </c>
      <c r="X26" s="43"/>
      <c r="Y26" s="43"/>
      <c r="Z26" s="43"/>
      <c r="AA26" s="43"/>
      <c r="AB26" s="43"/>
      <c r="AC26" s="43"/>
    </row>
    <row r="27" spans="1:29" ht="21" x14ac:dyDescent="0.25">
      <c r="A27" s="44" t="s">
        <v>69</v>
      </c>
      <c r="B27" s="42">
        <v>2971</v>
      </c>
      <c r="C27" s="42"/>
      <c r="D27" s="44" t="s">
        <v>62</v>
      </c>
      <c r="E27" s="42">
        <v>136</v>
      </c>
      <c r="G27" s="44" t="s">
        <v>33</v>
      </c>
      <c r="H27" s="43">
        <v>597</v>
      </c>
      <c r="J27" s="44" t="s">
        <v>69</v>
      </c>
      <c r="K27" s="42">
        <f>B27/B6</f>
        <v>34.149425287356323</v>
      </c>
      <c r="L27" s="42"/>
      <c r="M27" s="44" t="s">
        <v>62</v>
      </c>
      <c r="N27" s="42">
        <f>E27/B6</f>
        <v>1.5632183908045978</v>
      </c>
      <c r="P27" s="44" t="s">
        <v>33</v>
      </c>
      <c r="Q27" s="43">
        <f>H27/B6</f>
        <v>6.8620689655172411</v>
      </c>
    </row>
    <row r="28" spans="1:29" ht="21" x14ac:dyDescent="0.25">
      <c r="A28" s="44" t="s">
        <v>70</v>
      </c>
      <c r="B28" s="42">
        <v>3294</v>
      </c>
      <c r="C28" s="42"/>
      <c r="D28" s="44" t="s">
        <v>64</v>
      </c>
      <c r="E28" s="42">
        <v>120</v>
      </c>
      <c r="G28" s="66" t="s">
        <v>34</v>
      </c>
      <c r="H28" s="43">
        <v>616</v>
      </c>
      <c r="J28" s="44" t="s">
        <v>70</v>
      </c>
      <c r="K28" s="42">
        <f>B28/B7</f>
        <v>39.686746987951807</v>
      </c>
      <c r="L28" s="42"/>
      <c r="M28" s="44" t="s">
        <v>64</v>
      </c>
      <c r="N28" s="42">
        <f>E28/B7</f>
        <v>1.4457831325301205</v>
      </c>
      <c r="P28" s="66" t="s">
        <v>34</v>
      </c>
      <c r="Q28" s="43">
        <f>H28/B7</f>
        <v>7.4216867469879517</v>
      </c>
    </row>
    <row r="29" spans="1:29" ht="21" x14ac:dyDescent="0.25">
      <c r="A29" s="44"/>
      <c r="B29" s="42"/>
      <c r="C29" s="47"/>
      <c r="D29" s="42"/>
      <c r="E29" s="47"/>
      <c r="F29" s="47"/>
      <c r="J29" s="44"/>
      <c r="K29" s="42"/>
      <c r="L29" s="47"/>
      <c r="M29" s="42"/>
      <c r="N29" s="47"/>
      <c r="O29" s="42"/>
    </row>
    <row r="30" spans="1:29" ht="21" x14ac:dyDescent="0.25">
      <c r="A30" s="43" t="s">
        <v>12</v>
      </c>
      <c r="B30" s="43"/>
      <c r="C30" s="43"/>
      <c r="D30" s="43" t="s">
        <v>63</v>
      </c>
      <c r="E30" s="43"/>
      <c r="F30" s="43"/>
      <c r="J30" s="68" t="s">
        <v>12</v>
      </c>
      <c r="K30" s="68"/>
      <c r="L30" s="68"/>
      <c r="M30" s="68" t="s">
        <v>63</v>
      </c>
      <c r="N30" s="43"/>
      <c r="O30" s="43"/>
    </row>
    <row r="31" spans="1:29" ht="44" x14ac:dyDescent="0.25">
      <c r="A31" s="40" t="s">
        <v>0</v>
      </c>
      <c r="B31" s="40" t="s">
        <v>5</v>
      </c>
      <c r="C31" s="48"/>
      <c r="D31" s="40" t="s">
        <v>0</v>
      </c>
      <c r="E31" s="40" t="s">
        <v>5</v>
      </c>
      <c r="J31" s="40" t="s">
        <v>0</v>
      </c>
      <c r="K31" s="40" t="s">
        <v>5</v>
      </c>
      <c r="L31" s="48"/>
      <c r="M31" s="40" t="s">
        <v>0</v>
      </c>
      <c r="N31" s="40" t="s">
        <v>5</v>
      </c>
    </row>
    <row r="32" spans="1:29" ht="21" x14ac:dyDescent="0.25">
      <c r="A32" s="49" t="s">
        <v>28</v>
      </c>
      <c r="B32" s="49">
        <v>119</v>
      </c>
      <c r="C32" s="48"/>
      <c r="D32" s="49" t="s">
        <v>65</v>
      </c>
      <c r="E32" s="42">
        <v>90</v>
      </c>
      <c r="J32" s="49" t="s">
        <v>28</v>
      </c>
      <c r="K32" s="42">
        <f>B32/B5</f>
        <v>1.4875</v>
      </c>
      <c r="L32" s="48"/>
      <c r="M32" s="49" t="s">
        <v>65</v>
      </c>
      <c r="N32" s="42">
        <f>E32/B5</f>
        <v>1.125</v>
      </c>
    </row>
    <row r="33" spans="1:17" ht="21" x14ac:dyDescent="0.25">
      <c r="A33" s="49" t="s">
        <v>29</v>
      </c>
      <c r="B33" s="49">
        <v>91</v>
      </c>
      <c r="C33" s="48"/>
      <c r="D33" s="49" t="s">
        <v>66</v>
      </c>
      <c r="E33" s="42">
        <v>87</v>
      </c>
      <c r="J33" s="49" t="s">
        <v>29</v>
      </c>
      <c r="K33" s="42">
        <f>B33/B6</f>
        <v>1.0459770114942528</v>
      </c>
      <c r="L33" s="48"/>
      <c r="M33" s="49" t="s">
        <v>66</v>
      </c>
      <c r="N33" s="42">
        <f>E33/B6</f>
        <v>1</v>
      </c>
    </row>
    <row r="34" spans="1:17" ht="21" x14ac:dyDescent="0.25">
      <c r="A34" s="49" t="s">
        <v>30</v>
      </c>
      <c r="B34" s="49">
        <v>99</v>
      </c>
      <c r="C34" s="48"/>
      <c r="D34" s="49" t="s">
        <v>67</v>
      </c>
      <c r="E34" s="42">
        <v>90</v>
      </c>
      <c r="J34" s="49" t="s">
        <v>30</v>
      </c>
      <c r="K34" s="42">
        <f>B34/B7</f>
        <v>1.1927710843373494</v>
      </c>
      <c r="L34" s="48"/>
      <c r="M34" s="49" t="s">
        <v>67</v>
      </c>
      <c r="N34" s="42">
        <f>E34/B7</f>
        <v>1.0843373493975903</v>
      </c>
    </row>
    <row r="37" spans="1:17" ht="21" x14ac:dyDescent="0.25">
      <c r="A37" s="67" t="s">
        <v>53</v>
      </c>
      <c r="J37" s="67" t="s">
        <v>53</v>
      </c>
    </row>
    <row r="38" spans="1:17" ht="21" x14ac:dyDescent="0.25">
      <c r="A38" s="43" t="s">
        <v>11</v>
      </c>
      <c r="B38" s="43"/>
      <c r="C38" s="43"/>
      <c r="D38" s="43" t="s">
        <v>58</v>
      </c>
      <c r="E38" s="45"/>
      <c r="F38" s="45"/>
      <c r="G38" s="43" t="s">
        <v>31</v>
      </c>
      <c r="J38" s="43" t="s">
        <v>11</v>
      </c>
      <c r="K38" s="43"/>
      <c r="L38" s="43"/>
      <c r="M38" s="43" t="s">
        <v>58</v>
      </c>
      <c r="N38" s="45"/>
      <c r="P38" s="43" t="s">
        <v>31</v>
      </c>
    </row>
    <row r="39" spans="1:17" ht="44" x14ac:dyDescent="0.25">
      <c r="A39" s="40" t="s">
        <v>0</v>
      </c>
      <c r="B39" s="40" t="s">
        <v>5</v>
      </c>
      <c r="C39" s="42"/>
      <c r="D39" s="40" t="s">
        <v>0</v>
      </c>
      <c r="E39" s="40" t="s">
        <v>5</v>
      </c>
      <c r="G39" s="40" t="s">
        <v>0</v>
      </c>
      <c r="H39" s="40" t="s">
        <v>5</v>
      </c>
      <c r="J39" s="40" t="s">
        <v>0</v>
      </c>
      <c r="K39" s="40" t="s">
        <v>5</v>
      </c>
      <c r="L39" s="42"/>
      <c r="M39" s="40" t="s">
        <v>0</v>
      </c>
      <c r="N39" s="40" t="s">
        <v>5</v>
      </c>
      <c r="P39" s="40" t="s">
        <v>0</v>
      </c>
      <c r="Q39" s="40" t="s">
        <v>5</v>
      </c>
    </row>
    <row r="40" spans="1:17" ht="21" x14ac:dyDescent="0.25">
      <c r="A40" s="44" t="s">
        <v>68</v>
      </c>
      <c r="B40" s="42">
        <v>6773</v>
      </c>
      <c r="C40" s="42"/>
      <c r="D40" s="44" t="s">
        <v>61</v>
      </c>
      <c r="E40" s="42">
        <v>98</v>
      </c>
      <c r="G40" s="44" t="s">
        <v>32</v>
      </c>
      <c r="H40" s="43">
        <v>664</v>
      </c>
      <c r="J40" s="44" t="s">
        <v>68</v>
      </c>
      <c r="K40" s="42">
        <f>B40/B5</f>
        <v>84.662499999999994</v>
      </c>
      <c r="L40" s="42"/>
      <c r="M40" s="44" t="s">
        <v>61</v>
      </c>
      <c r="N40" s="42">
        <f>E40/B5</f>
        <v>1.2250000000000001</v>
      </c>
      <c r="P40" s="44" t="s">
        <v>32</v>
      </c>
      <c r="Q40" s="43">
        <f>H40/B5</f>
        <v>8.3000000000000007</v>
      </c>
    </row>
    <row r="41" spans="1:17" ht="21" x14ac:dyDescent="0.25">
      <c r="A41" s="44" t="s">
        <v>69</v>
      </c>
      <c r="B41" s="42">
        <v>6784</v>
      </c>
      <c r="C41" s="42"/>
      <c r="D41" s="44" t="s">
        <v>62</v>
      </c>
      <c r="E41" s="42">
        <v>105</v>
      </c>
      <c r="G41" s="44" t="s">
        <v>33</v>
      </c>
      <c r="H41" s="43">
        <v>654</v>
      </c>
      <c r="J41" s="44" t="s">
        <v>69</v>
      </c>
      <c r="K41" s="42">
        <f>B41/B6</f>
        <v>77.977011494252878</v>
      </c>
      <c r="L41" s="42"/>
      <c r="M41" s="44" t="s">
        <v>62</v>
      </c>
      <c r="N41" s="42">
        <f>E41/B6</f>
        <v>1.2068965517241379</v>
      </c>
      <c r="P41" s="44" t="s">
        <v>33</v>
      </c>
      <c r="Q41" s="43">
        <f>H41/B6</f>
        <v>7.5172413793103452</v>
      </c>
    </row>
    <row r="42" spans="1:17" ht="21" x14ac:dyDescent="0.25">
      <c r="A42" s="44" t="s">
        <v>70</v>
      </c>
      <c r="B42" s="42">
        <v>7115</v>
      </c>
      <c r="C42" s="42"/>
      <c r="D42" s="44" t="s">
        <v>64</v>
      </c>
      <c r="E42" s="42">
        <v>125</v>
      </c>
      <c r="G42" s="66" t="s">
        <v>34</v>
      </c>
      <c r="H42" s="43">
        <v>619</v>
      </c>
      <c r="J42" s="44" t="s">
        <v>70</v>
      </c>
      <c r="K42" s="42">
        <f>B42/B7</f>
        <v>85.722891566265062</v>
      </c>
      <c r="L42" s="42"/>
      <c r="M42" s="44" t="s">
        <v>64</v>
      </c>
      <c r="N42" s="42">
        <f>E42/B7</f>
        <v>1.5060240963855422</v>
      </c>
      <c r="P42" s="66" t="s">
        <v>34</v>
      </c>
      <c r="Q42" s="43">
        <f>H42/B7</f>
        <v>7.4578313253012052</v>
      </c>
    </row>
    <row r="43" spans="1:17" ht="21" x14ac:dyDescent="0.25">
      <c r="A43" s="44"/>
      <c r="B43" s="42"/>
      <c r="C43" s="47"/>
      <c r="D43" s="42"/>
      <c r="E43" s="47"/>
      <c r="F43" s="47"/>
      <c r="J43" s="44"/>
      <c r="K43" s="42"/>
      <c r="L43" s="47"/>
      <c r="M43" s="42"/>
      <c r="N43" s="47"/>
      <c r="O43" s="42"/>
    </row>
    <row r="44" spans="1:17" ht="21" x14ac:dyDescent="0.25">
      <c r="A44" s="43" t="s">
        <v>12</v>
      </c>
      <c r="B44" s="43"/>
      <c r="C44" s="43"/>
      <c r="D44" s="43" t="s">
        <v>63</v>
      </c>
      <c r="E44" s="43"/>
      <c r="F44" s="43"/>
      <c r="J44" s="68" t="s">
        <v>12</v>
      </c>
      <c r="K44" s="68"/>
      <c r="L44" s="68"/>
      <c r="M44" s="68" t="s">
        <v>63</v>
      </c>
      <c r="N44" s="43"/>
      <c r="O44" s="43"/>
    </row>
    <row r="45" spans="1:17" ht="44" x14ac:dyDescent="0.25">
      <c r="A45" s="40" t="s">
        <v>0</v>
      </c>
      <c r="B45" s="40" t="s">
        <v>5</v>
      </c>
      <c r="C45" s="48"/>
      <c r="D45" s="40" t="s">
        <v>0</v>
      </c>
      <c r="E45" s="40" t="s">
        <v>5</v>
      </c>
      <c r="J45" s="40" t="s">
        <v>0</v>
      </c>
      <c r="K45" s="40" t="s">
        <v>5</v>
      </c>
      <c r="L45" s="48"/>
      <c r="M45" s="40" t="s">
        <v>0</v>
      </c>
      <c r="N45" s="40" t="s">
        <v>5</v>
      </c>
    </row>
    <row r="46" spans="1:17" ht="21" x14ac:dyDescent="0.25">
      <c r="A46" s="49" t="s">
        <v>28</v>
      </c>
      <c r="B46" s="49">
        <v>101</v>
      </c>
      <c r="C46" s="48"/>
      <c r="D46" s="49" t="s">
        <v>65</v>
      </c>
      <c r="E46" s="42">
        <v>66</v>
      </c>
      <c r="J46" s="49" t="s">
        <v>28</v>
      </c>
      <c r="K46" s="42">
        <f>B46/B5</f>
        <v>1.2625</v>
      </c>
      <c r="L46" s="48"/>
      <c r="M46" s="49" t="s">
        <v>65</v>
      </c>
      <c r="N46" s="42">
        <f>E46/B5</f>
        <v>0.82499999999999996</v>
      </c>
    </row>
    <row r="47" spans="1:17" ht="21" x14ac:dyDescent="0.25">
      <c r="A47" s="49" t="s">
        <v>29</v>
      </c>
      <c r="B47" s="49">
        <v>98</v>
      </c>
      <c r="C47" s="48"/>
      <c r="D47" s="49" t="s">
        <v>66</v>
      </c>
      <c r="E47" s="42">
        <v>57</v>
      </c>
      <c r="J47" s="49" t="s">
        <v>29</v>
      </c>
      <c r="K47" s="42">
        <f>B47/B6</f>
        <v>1.1264367816091954</v>
      </c>
      <c r="L47" s="48"/>
      <c r="M47" s="49" t="s">
        <v>66</v>
      </c>
      <c r="N47" s="42">
        <f>E47/B6</f>
        <v>0.65517241379310343</v>
      </c>
    </row>
    <row r="48" spans="1:17" ht="21" x14ac:dyDescent="0.25">
      <c r="A48" s="49" t="s">
        <v>30</v>
      </c>
      <c r="B48" s="49">
        <v>89</v>
      </c>
      <c r="C48" s="48"/>
      <c r="D48" s="49" t="s">
        <v>67</v>
      </c>
      <c r="E48" s="42">
        <v>73</v>
      </c>
      <c r="J48" s="49" t="s">
        <v>30</v>
      </c>
      <c r="K48" s="42">
        <f>B48/B7</f>
        <v>1.072289156626506</v>
      </c>
      <c r="L48" s="48"/>
      <c r="M48" s="49" t="s">
        <v>67</v>
      </c>
      <c r="N48" s="42">
        <f>E48/B7</f>
        <v>0.87951807228915657</v>
      </c>
    </row>
    <row r="52" spans="12:15" ht="21" x14ac:dyDescent="0.25">
      <c r="L52" s="43"/>
      <c r="M52" s="43"/>
      <c r="N52" s="43"/>
      <c r="O52" s="43"/>
    </row>
    <row r="57" spans="12:15" ht="21" x14ac:dyDescent="0.25">
      <c r="L57" s="42"/>
      <c r="M57" s="47"/>
      <c r="N57" s="47"/>
      <c r="O57" s="47"/>
    </row>
    <row r="58" spans="12:15" ht="21" x14ac:dyDescent="0.25">
      <c r="L58" s="43"/>
      <c r="M58" s="43"/>
      <c r="N58" s="43"/>
      <c r="O58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B79D-CCBA-B946-8824-C712F75767EC}">
  <dimension ref="A3:AC58"/>
  <sheetViews>
    <sheetView tabSelected="1" topLeftCell="H7" workbookViewId="0">
      <selection activeCell="H47" sqref="H47"/>
    </sheetView>
  </sheetViews>
  <sheetFormatPr baseColWidth="10" defaultRowHeight="15" x14ac:dyDescent="0.25"/>
  <cols>
    <col min="1" max="1" width="15" style="38" bestFit="1" customWidth="1"/>
    <col min="2" max="2" width="10.33203125" style="38" bestFit="1" customWidth="1"/>
    <col min="3" max="3" width="13" style="38" bestFit="1" customWidth="1"/>
    <col min="4" max="4" width="18.6640625" style="38" customWidth="1"/>
    <col min="5" max="5" width="13" style="38" bestFit="1" customWidth="1"/>
    <col min="6" max="6" width="13.1640625" style="38" bestFit="1" customWidth="1"/>
    <col min="7" max="7" width="16.83203125" style="38" customWidth="1"/>
    <col min="8" max="8" width="10.83203125" style="38"/>
    <col min="9" max="9" width="13.6640625" style="38" bestFit="1" customWidth="1"/>
    <col min="10" max="10" width="19.5" style="38" customWidth="1"/>
    <col min="11" max="11" width="13" style="38" bestFit="1" customWidth="1"/>
    <col min="12" max="12" width="7.5" style="38" bestFit="1" customWidth="1"/>
    <col min="13" max="13" width="17" style="38" customWidth="1"/>
    <col min="14" max="14" width="15.33203125" style="38" customWidth="1"/>
    <col min="15" max="15" width="8.1640625" style="38" customWidth="1"/>
    <col min="16" max="16" width="12" style="38" customWidth="1"/>
    <col min="17" max="17" width="14.5" style="38" customWidth="1"/>
    <col min="18" max="18" width="11" style="38" bestFit="1" customWidth="1"/>
    <col min="19" max="19" width="16" style="38" customWidth="1"/>
    <col min="20" max="16384" width="10.83203125" style="38"/>
  </cols>
  <sheetData>
    <row r="3" spans="1:26" ht="21" x14ac:dyDescent="0.25">
      <c r="A3" s="38" t="s">
        <v>56</v>
      </c>
    </row>
    <row r="4" spans="1:26" ht="44" x14ac:dyDescent="0.25">
      <c r="A4" s="39" t="s">
        <v>0</v>
      </c>
      <c r="B4" s="40" t="s">
        <v>5</v>
      </c>
    </row>
    <row r="5" spans="1:26" ht="21" x14ac:dyDescent="0.25">
      <c r="A5" s="41" t="s">
        <v>2</v>
      </c>
      <c r="B5" s="42">
        <v>94</v>
      </c>
      <c r="C5" s="43"/>
      <c r="D5" s="43"/>
      <c r="E5" s="43"/>
      <c r="F5" s="43"/>
      <c r="G5" s="43"/>
      <c r="H5" s="43"/>
    </row>
    <row r="6" spans="1:26" ht="21" x14ac:dyDescent="0.25">
      <c r="A6" s="41" t="s">
        <v>3</v>
      </c>
      <c r="B6" s="42">
        <v>114</v>
      </c>
      <c r="C6" s="43"/>
      <c r="D6" s="43"/>
      <c r="E6" s="43"/>
      <c r="F6" s="43"/>
    </row>
    <row r="7" spans="1:26" ht="21" x14ac:dyDescent="0.25">
      <c r="A7" s="44" t="s">
        <v>4</v>
      </c>
      <c r="B7" s="42">
        <v>96</v>
      </c>
      <c r="C7" s="43"/>
      <c r="D7" s="43"/>
      <c r="E7" s="43"/>
      <c r="F7" s="43"/>
    </row>
    <row r="8" spans="1:26" ht="21" x14ac:dyDescent="0.25">
      <c r="A8" s="43"/>
      <c r="B8" s="43"/>
      <c r="C8" s="43"/>
      <c r="D8" s="43"/>
      <c r="E8" s="43"/>
      <c r="F8" s="43"/>
    </row>
    <row r="9" spans="1:26" ht="21" x14ac:dyDescent="0.25">
      <c r="A9" s="67" t="s">
        <v>51</v>
      </c>
      <c r="D9" s="43"/>
      <c r="J9" s="67" t="s">
        <v>51</v>
      </c>
      <c r="M9" s="43"/>
    </row>
    <row r="10" spans="1:26" ht="21" x14ac:dyDescent="0.25">
      <c r="A10" s="43" t="s">
        <v>11</v>
      </c>
      <c r="B10" s="43"/>
      <c r="C10" s="43"/>
      <c r="D10" s="43" t="s">
        <v>58</v>
      </c>
      <c r="E10" s="45"/>
      <c r="F10" s="45"/>
      <c r="G10" s="43" t="s">
        <v>31</v>
      </c>
      <c r="J10" s="43" t="s">
        <v>11</v>
      </c>
      <c r="K10" s="43"/>
      <c r="L10" s="43"/>
      <c r="M10" s="43" t="s">
        <v>58</v>
      </c>
      <c r="N10" s="45"/>
      <c r="P10" s="43" t="s">
        <v>31</v>
      </c>
      <c r="S10" s="43"/>
      <c r="T10" s="43" t="s">
        <v>56</v>
      </c>
      <c r="U10" s="43" t="s">
        <v>51</v>
      </c>
      <c r="V10" s="43" t="s">
        <v>52</v>
      </c>
      <c r="W10" s="46" t="s">
        <v>53</v>
      </c>
    </row>
    <row r="11" spans="1:26" ht="44" x14ac:dyDescent="0.25">
      <c r="A11" s="40" t="s">
        <v>0</v>
      </c>
      <c r="B11" s="40" t="s">
        <v>5</v>
      </c>
      <c r="C11" s="42"/>
      <c r="D11" s="40" t="s">
        <v>0</v>
      </c>
      <c r="E11" s="40" t="s">
        <v>5</v>
      </c>
      <c r="G11" s="40" t="s">
        <v>0</v>
      </c>
      <c r="H11" s="40" t="s">
        <v>5</v>
      </c>
      <c r="J11" s="40" t="s">
        <v>0</v>
      </c>
      <c r="K11" s="40" t="s">
        <v>5</v>
      </c>
      <c r="L11" s="42"/>
      <c r="M11" s="40" t="s">
        <v>0</v>
      </c>
      <c r="N11" s="40" t="s">
        <v>5</v>
      </c>
      <c r="P11" s="40" t="s">
        <v>0</v>
      </c>
      <c r="Q11" s="40" t="s">
        <v>5</v>
      </c>
      <c r="S11" s="43" t="s">
        <v>11</v>
      </c>
      <c r="T11" s="43">
        <v>1</v>
      </c>
      <c r="U11" s="43">
        <f>AVERAGE(K12:K14)</f>
        <v>10.894697959437602</v>
      </c>
      <c r="V11" s="43">
        <f>AVERAGE(K26:K28)</f>
        <v>42.300854641035208</v>
      </c>
      <c r="W11" s="43">
        <f>AVERAGE(K40:K42)</f>
        <v>65.964636213761366</v>
      </c>
    </row>
    <row r="12" spans="1:26" ht="21" x14ac:dyDescent="0.25">
      <c r="A12" s="44" t="s">
        <v>68</v>
      </c>
      <c r="B12" s="42">
        <v>1125</v>
      </c>
      <c r="C12" s="42"/>
      <c r="D12" s="44" t="s">
        <v>61</v>
      </c>
      <c r="E12" s="42">
        <v>174</v>
      </c>
      <c r="G12" s="44" t="s">
        <v>32</v>
      </c>
      <c r="H12" s="43">
        <v>602</v>
      </c>
      <c r="J12" s="44" t="s">
        <v>68</v>
      </c>
      <c r="K12" s="42">
        <f>B12/B5</f>
        <v>11.968085106382979</v>
      </c>
      <c r="L12" s="42"/>
      <c r="M12" s="44" t="s">
        <v>61</v>
      </c>
      <c r="N12" s="42">
        <f>E12/B5</f>
        <v>1.8510638297872339</v>
      </c>
      <c r="P12" s="44" t="s">
        <v>32</v>
      </c>
      <c r="Q12" s="43">
        <f>H12/B5</f>
        <v>6.4042553191489358</v>
      </c>
      <c r="S12" s="43" t="s">
        <v>12</v>
      </c>
      <c r="T12" s="43">
        <v>1</v>
      </c>
      <c r="U12" s="43">
        <f>AVERAGE(K18:K20)</f>
        <v>1.3927538260544978</v>
      </c>
      <c r="V12" s="43">
        <f>AVERAGE(K32:K34)</f>
        <v>1.3122355978598979</v>
      </c>
      <c r="W12" s="43">
        <f>AVERAGE(K46:K48)</f>
        <v>1.2555096740077143</v>
      </c>
    </row>
    <row r="13" spans="1:26" ht="21" x14ac:dyDescent="0.25">
      <c r="A13" s="44" t="s">
        <v>69</v>
      </c>
      <c r="B13" s="42">
        <v>1015</v>
      </c>
      <c r="C13" s="42"/>
      <c r="D13" s="44" t="s">
        <v>62</v>
      </c>
      <c r="E13" s="42">
        <v>173</v>
      </c>
      <c r="G13" s="44" t="s">
        <v>33</v>
      </c>
      <c r="H13" s="43">
        <v>517</v>
      </c>
      <c r="J13" s="44" t="s">
        <v>69</v>
      </c>
      <c r="K13" s="42">
        <f>B13/B6</f>
        <v>8.9035087719298254</v>
      </c>
      <c r="L13" s="42"/>
      <c r="M13" s="44" t="s">
        <v>62</v>
      </c>
      <c r="N13" s="42">
        <f>E13/B6</f>
        <v>1.5175438596491229</v>
      </c>
      <c r="P13" s="44" t="s">
        <v>33</v>
      </c>
      <c r="Q13" s="43">
        <f t="shared" ref="Q13:Q14" si="0">H13/B6</f>
        <v>4.5350877192982457</v>
      </c>
      <c r="S13" s="43" t="s">
        <v>58</v>
      </c>
      <c r="T13" s="43">
        <v>1</v>
      </c>
      <c r="U13" s="43">
        <f>AVERAGE(N12:N14)</f>
        <v>1.7235636742565632</v>
      </c>
      <c r="V13" s="43">
        <f>AVERAGE(N26:N28)</f>
        <v>1.2889954273982829</v>
      </c>
      <c r="W13" s="43">
        <f>AVERAGE(N40:N42)</f>
        <v>0.92897303098170958</v>
      </c>
      <c r="Z13" s="43"/>
    </row>
    <row r="14" spans="1:26" ht="21" x14ac:dyDescent="0.25">
      <c r="A14" s="44" t="s">
        <v>70</v>
      </c>
      <c r="B14" s="42">
        <v>1134</v>
      </c>
      <c r="C14" s="42"/>
      <c r="D14" s="44" t="s">
        <v>64</v>
      </c>
      <c r="E14" s="42">
        <v>173</v>
      </c>
      <c r="G14" s="66" t="s">
        <v>34</v>
      </c>
      <c r="H14" s="43">
        <v>586</v>
      </c>
      <c r="J14" s="44" t="s">
        <v>70</v>
      </c>
      <c r="K14" s="42">
        <f>B14/B7</f>
        <v>11.8125</v>
      </c>
      <c r="L14" s="42"/>
      <c r="M14" s="44" t="s">
        <v>64</v>
      </c>
      <c r="N14" s="42">
        <f>E14/B7</f>
        <v>1.8020833333333333</v>
      </c>
      <c r="P14" s="66" t="s">
        <v>34</v>
      </c>
      <c r="Q14" s="43">
        <f t="shared" si="0"/>
        <v>6.104166666666667</v>
      </c>
      <c r="S14" s="43" t="s">
        <v>15</v>
      </c>
      <c r="T14" s="43">
        <v>1</v>
      </c>
      <c r="U14" s="43">
        <f>AVERAGE(N18:N20)</f>
        <v>1.2572632823192735</v>
      </c>
      <c r="V14" s="43">
        <f>AVERAGE(N32:N34)</f>
        <v>0.94748118078885157</v>
      </c>
      <c r="W14" s="43">
        <f>AVERAGE(N46:N48)</f>
        <v>0.68476654846335705</v>
      </c>
    </row>
    <row r="15" spans="1:26" ht="21" x14ac:dyDescent="0.25">
      <c r="A15" s="44"/>
      <c r="B15" s="42"/>
      <c r="C15" s="47"/>
      <c r="D15" s="42"/>
      <c r="E15" s="47"/>
      <c r="F15" s="47"/>
      <c r="J15" s="44"/>
      <c r="K15" s="42"/>
      <c r="L15" s="47"/>
      <c r="M15" s="42"/>
      <c r="N15" s="47"/>
      <c r="O15" s="42"/>
      <c r="S15" s="43" t="s">
        <v>31</v>
      </c>
      <c r="T15" s="43">
        <v>1</v>
      </c>
      <c r="U15" s="43">
        <f>AVERAGE(Q12:Q14)</f>
        <v>5.6811699017046164</v>
      </c>
      <c r="V15" s="43">
        <f>AVERAGE(Q26:Q28)</f>
        <v>5.4922234664675864</v>
      </c>
      <c r="W15" s="43">
        <f>AVERAGE(Q40:Q42)</f>
        <v>5.1915749035709844</v>
      </c>
    </row>
    <row r="16" spans="1:26" ht="21" x14ac:dyDescent="0.25">
      <c r="A16" s="43" t="s">
        <v>12</v>
      </c>
      <c r="B16" s="43"/>
      <c r="C16" s="43"/>
      <c r="D16" s="43" t="s">
        <v>63</v>
      </c>
      <c r="E16" s="43"/>
      <c r="F16" s="43"/>
      <c r="J16" s="43" t="s">
        <v>12</v>
      </c>
      <c r="K16" s="43"/>
      <c r="L16" s="43"/>
      <c r="M16" s="43" t="s">
        <v>63</v>
      </c>
      <c r="N16" s="43"/>
      <c r="O16" s="43"/>
      <c r="S16" s="43"/>
      <c r="T16" s="43"/>
      <c r="U16" s="43"/>
      <c r="V16" s="43"/>
      <c r="W16" s="43"/>
    </row>
    <row r="17" spans="1:29" ht="44" x14ac:dyDescent="0.25">
      <c r="A17" s="40" t="s">
        <v>0</v>
      </c>
      <c r="B17" s="40" t="s">
        <v>5</v>
      </c>
      <c r="C17" s="48"/>
      <c r="D17" s="40" t="s">
        <v>0</v>
      </c>
      <c r="E17" s="40" t="s">
        <v>5</v>
      </c>
      <c r="J17" s="40" t="s">
        <v>0</v>
      </c>
      <c r="K17" s="40" t="s">
        <v>5</v>
      </c>
      <c r="L17" s="48"/>
      <c r="M17" s="40" t="s">
        <v>0</v>
      </c>
      <c r="N17" s="40" t="s">
        <v>5</v>
      </c>
      <c r="S17" s="43"/>
      <c r="T17" s="43" t="s">
        <v>56</v>
      </c>
      <c r="U17" s="43" t="s">
        <v>57</v>
      </c>
      <c r="V17" s="43" t="s">
        <v>59</v>
      </c>
      <c r="W17" s="43" t="s">
        <v>60</v>
      </c>
    </row>
    <row r="18" spans="1:29" ht="21" x14ac:dyDescent="0.25">
      <c r="A18" s="49" t="s">
        <v>28</v>
      </c>
      <c r="B18" s="49">
        <v>129</v>
      </c>
      <c r="C18" s="48"/>
      <c r="D18" s="49" t="s">
        <v>65</v>
      </c>
      <c r="E18" s="42">
        <v>128</v>
      </c>
      <c r="J18" s="49" t="s">
        <v>28</v>
      </c>
      <c r="K18" s="42">
        <f>B18/B5</f>
        <v>1.3723404255319149</v>
      </c>
      <c r="L18" s="48"/>
      <c r="M18" s="49" t="s">
        <v>65</v>
      </c>
      <c r="N18" s="42">
        <f>E18/B5</f>
        <v>1.3617021276595744</v>
      </c>
      <c r="S18" s="43" t="s">
        <v>11</v>
      </c>
      <c r="T18" s="43">
        <v>0</v>
      </c>
      <c r="U18" s="43">
        <f>STDEV(K12:K14)</f>
        <v>1.7261742283639587</v>
      </c>
      <c r="V18" s="43">
        <f>STDEV(K26:K28)</f>
        <v>5.21708498896911</v>
      </c>
      <c r="W18" s="43">
        <f>STDEV(K40:K42)</f>
        <v>5.1271735168159811</v>
      </c>
    </row>
    <row r="19" spans="1:29" ht="21" x14ac:dyDescent="0.25">
      <c r="A19" s="49" t="s">
        <v>29</v>
      </c>
      <c r="B19" s="49">
        <v>137</v>
      </c>
      <c r="C19" s="48"/>
      <c r="D19" s="49" t="s">
        <v>66</v>
      </c>
      <c r="E19" s="42">
        <v>118</v>
      </c>
      <c r="J19" s="49" t="s">
        <v>29</v>
      </c>
      <c r="K19" s="42">
        <f>B19/B6</f>
        <v>1.2017543859649122</v>
      </c>
      <c r="L19" s="48"/>
      <c r="M19" s="49" t="s">
        <v>66</v>
      </c>
      <c r="N19" s="42">
        <f t="shared" ref="N19:N20" si="1">E19/B6</f>
        <v>1.0350877192982457</v>
      </c>
      <c r="S19" s="43" t="s">
        <v>12</v>
      </c>
      <c r="T19" s="43">
        <v>0</v>
      </c>
      <c r="U19" s="43">
        <f>STDEV(K18:K20)</f>
        <v>0.20198128899868123</v>
      </c>
      <c r="V19" s="43">
        <f>STDEV(K32:K34)</f>
        <v>0.13381754849007055</v>
      </c>
      <c r="W19" s="43">
        <f>STDEV(K46:K48)</f>
        <v>0.10346998499447572</v>
      </c>
    </row>
    <row r="20" spans="1:29" ht="21" x14ac:dyDescent="0.25">
      <c r="A20" s="49" t="s">
        <v>30</v>
      </c>
      <c r="B20" s="49">
        <v>154</v>
      </c>
      <c r="C20" s="48"/>
      <c r="D20" s="49" t="s">
        <v>67</v>
      </c>
      <c r="E20" s="42">
        <v>132</v>
      </c>
      <c r="J20" s="49" t="s">
        <v>30</v>
      </c>
      <c r="K20" s="42">
        <f>B20/B7</f>
        <v>1.6041666666666667</v>
      </c>
      <c r="L20" s="48"/>
      <c r="M20" s="49" t="s">
        <v>67</v>
      </c>
      <c r="N20" s="42">
        <f t="shared" si="1"/>
        <v>1.375</v>
      </c>
      <c r="S20" s="43" t="s">
        <v>58</v>
      </c>
      <c r="T20" s="43">
        <v>0</v>
      </c>
      <c r="U20" s="43">
        <f>STDEV(N12:N14)</f>
        <v>0.18009135255858555</v>
      </c>
      <c r="V20" s="43">
        <f>STDEV(N26:N28)</f>
        <v>0.15613609975881504</v>
      </c>
      <c r="W20" s="43">
        <f>STDEV(N40:N42)</f>
        <v>0.14277132456538358</v>
      </c>
    </row>
    <row r="21" spans="1:29" ht="21" x14ac:dyDescent="0.25">
      <c r="S21" s="43" t="s">
        <v>15</v>
      </c>
      <c r="T21" s="43">
        <v>0</v>
      </c>
      <c r="U21" s="43">
        <f>STDEV(N18:N20)</f>
        <v>0.19252452819051005</v>
      </c>
      <c r="V21" s="43">
        <f>STDEV(N32:N34)</f>
        <v>0.13777868408477484</v>
      </c>
      <c r="W21" s="43">
        <f>STDEV(N46:N48)</f>
        <v>8.8827490527020589E-2</v>
      </c>
    </row>
    <row r="22" spans="1:29" ht="21" x14ac:dyDescent="0.25">
      <c r="S22" s="43" t="s">
        <v>31</v>
      </c>
      <c r="T22" s="43">
        <v>0</v>
      </c>
      <c r="U22" s="43">
        <f>STDEV(Q12:Q14)</f>
        <v>1.0038135167744875</v>
      </c>
      <c r="V22" s="43">
        <f>STDEV(Q26:Q28)</f>
        <v>0.4177322097754767</v>
      </c>
      <c r="W22" s="43">
        <f>STDEV(Q40:Q42)</f>
        <v>0.62244152989205337</v>
      </c>
    </row>
    <row r="23" spans="1:29" ht="21" x14ac:dyDescent="0.25">
      <c r="A23" s="67" t="s">
        <v>52</v>
      </c>
      <c r="J23" s="67" t="s">
        <v>52</v>
      </c>
    </row>
    <row r="24" spans="1:29" ht="21" x14ac:dyDescent="0.25">
      <c r="A24" s="43" t="s">
        <v>11</v>
      </c>
      <c r="B24" s="43"/>
      <c r="C24" s="43"/>
      <c r="D24" s="43" t="s">
        <v>58</v>
      </c>
      <c r="E24" s="45"/>
      <c r="F24" s="45"/>
      <c r="G24" s="43" t="s">
        <v>31</v>
      </c>
      <c r="J24" s="43" t="s">
        <v>11</v>
      </c>
      <c r="K24" s="43"/>
      <c r="L24" s="43"/>
      <c r="M24" s="43" t="s">
        <v>58</v>
      </c>
      <c r="N24" s="45"/>
      <c r="P24" s="43" t="s">
        <v>31</v>
      </c>
    </row>
    <row r="25" spans="1:29" ht="44" x14ac:dyDescent="0.25">
      <c r="A25" s="40" t="s">
        <v>0</v>
      </c>
      <c r="B25" s="40" t="s">
        <v>5</v>
      </c>
      <c r="C25" s="42"/>
      <c r="D25" s="40" t="s">
        <v>0</v>
      </c>
      <c r="E25" s="40" t="s">
        <v>5</v>
      </c>
      <c r="G25" s="40" t="s">
        <v>0</v>
      </c>
      <c r="H25" s="40" t="s">
        <v>5</v>
      </c>
      <c r="J25" s="40" t="s">
        <v>0</v>
      </c>
      <c r="K25" s="40" t="s">
        <v>5</v>
      </c>
      <c r="L25" s="42"/>
      <c r="M25" s="40" t="s">
        <v>0</v>
      </c>
      <c r="N25" s="40" t="s">
        <v>5</v>
      </c>
      <c r="P25" s="40" t="s">
        <v>0</v>
      </c>
      <c r="Q25" s="40" t="s">
        <v>5</v>
      </c>
    </row>
    <row r="26" spans="1:29" ht="21" x14ac:dyDescent="0.25">
      <c r="A26" s="44" t="s">
        <v>68</v>
      </c>
      <c r="B26" s="42">
        <v>4530</v>
      </c>
      <c r="C26" s="42"/>
      <c r="D26" s="44" t="s">
        <v>61</v>
      </c>
      <c r="E26" s="42">
        <v>137</v>
      </c>
      <c r="G26" s="44" t="s">
        <v>32</v>
      </c>
      <c r="H26" s="43">
        <v>528</v>
      </c>
      <c r="J26" s="44" t="s">
        <v>68</v>
      </c>
      <c r="K26" s="42">
        <f>B26/B5</f>
        <v>48.191489361702125</v>
      </c>
      <c r="L26" s="42"/>
      <c r="M26" s="44" t="s">
        <v>61</v>
      </c>
      <c r="N26" s="42">
        <f>E26/B5</f>
        <v>1.4574468085106382</v>
      </c>
      <c r="P26" s="44" t="s">
        <v>32</v>
      </c>
      <c r="Q26" s="43">
        <f>H26/B5</f>
        <v>5.6170212765957448</v>
      </c>
      <c r="X26" s="43"/>
      <c r="Y26" s="43"/>
      <c r="Z26" s="43"/>
      <c r="AA26" s="43"/>
      <c r="AB26" s="43"/>
      <c r="AC26" s="43"/>
    </row>
    <row r="27" spans="1:29" ht="21" x14ac:dyDescent="0.25">
      <c r="A27" s="44" t="s">
        <v>69</v>
      </c>
      <c r="B27" s="42">
        <v>4362</v>
      </c>
      <c r="C27" s="42"/>
      <c r="D27" s="44" t="s">
        <v>62</v>
      </c>
      <c r="E27" s="42">
        <v>131</v>
      </c>
      <c r="G27" s="44" t="s">
        <v>33</v>
      </c>
      <c r="H27" s="43">
        <v>573</v>
      </c>
      <c r="J27" s="44" t="s">
        <v>69</v>
      </c>
      <c r="K27" s="42">
        <f>B27/B6</f>
        <v>38.263157894736842</v>
      </c>
      <c r="L27" s="42"/>
      <c r="M27" s="44" t="s">
        <v>62</v>
      </c>
      <c r="N27" s="42">
        <f>E27/B6</f>
        <v>1.1491228070175439</v>
      </c>
      <c r="P27" s="44" t="s">
        <v>33</v>
      </c>
      <c r="Q27" s="43">
        <f>H27/B6</f>
        <v>5.0263157894736841</v>
      </c>
    </row>
    <row r="28" spans="1:29" ht="21" x14ac:dyDescent="0.25">
      <c r="A28" s="44" t="s">
        <v>70</v>
      </c>
      <c r="B28" s="42">
        <v>3883</v>
      </c>
      <c r="C28" s="42"/>
      <c r="D28" s="44" t="s">
        <v>64</v>
      </c>
      <c r="E28" s="42">
        <v>121</v>
      </c>
      <c r="G28" s="66" t="s">
        <v>34</v>
      </c>
      <c r="H28" s="43">
        <v>560</v>
      </c>
      <c r="J28" s="44" t="s">
        <v>70</v>
      </c>
      <c r="K28" s="42">
        <f>B28/B7</f>
        <v>40.447916666666664</v>
      </c>
      <c r="L28" s="42"/>
      <c r="M28" s="44" t="s">
        <v>64</v>
      </c>
      <c r="N28" s="42">
        <f>E28/B7</f>
        <v>1.2604166666666667</v>
      </c>
      <c r="P28" s="66" t="s">
        <v>34</v>
      </c>
      <c r="Q28" s="43">
        <f>H28/B7</f>
        <v>5.833333333333333</v>
      </c>
    </row>
    <row r="29" spans="1:29" ht="21" x14ac:dyDescent="0.25">
      <c r="A29" s="44"/>
      <c r="B29" s="42"/>
      <c r="C29" s="47"/>
      <c r="D29" s="42"/>
      <c r="E29" s="47"/>
      <c r="F29" s="47"/>
      <c r="J29" s="44"/>
      <c r="K29" s="42"/>
      <c r="L29" s="47"/>
      <c r="M29" s="42"/>
      <c r="N29" s="47"/>
      <c r="O29" s="42"/>
    </row>
    <row r="30" spans="1:29" ht="21" x14ac:dyDescent="0.25">
      <c r="A30" s="43" t="s">
        <v>12</v>
      </c>
      <c r="B30" s="43"/>
      <c r="C30" s="43"/>
      <c r="D30" s="43" t="s">
        <v>63</v>
      </c>
      <c r="E30" s="43"/>
      <c r="F30" s="43"/>
      <c r="J30" s="68" t="s">
        <v>12</v>
      </c>
      <c r="K30" s="68"/>
      <c r="L30" s="68"/>
      <c r="M30" s="68" t="s">
        <v>63</v>
      </c>
      <c r="N30" s="43"/>
      <c r="O30" s="43"/>
    </row>
    <row r="31" spans="1:29" ht="44" x14ac:dyDescent="0.25">
      <c r="A31" s="40" t="s">
        <v>0</v>
      </c>
      <c r="B31" s="40" t="s">
        <v>5</v>
      </c>
      <c r="C31" s="48"/>
      <c r="D31" s="40" t="s">
        <v>0</v>
      </c>
      <c r="E31" s="40" t="s">
        <v>5</v>
      </c>
      <c r="J31" s="40" t="s">
        <v>0</v>
      </c>
      <c r="K31" s="40" t="s">
        <v>5</v>
      </c>
      <c r="L31" s="48"/>
      <c r="M31" s="40" t="s">
        <v>0</v>
      </c>
      <c r="N31" s="40" t="s">
        <v>5</v>
      </c>
    </row>
    <row r="32" spans="1:29" ht="21" x14ac:dyDescent="0.25">
      <c r="A32" s="49" t="s">
        <v>28</v>
      </c>
      <c r="B32" s="49">
        <v>130</v>
      </c>
      <c r="C32" s="48"/>
      <c r="D32" s="49" t="s">
        <v>65</v>
      </c>
      <c r="E32" s="42">
        <v>98</v>
      </c>
      <c r="J32" s="49" t="s">
        <v>28</v>
      </c>
      <c r="K32" s="42">
        <f>B32/B5</f>
        <v>1.3829787234042554</v>
      </c>
      <c r="L32" s="48"/>
      <c r="M32" s="49" t="s">
        <v>65</v>
      </c>
      <c r="N32" s="42">
        <f>E32/B5</f>
        <v>1.0425531914893618</v>
      </c>
    </row>
    <row r="33" spans="1:17" ht="21" x14ac:dyDescent="0.25">
      <c r="A33" s="49" t="s">
        <v>29</v>
      </c>
      <c r="B33" s="49">
        <v>132</v>
      </c>
      <c r="C33" s="48"/>
      <c r="D33" s="49" t="s">
        <v>66</v>
      </c>
      <c r="E33" s="42">
        <v>90</v>
      </c>
      <c r="J33" s="49" t="s">
        <v>29</v>
      </c>
      <c r="K33" s="42">
        <f>B33/B6</f>
        <v>1.1578947368421053</v>
      </c>
      <c r="L33" s="48"/>
      <c r="M33" s="49" t="s">
        <v>66</v>
      </c>
      <c r="N33" s="42">
        <f>E33/B6</f>
        <v>0.78947368421052633</v>
      </c>
    </row>
    <row r="34" spans="1:17" ht="21" x14ac:dyDescent="0.25">
      <c r="A34" s="49" t="s">
        <v>30</v>
      </c>
      <c r="B34" s="49">
        <v>134</v>
      </c>
      <c r="C34" s="48"/>
      <c r="D34" s="49" t="s">
        <v>67</v>
      </c>
      <c r="E34" s="42">
        <v>97</v>
      </c>
      <c r="J34" s="49" t="s">
        <v>30</v>
      </c>
      <c r="K34" s="42">
        <f>B34/B7</f>
        <v>1.3958333333333333</v>
      </c>
      <c r="L34" s="48"/>
      <c r="M34" s="49" t="s">
        <v>67</v>
      </c>
      <c r="N34" s="42">
        <f>E34/B7</f>
        <v>1.0104166666666667</v>
      </c>
    </row>
    <row r="37" spans="1:17" ht="21" x14ac:dyDescent="0.25">
      <c r="A37" s="67" t="s">
        <v>53</v>
      </c>
      <c r="J37" s="67" t="s">
        <v>53</v>
      </c>
    </row>
    <row r="38" spans="1:17" ht="21" x14ac:dyDescent="0.25">
      <c r="A38" s="43" t="s">
        <v>11</v>
      </c>
      <c r="B38" s="43"/>
      <c r="C38" s="43"/>
      <c r="D38" s="43" t="s">
        <v>58</v>
      </c>
      <c r="E38" s="45"/>
      <c r="F38" s="45"/>
      <c r="G38" s="43" t="s">
        <v>31</v>
      </c>
      <c r="J38" s="43" t="s">
        <v>11</v>
      </c>
      <c r="K38" s="43"/>
      <c r="L38" s="43"/>
      <c r="M38" s="43" t="s">
        <v>58</v>
      </c>
      <c r="N38" s="45"/>
      <c r="P38" s="43" t="s">
        <v>31</v>
      </c>
    </row>
    <row r="39" spans="1:17" ht="44" x14ac:dyDescent="0.25">
      <c r="A39" s="40" t="s">
        <v>0</v>
      </c>
      <c r="B39" s="40" t="s">
        <v>5</v>
      </c>
      <c r="C39" s="42"/>
      <c r="D39" s="40" t="s">
        <v>0</v>
      </c>
      <c r="E39" s="40" t="s">
        <v>5</v>
      </c>
      <c r="G39" s="40" t="s">
        <v>0</v>
      </c>
      <c r="H39" s="40" t="s">
        <v>5</v>
      </c>
      <c r="J39" s="40" t="s">
        <v>0</v>
      </c>
      <c r="K39" s="40" t="s">
        <v>5</v>
      </c>
      <c r="L39" s="42"/>
      <c r="M39" s="40" t="s">
        <v>0</v>
      </c>
      <c r="N39" s="40" t="s">
        <v>5</v>
      </c>
      <c r="P39" s="40" t="s">
        <v>0</v>
      </c>
      <c r="Q39" s="40" t="s">
        <v>5</v>
      </c>
    </row>
    <row r="40" spans="1:17" ht="21" x14ac:dyDescent="0.25">
      <c r="A40" s="44" t="s">
        <v>68</v>
      </c>
      <c r="B40" s="42">
        <v>6648</v>
      </c>
      <c r="C40" s="42"/>
      <c r="D40" s="44" t="s">
        <v>61</v>
      </c>
      <c r="E40" s="42">
        <v>80</v>
      </c>
      <c r="G40" s="44" t="s">
        <v>32</v>
      </c>
      <c r="H40" s="43">
        <v>540</v>
      </c>
      <c r="J40" s="44" t="s">
        <v>68</v>
      </c>
      <c r="K40" s="42">
        <f>B40/B5</f>
        <v>70.723404255319153</v>
      </c>
      <c r="L40" s="42"/>
      <c r="M40" s="44" t="s">
        <v>61</v>
      </c>
      <c r="N40" s="42">
        <f>E40/B5</f>
        <v>0.85106382978723405</v>
      </c>
      <c r="P40" s="44" t="s">
        <v>32</v>
      </c>
      <c r="Q40" s="43">
        <f>H40/B5</f>
        <v>5.7446808510638299</v>
      </c>
    </row>
    <row r="41" spans="1:17" ht="21" x14ac:dyDescent="0.25">
      <c r="A41" s="44" t="s">
        <v>69</v>
      </c>
      <c r="B41" s="42">
        <v>6901</v>
      </c>
      <c r="C41" s="42"/>
      <c r="D41" s="44" t="s">
        <v>62</v>
      </c>
      <c r="E41" s="42">
        <v>96</v>
      </c>
      <c r="G41" s="44" t="s">
        <v>33</v>
      </c>
      <c r="H41" s="43">
        <v>515</v>
      </c>
      <c r="J41" s="44" t="s">
        <v>69</v>
      </c>
      <c r="K41" s="42">
        <f>B41/B6</f>
        <v>60.535087719298247</v>
      </c>
      <c r="L41" s="42"/>
      <c r="M41" s="44" t="s">
        <v>62</v>
      </c>
      <c r="N41" s="42">
        <f>E41/B6</f>
        <v>0.84210526315789469</v>
      </c>
      <c r="P41" s="44" t="s">
        <v>33</v>
      </c>
      <c r="Q41" s="43">
        <f>H41/B6</f>
        <v>4.5175438596491224</v>
      </c>
    </row>
    <row r="42" spans="1:17" ht="21" x14ac:dyDescent="0.25">
      <c r="A42" s="44" t="s">
        <v>70</v>
      </c>
      <c r="B42" s="42">
        <v>6397</v>
      </c>
      <c r="C42" s="42"/>
      <c r="D42" s="44" t="s">
        <v>64</v>
      </c>
      <c r="E42" s="42">
        <v>105</v>
      </c>
      <c r="G42" s="66" t="s">
        <v>34</v>
      </c>
      <c r="H42" s="43">
        <v>510</v>
      </c>
      <c r="J42" s="44" t="s">
        <v>70</v>
      </c>
      <c r="K42" s="42">
        <f>B42/B7</f>
        <v>66.635416666666671</v>
      </c>
      <c r="L42" s="42"/>
      <c r="M42" s="44" t="s">
        <v>64</v>
      </c>
      <c r="N42" s="42">
        <f>E42/B7</f>
        <v>1.09375</v>
      </c>
      <c r="P42" s="66" t="s">
        <v>34</v>
      </c>
      <c r="Q42" s="43">
        <f>H42/B7</f>
        <v>5.3125</v>
      </c>
    </row>
    <row r="43" spans="1:17" ht="21" x14ac:dyDescent="0.25">
      <c r="A43" s="44"/>
      <c r="B43" s="42"/>
      <c r="C43" s="47"/>
      <c r="D43" s="42"/>
      <c r="E43" s="47"/>
      <c r="F43" s="47"/>
      <c r="J43" s="44"/>
      <c r="K43" s="42"/>
      <c r="L43" s="47"/>
      <c r="M43" s="42"/>
      <c r="N43" s="47"/>
      <c r="O43" s="42"/>
    </row>
    <row r="44" spans="1:17" ht="21" x14ac:dyDescent="0.25">
      <c r="A44" s="43" t="s">
        <v>12</v>
      </c>
      <c r="B44" s="43"/>
      <c r="C44" s="43"/>
      <c r="D44" s="43" t="s">
        <v>63</v>
      </c>
      <c r="E44" s="43"/>
      <c r="F44" s="43"/>
      <c r="J44" s="68" t="s">
        <v>12</v>
      </c>
      <c r="K44" s="68"/>
      <c r="L44" s="68"/>
      <c r="M44" s="68" t="s">
        <v>63</v>
      </c>
      <c r="N44" s="43"/>
      <c r="O44" s="43"/>
    </row>
    <row r="45" spans="1:17" ht="44" x14ac:dyDescent="0.25">
      <c r="A45" s="40" t="s">
        <v>0</v>
      </c>
      <c r="B45" s="40" t="s">
        <v>5</v>
      </c>
      <c r="C45" s="48"/>
      <c r="D45" s="40" t="s">
        <v>0</v>
      </c>
      <c r="E45" s="40" t="s">
        <v>5</v>
      </c>
      <c r="J45" s="40" t="s">
        <v>0</v>
      </c>
      <c r="K45" s="40" t="s">
        <v>5</v>
      </c>
      <c r="L45" s="48"/>
      <c r="M45" s="40" t="s">
        <v>0</v>
      </c>
      <c r="N45" s="40" t="s">
        <v>5</v>
      </c>
    </row>
    <row r="46" spans="1:17" ht="21" x14ac:dyDescent="0.25">
      <c r="A46" s="49" t="s">
        <v>28</v>
      </c>
      <c r="B46" s="49">
        <v>129</v>
      </c>
      <c r="C46" s="48"/>
      <c r="D46" s="49" t="s">
        <v>65</v>
      </c>
      <c r="E46" s="42">
        <v>57</v>
      </c>
      <c r="J46" s="49" t="s">
        <v>28</v>
      </c>
      <c r="K46" s="42">
        <f>B46/B5</f>
        <v>1.3723404255319149</v>
      </c>
      <c r="L46" s="48"/>
      <c r="M46" s="49" t="s">
        <v>65</v>
      </c>
      <c r="N46" s="42">
        <f>E46/B5</f>
        <v>0.6063829787234043</v>
      </c>
    </row>
    <row r="47" spans="1:17" ht="21" x14ac:dyDescent="0.25">
      <c r="A47" s="49" t="s">
        <v>29</v>
      </c>
      <c r="B47" s="49">
        <v>134</v>
      </c>
      <c r="C47" s="48"/>
      <c r="D47" s="49" t="s">
        <v>66</v>
      </c>
      <c r="E47" s="42">
        <v>76</v>
      </c>
      <c r="J47" s="49" t="s">
        <v>29</v>
      </c>
      <c r="K47" s="42">
        <f>B47/B6</f>
        <v>1.1754385964912282</v>
      </c>
      <c r="L47" s="48"/>
      <c r="M47" s="49" t="s">
        <v>66</v>
      </c>
      <c r="N47" s="42">
        <f>E47/B6</f>
        <v>0.66666666666666663</v>
      </c>
    </row>
    <row r="48" spans="1:17" ht="21" x14ac:dyDescent="0.25">
      <c r="A48" s="49" t="s">
        <v>30</v>
      </c>
      <c r="B48" s="49">
        <v>117</v>
      </c>
      <c r="C48" s="48"/>
      <c r="D48" s="49" t="s">
        <v>67</v>
      </c>
      <c r="E48" s="42">
        <v>75</v>
      </c>
      <c r="J48" s="49" t="s">
        <v>30</v>
      </c>
      <c r="K48" s="42">
        <f>B48/B7</f>
        <v>1.21875</v>
      </c>
      <c r="L48" s="48"/>
      <c r="M48" s="49" t="s">
        <v>67</v>
      </c>
      <c r="N48" s="42">
        <f>E48/B7</f>
        <v>0.78125</v>
      </c>
    </row>
    <row r="52" spans="12:15" ht="21" x14ac:dyDescent="0.25">
      <c r="L52" s="43"/>
      <c r="M52" s="43"/>
      <c r="N52" s="43"/>
      <c r="O52" s="43"/>
    </row>
    <row r="57" spans="12:15" ht="21" x14ac:dyDescent="0.25">
      <c r="L57" s="42"/>
      <c r="M57" s="47"/>
      <c r="N57" s="47"/>
      <c r="O57" s="47"/>
    </row>
    <row r="58" spans="12:15" ht="21" x14ac:dyDescent="0.25">
      <c r="L58" s="43"/>
      <c r="M58" s="43"/>
      <c r="N58" s="43"/>
      <c r="O58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</vt:lpstr>
      <vt:lpstr>Rep2</vt:lpstr>
      <vt:lpstr>Rep3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2018-09-24T18:58:03Z</dcterms:created>
  <dcterms:modified xsi:type="dcterms:W3CDTF">2019-02-15T16:56:04Z</dcterms:modified>
</cp:coreProperties>
</file>