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weihe/Documents/VT/R01/Data/"/>
    </mc:Choice>
  </mc:AlternateContent>
  <xr:revisionPtr revIDLastSave="0" documentId="13_ncr:1_{94CBC8DA-D4CE-CE43-839B-B64A62B458B1}" xr6:coauthVersionLast="47" xr6:coauthVersionMax="47" xr10:uidLastSave="{00000000-0000-0000-0000-000000000000}"/>
  <bookViews>
    <workbookView xWindow="15060" yWindow="500" windowWidth="38400" windowHeight="19340" activeTab="5" xr2:uid="{00000000-000D-0000-FFFF-FFFF00000000}"/>
  </bookViews>
  <sheets>
    <sheet name="Rep1 " sheetId="1" r:id="rId1"/>
    <sheet name="Rep2" sheetId="7" r:id="rId2"/>
    <sheet name="Rep3" sheetId="8" r:id="rId3"/>
    <sheet name="Rep1 17days" sheetId="9" r:id="rId4"/>
    <sheet name="Rep2 17days" sheetId="10" r:id="rId5"/>
    <sheet name="Rep3 17days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9" l="1"/>
  <c r="K45" i="8" l="1"/>
  <c r="M45" i="8" s="1"/>
  <c r="E32" i="11" s="1"/>
  <c r="C45" i="8"/>
  <c r="E45" i="8"/>
  <c r="B32" i="11" s="1"/>
  <c r="K44" i="8"/>
  <c r="M44" i="8"/>
  <c r="E31" i="11" s="1"/>
  <c r="C44" i="8"/>
  <c r="E44" i="8"/>
  <c r="B31" i="11" s="1"/>
  <c r="K43" i="8"/>
  <c r="M43" i="8"/>
  <c r="E30" i="11" s="1"/>
  <c r="C43" i="8"/>
  <c r="E43" i="8" s="1"/>
  <c r="B30" i="11" s="1"/>
  <c r="K42" i="8"/>
  <c r="M42" i="8"/>
  <c r="E29" i="11" s="1"/>
  <c r="C42" i="8"/>
  <c r="E42" i="8"/>
  <c r="B29" i="11" s="1"/>
  <c r="K41" i="8"/>
  <c r="M41" i="8"/>
  <c r="E28" i="11" s="1"/>
  <c r="C41" i="8"/>
  <c r="E41" i="8"/>
  <c r="B28" i="11" s="1"/>
  <c r="K40" i="8"/>
  <c r="M40" i="8"/>
  <c r="E27" i="11" s="1"/>
  <c r="C40" i="8"/>
  <c r="E40" i="8"/>
  <c r="B27" i="11" s="1"/>
  <c r="K39" i="8"/>
  <c r="M39" i="8"/>
  <c r="E26" i="11" s="1"/>
  <c r="C39" i="8"/>
  <c r="E39" i="8" s="1"/>
  <c r="K38" i="8"/>
  <c r="M38" i="8"/>
  <c r="E25" i="11" s="1"/>
  <c r="C38" i="8"/>
  <c r="E38" i="8"/>
  <c r="B25" i="11" s="1"/>
  <c r="K37" i="8"/>
  <c r="M37" i="8"/>
  <c r="E24" i="11" s="1"/>
  <c r="C37" i="8"/>
  <c r="E37" i="8"/>
  <c r="B24" i="11" s="1"/>
  <c r="K31" i="8"/>
  <c r="M31" i="8"/>
  <c r="E21" i="11" s="1"/>
  <c r="C31" i="8"/>
  <c r="E31" i="8"/>
  <c r="B21" i="11" s="1"/>
  <c r="K30" i="8"/>
  <c r="M30" i="8"/>
  <c r="E20" i="11" s="1"/>
  <c r="C30" i="8"/>
  <c r="E30" i="8"/>
  <c r="B20" i="11" s="1"/>
  <c r="K29" i="8"/>
  <c r="M29" i="8"/>
  <c r="E19" i="11" s="1"/>
  <c r="C29" i="8"/>
  <c r="E29" i="8"/>
  <c r="B19" i="11" s="1"/>
  <c r="K28" i="8"/>
  <c r="M28" i="8"/>
  <c r="E18" i="11" s="1"/>
  <c r="C28" i="8"/>
  <c r="E28" i="8"/>
  <c r="B18" i="11" s="1"/>
  <c r="K27" i="8"/>
  <c r="M27" i="8"/>
  <c r="E17" i="11" s="1"/>
  <c r="C27" i="8"/>
  <c r="E27" i="8"/>
  <c r="B17" i="11" s="1"/>
  <c r="K26" i="8"/>
  <c r="M26" i="8"/>
  <c r="E16" i="11" s="1"/>
  <c r="C26" i="8"/>
  <c r="E26" i="8"/>
  <c r="B16" i="11" s="1"/>
  <c r="K25" i="8"/>
  <c r="M25" i="8"/>
  <c r="E15" i="11" s="1"/>
  <c r="C25" i="8"/>
  <c r="E25" i="8"/>
  <c r="B15" i="11" s="1"/>
  <c r="K24" i="8"/>
  <c r="M24" i="8"/>
  <c r="E14" i="11" s="1"/>
  <c r="C24" i="8"/>
  <c r="E24" i="8"/>
  <c r="B14" i="11" s="1"/>
  <c r="K23" i="8"/>
  <c r="M23" i="8"/>
  <c r="E13" i="11" s="1"/>
  <c r="C23" i="8"/>
  <c r="E23" i="8"/>
  <c r="B13" i="11" s="1"/>
  <c r="C17" i="8"/>
  <c r="E17" i="8"/>
  <c r="B9" i="11" s="1"/>
  <c r="C16" i="8"/>
  <c r="E16" i="8"/>
  <c r="B8" i="11" s="1"/>
  <c r="C15" i="8"/>
  <c r="E15" i="8"/>
  <c r="B7" i="11" s="1"/>
  <c r="C14" i="8"/>
  <c r="E14" i="8"/>
  <c r="B6" i="11" s="1"/>
  <c r="C13" i="8"/>
  <c r="E13" i="8"/>
  <c r="B5" i="11" s="1"/>
  <c r="C12" i="8"/>
  <c r="E12" i="8"/>
  <c r="B4" i="11" s="1"/>
  <c r="K47" i="7"/>
  <c r="M47" i="7"/>
  <c r="E32" i="10" s="1"/>
  <c r="C47" i="7"/>
  <c r="E47" i="7"/>
  <c r="B32" i="10" s="1"/>
  <c r="K46" i="7"/>
  <c r="M46" i="7"/>
  <c r="E31" i="10" s="1"/>
  <c r="C46" i="7"/>
  <c r="E46" i="7"/>
  <c r="B31" i="10" s="1"/>
  <c r="K45" i="7"/>
  <c r="M45" i="7"/>
  <c r="E30" i="10" s="1"/>
  <c r="C45" i="7"/>
  <c r="E45" i="7"/>
  <c r="B30" i="10" s="1"/>
  <c r="K44" i="7"/>
  <c r="M44" i="7"/>
  <c r="E29" i="10" s="1"/>
  <c r="C44" i="7"/>
  <c r="E44" i="7"/>
  <c r="B29" i="10" s="1"/>
  <c r="K43" i="7"/>
  <c r="M43" i="7"/>
  <c r="E28" i="10" s="1"/>
  <c r="C43" i="7"/>
  <c r="E43" i="7"/>
  <c r="B28" i="10" s="1"/>
  <c r="K42" i="7"/>
  <c r="M42" i="7" s="1"/>
  <c r="E27" i="10" s="1"/>
  <c r="C42" i="7"/>
  <c r="E42" i="7"/>
  <c r="B27" i="10" s="1"/>
  <c r="K41" i="7"/>
  <c r="M41" i="7"/>
  <c r="E26" i="10" s="1"/>
  <c r="C41" i="7"/>
  <c r="E41" i="7"/>
  <c r="B26" i="10" s="1"/>
  <c r="K40" i="7"/>
  <c r="M40" i="7"/>
  <c r="E25" i="10" s="1"/>
  <c r="C40" i="7"/>
  <c r="E40" i="7"/>
  <c r="B25" i="10" s="1"/>
  <c r="K39" i="7"/>
  <c r="M39" i="7"/>
  <c r="E24" i="10" s="1"/>
  <c r="C39" i="7"/>
  <c r="E39" i="7"/>
  <c r="B24" i="10" s="1"/>
  <c r="K33" i="7"/>
  <c r="M33" i="7" s="1"/>
  <c r="C33" i="7"/>
  <c r="E33" i="7"/>
  <c r="B21" i="10" s="1"/>
  <c r="K32" i="7"/>
  <c r="M32" i="7"/>
  <c r="E20" i="10" s="1"/>
  <c r="C32" i="7"/>
  <c r="E32" i="7"/>
  <c r="B20" i="10" s="1"/>
  <c r="K31" i="7"/>
  <c r="M31" i="7"/>
  <c r="E19" i="10" s="1"/>
  <c r="C31" i="7"/>
  <c r="E31" i="7"/>
  <c r="B19" i="10" s="1"/>
  <c r="K30" i="7"/>
  <c r="M30" i="7"/>
  <c r="E18" i="10" s="1"/>
  <c r="C30" i="7"/>
  <c r="E30" i="7"/>
  <c r="B18" i="10" s="1"/>
  <c r="K29" i="7"/>
  <c r="M29" i="7"/>
  <c r="E17" i="10" s="1"/>
  <c r="C29" i="7"/>
  <c r="E29" i="7"/>
  <c r="B17" i="10" s="1"/>
  <c r="K28" i="7"/>
  <c r="M28" i="7"/>
  <c r="E16" i="10" s="1"/>
  <c r="C28" i="7"/>
  <c r="E28" i="7"/>
  <c r="B16" i="10" s="1"/>
  <c r="K27" i="7"/>
  <c r="M27" i="7"/>
  <c r="E15" i="10" s="1"/>
  <c r="C27" i="7"/>
  <c r="E27" i="7"/>
  <c r="B15" i="10" s="1"/>
  <c r="K26" i="7"/>
  <c r="M26" i="7"/>
  <c r="E14" i="10" s="1"/>
  <c r="C26" i="7"/>
  <c r="E26" i="7"/>
  <c r="B14" i="10" s="1"/>
  <c r="K25" i="7"/>
  <c r="M25" i="7"/>
  <c r="E13" i="10" s="1"/>
  <c r="C25" i="7"/>
  <c r="E25" i="7"/>
  <c r="B13" i="10" s="1"/>
  <c r="C19" i="7"/>
  <c r="E19" i="7"/>
  <c r="B9" i="10" s="1"/>
  <c r="C18" i="7"/>
  <c r="E18" i="7"/>
  <c r="B8" i="10" s="1"/>
  <c r="C17" i="7"/>
  <c r="E17" i="7" s="1"/>
  <c r="B7" i="10" s="1"/>
  <c r="C16" i="7"/>
  <c r="E16" i="7"/>
  <c r="B6" i="10" s="1"/>
  <c r="C15" i="7"/>
  <c r="E15" i="7"/>
  <c r="B5" i="10" s="1"/>
  <c r="C14" i="7"/>
  <c r="E14" i="7" s="1"/>
  <c r="K47" i="1"/>
  <c r="M47" i="1"/>
  <c r="E32" i="9" s="1"/>
  <c r="C47" i="1"/>
  <c r="E47" i="1"/>
  <c r="B32" i="9" s="1"/>
  <c r="K46" i="1"/>
  <c r="M46" i="1"/>
  <c r="E31" i="9" s="1"/>
  <c r="C46" i="1"/>
  <c r="E46" i="1"/>
  <c r="B31" i="9" s="1"/>
  <c r="K45" i="1"/>
  <c r="M45" i="1"/>
  <c r="E30" i="9" s="1"/>
  <c r="C45" i="1"/>
  <c r="E45" i="1"/>
  <c r="B30" i="9" s="1"/>
  <c r="K44" i="1"/>
  <c r="M44" i="1"/>
  <c r="E29" i="9" s="1"/>
  <c r="C44" i="1"/>
  <c r="E44" i="1"/>
  <c r="B29" i="9" s="1"/>
  <c r="K43" i="1"/>
  <c r="M43" i="1"/>
  <c r="E28" i="9" s="1"/>
  <c r="C43" i="1"/>
  <c r="E43" i="1"/>
  <c r="B28" i="9" s="1"/>
  <c r="K42" i="1"/>
  <c r="M42" i="1"/>
  <c r="E27" i="9" s="1"/>
  <c r="C42" i="1"/>
  <c r="E42" i="1"/>
  <c r="B27" i="9" s="1"/>
  <c r="K41" i="1"/>
  <c r="M41" i="1"/>
  <c r="E26" i="9" s="1"/>
  <c r="C41" i="1"/>
  <c r="E41" i="1"/>
  <c r="B26" i="9" s="1"/>
  <c r="K40" i="1"/>
  <c r="M40" i="1"/>
  <c r="E25" i="9" s="1"/>
  <c r="C40" i="1"/>
  <c r="E40" i="1"/>
  <c r="B25" i="9" s="1"/>
  <c r="K39" i="1"/>
  <c r="M39" i="1"/>
  <c r="E24" i="9" s="1"/>
  <c r="C39" i="1"/>
  <c r="E39" i="1"/>
  <c r="B24" i="9" s="1"/>
  <c r="C25" i="1"/>
  <c r="E25" i="1"/>
  <c r="B13" i="9" s="1"/>
  <c r="K28" i="1"/>
  <c r="M28" i="1"/>
  <c r="E16" i="9" s="1"/>
  <c r="K29" i="1"/>
  <c r="M29" i="1" s="1"/>
  <c r="K30" i="1"/>
  <c r="M30" i="1" s="1"/>
  <c r="E18" i="9" s="1"/>
  <c r="K31" i="1"/>
  <c r="M31" i="1"/>
  <c r="E19" i="9" s="1"/>
  <c r="K32" i="1"/>
  <c r="M32" i="1"/>
  <c r="E20" i="9" s="1"/>
  <c r="K33" i="1"/>
  <c r="M33" i="1"/>
  <c r="E21" i="9" s="1"/>
  <c r="E30" i="1"/>
  <c r="B18" i="9" s="1"/>
  <c r="C28" i="1"/>
  <c r="E28" i="1" s="1"/>
  <c r="B16" i="9" s="1"/>
  <c r="C29" i="1"/>
  <c r="E29" i="1"/>
  <c r="B17" i="9" s="1"/>
  <c r="C30" i="1"/>
  <c r="C31" i="1"/>
  <c r="E31" i="1"/>
  <c r="B19" i="9" s="1"/>
  <c r="C32" i="1"/>
  <c r="E32" i="1" s="1"/>
  <c r="B20" i="9" s="1"/>
  <c r="C33" i="1"/>
  <c r="E33" i="1" s="1"/>
  <c r="B21" i="9" s="1"/>
  <c r="C16" i="1"/>
  <c r="E16" i="1" s="1"/>
  <c r="B6" i="9" s="1"/>
  <c r="C17" i="1"/>
  <c r="E17" i="1"/>
  <c r="B7" i="9" s="1"/>
  <c r="C18" i="1"/>
  <c r="E18" i="1"/>
  <c r="B8" i="9" s="1"/>
  <c r="C15" i="1"/>
  <c r="E15" i="1"/>
  <c r="B5" i="9" s="1"/>
  <c r="C19" i="1"/>
  <c r="E19" i="1" s="1"/>
  <c r="B9" i="9" s="1"/>
  <c r="C14" i="1"/>
  <c r="E14" i="1" s="1"/>
  <c r="K27" i="1"/>
  <c r="M27" i="1"/>
  <c r="E15" i="9" s="1"/>
  <c r="K25" i="1"/>
  <c r="M25" i="1"/>
  <c r="E13" i="9" s="1"/>
  <c r="K26" i="1"/>
  <c r="M26" i="1"/>
  <c r="E14" i="9" s="1"/>
  <c r="C27" i="1"/>
  <c r="E27" i="1" s="1"/>
  <c r="B15" i="9" s="1"/>
  <c r="C26" i="1"/>
  <c r="E26" i="1" s="1"/>
  <c r="E17" i="9" l="1"/>
  <c r="N25" i="1"/>
  <c r="B4" i="10"/>
  <c r="B10" i="10" s="1"/>
  <c r="H27" i="10" s="1"/>
  <c r="G14" i="7"/>
  <c r="F14" i="7"/>
  <c r="H30" i="11"/>
  <c r="B10" i="9"/>
  <c r="H15" i="9" s="1"/>
  <c r="G14" i="1"/>
  <c r="F14" i="1"/>
  <c r="E21" i="10"/>
  <c r="K21" i="10" s="1"/>
  <c r="N25" i="7"/>
  <c r="B14" i="9"/>
  <c r="F25" i="1"/>
  <c r="G25" i="1"/>
  <c r="B26" i="11"/>
  <c r="H26" i="11" s="1"/>
  <c r="F37" i="8"/>
  <c r="G37" i="8"/>
  <c r="K19" i="10"/>
  <c r="K26" i="10"/>
  <c r="H21" i="11"/>
  <c r="K30" i="11"/>
  <c r="O25" i="7"/>
  <c r="F39" i="7"/>
  <c r="H15" i="10"/>
  <c r="H20" i="10"/>
  <c r="H32" i="10"/>
  <c r="H14" i="11"/>
  <c r="H19" i="11"/>
  <c r="H31" i="11"/>
  <c r="G39" i="7"/>
  <c r="N39" i="1"/>
  <c r="O39" i="7"/>
  <c r="O39" i="1"/>
  <c r="H13" i="10"/>
  <c r="K20" i="10"/>
  <c r="H30" i="10"/>
  <c r="F12" i="8"/>
  <c r="K13" i="10"/>
  <c r="H16" i="10"/>
  <c r="K25" i="10"/>
  <c r="H28" i="10"/>
  <c r="K30" i="10"/>
  <c r="B10" i="11"/>
  <c r="K13" i="11" s="1"/>
  <c r="H15" i="11"/>
  <c r="K17" i="11"/>
  <c r="H20" i="11"/>
  <c r="K24" i="11"/>
  <c r="N23" i="8"/>
  <c r="G39" i="1"/>
  <c r="K14" i="10"/>
  <c r="H24" i="10"/>
  <c r="K31" i="10"/>
  <c r="K17" i="10"/>
  <c r="K24" i="10"/>
  <c r="L24" i="10" s="1"/>
  <c r="K29" i="10"/>
  <c r="K16" i="11"/>
  <c r="K21" i="11"/>
  <c r="K28" i="11"/>
  <c r="N37" i="8"/>
  <c r="O37" i="8"/>
  <c r="K15" i="10"/>
  <c r="H25" i="10"/>
  <c r="K32" i="10"/>
  <c r="H17" i="11"/>
  <c r="H24" i="11"/>
  <c r="K31" i="11"/>
  <c r="O23" i="8"/>
  <c r="F39" i="1"/>
  <c r="F23" i="8"/>
  <c r="H14" i="10"/>
  <c r="K16" i="10"/>
  <c r="H19" i="10"/>
  <c r="H26" i="10"/>
  <c r="H31" i="10"/>
  <c r="K27" i="11"/>
  <c r="H17" i="10"/>
  <c r="H29" i="10"/>
  <c r="G12" i="8"/>
  <c r="H18" i="10"/>
  <c r="K26" i="11"/>
  <c r="N39" i="7"/>
  <c r="O25" i="1"/>
  <c r="F25" i="7"/>
  <c r="K28" i="10"/>
  <c r="G25" i="7"/>
  <c r="G23" i="8"/>
  <c r="K19" i="9" l="1"/>
  <c r="H17" i="9"/>
  <c r="K14" i="9"/>
  <c r="G4" i="10"/>
  <c r="G5" i="10"/>
  <c r="K17" i="9"/>
  <c r="K15" i="9"/>
  <c r="K32" i="9"/>
  <c r="K31" i="9"/>
  <c r="H21" i="9"/>
  <c r="H25" i="9"/>
  <c r="G6" i="10"/>
  <c r="K27" i="9"/>
  <c r="L27" i="9" s="1"/>
  <c r="H29" i="9"/>
  <c r="K28" i="9"/>
  <c r="H18" i="9"/>
  <c r="K26" i="9"/>
  <c r="H16" i="11"/>
  <c r="K32" i="11"/>
  <c r="L30" i="11" s="1"/>
  <c r="H25" i="11"/>
  <c r="G4" i="11" s="1"/>
  <c r="K29" i="9"/>
  <c r="L30" i="10"/>
  <c r="H24" i="9"/>
  <c r="H14" i="9"/>
  <c r="H32" i="9"/>
  <c r="H31" i="9"/>
  <c r="K20" i="11"/>
  <c r="H27" i="9"/>
  <c r="H26" i="9"/>
  <c r="H28" i="9"/>
  <c r="H13" i="9"/>
  <c r="K30" i="9"/>
  <c r="K24" i="9"/>
  <c r="H18" i="11"/>
  <c r="K21" i="9"/>
  <c r="H32" i="11"/>
  <c r="H29" i="11"/>
  <c r="K13" i="9"/>
  <c r="K25" i="9"/>
  <c r="H30" i="9"/>
  <c r="K16" i="9"/>
  <c r="K15" i="11"/>
  <c r="K20" i="9"/>
  <c r="H28" i="11"/>
  <c r="K29" i="11"/>
  <c r="L27" i="11" s="1"/>
  <c r="H21" i="10"/>
  <c r="G3" i="10" s="1"/>
  <c r="K19" i="11"/>
  <c r="H19" i="9"/>
  <c r="K18" i="9"/>
  <c r="H20" i="9"/>
  <c r="H16" i="9"/>
  <c r="K25" i="11"/>
  <c r="H13" i="11"/>
  <c r="K18" i="11"/>
  <c r="H27" i="11"/>
  <c r="K18" i="10"/>
  <c r="K14" i="11"/>
  <c r="G5" i="11" s="1"/>
  <c r="K27" i="10"/>
  <c r="L27" i="10" s="1"/>
  <c r="L24" i="11"/>
  <c r="G6" i="11"/>
  <c r="G3" i="9" l="1"/>
  <c r="G5" i="9"/>
  <c r="G3" i="11"/>
  <c r="G6" i="9"/>
  <c r="L24" i="9"/>
  <c r="G4" i="9"/>
  <c r="L30" i="9"/>
</calcChain>
</file>

<file path=xl/sharedStrings.xml><?xml version="1.0" encoding="utf-8"?>
<sst xmlns="http://schemas.openxmlformats.org/spreadsheetml/2006/main" count="554" uniqueCount="85">
  <si>
    <t>Sample</t>
  </si>
  <si>
    <t>Counter Read</t>
  </si>
  <si>
    <t>Cells/mL</t>
  </si>
  <si>
    <t>mL of cells</t>
  </si>
  <si>
    <t>Total cell number</t>
  </si>
  <si>
    <t>Average total cell #</t>
  </si>
  <si>
    <t>Stdev</t>
  </si>
  <si>
    <t xml:space="preserve"> T=0 #1</t>
  </si>
  <si>
    <t xml:space="preserve"> T=0 #2</t>
  </si>
  <si>
    <r>
      <t xml:space="preserve">MCF7 </t>
    </r>
    <r>
      <rPr>
        <b/>
        <u/>
        <sz val="16"/>
        <color indexed="30"/>
        <rFont val="Calibri"/>
        <family val="2"/>
      </rPr>
      <t xml:space="preserve">200nM ICI </t>
    </r>
    <r>
      <rPr>
        <b/>
        <u/>
        <sz val="16"/>
        <color indexed="10"/>
        <rFont val="Calibri"/>
        <family val="2"/>
      </rPr>
      <t>+ 300nM Palbo</t>
    </r>
    <r>
      <rPr>
        <b/>
        <u/>
        <sz val="16"/>
        <color indexed="36"/>
        <rFont val="Calibri"/>
        <family val="2"/>
      </rPr>
      <t xml:space="preserve"> Combination at 7 and 17days</t>
    </r>
    <r>
      <rPr>
        <u/>
        <sz val="16"/>
        <color indexed="36"/>
        <rFont val="Calibri"/>
        <family val="2"/>
      </rPr>
      <t xml:space="preserve"> (Rep#1)</t>
    </r>
  </si>
  <si>
    <r>
      <rPr>
        <b/>
        <sz val="11"/>
        <color indexed="8"/>
        <rFont val="Calibri"/>
        <family val="2"/>
      </rPr>
      <t xml:space="preserve">Friday 3/25/22: </t>
    </r>
    <r>
      <rPr>
        <sz val="11"/>
        <color theme="1"/>
        <rFont val="Calibri"/>
        <family val="2"/>
        <scheme val="minor"/>
      </rPr>
      <t xml:space="preserve">Count (2) plates for T=0. Dosed </t>
    </r>
    <r>
      <rPr>
        <b/>
        <sz val="11"/>
        <color indexed="10"/>
        <rFont val="Calibri"/>
        <family val="2"/>
      </rPr>
      <t>(6) plates with Control (750nM Palbo)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indexed="36"/>
        <rFont val="Calibri"/>
        <family val="2"/>
      </rPr>
      <t>(6) plates with Combination</t>
    </r>
    <r>
      <rPr>
        <sz val="11"/>
        <color indexed="36"/>
        <rFont val="Calibri"/>
        <family val="2"/>
      </rPr>
      <t xml:space="preserve"> </t>
    </r>
    <r>
      <rPr>
        <b/>
        <sz val="11"/>
        <color indexed="36"/>
        <rFont val="Calibri"/>
        <family val="2"/>
      </rPr>
      <t>(</t>
    </r>
    <r>
      <rPr>
        <b/>
        <sz val="11"/>
        <color indexed="30"/>
        <rFont val="Calibri"/>
        <family val="2"/>
      </rPr>
      <t xml:space="preserve">200nM ICI </t>
    </r>
    <r>
      <rPr>
        <b/>
        <sz val="11"/>
        <color indexed="10"/>
        <rFont val="Calibri"/>
        <family val="2"/>
      </rPr>
      <t>+ 300</t>
    </r>
    <r>
      <rPr>
        <b/>
        <sz val="11"/>
        <color indexed="10"/>
        <rFont val="Calibri"/>
        <family val="2"/>
      </rPr>
      <t>nM Palbo</t>
    </r>
    <r>
      <rPr>
        <b/>
        <sz val="11"/>
        <color indexed="36"/>
        <rFont val="Calibri"/>
        <family val="2"/>
      </rPr>
      <t>)</t>
    </r>
  </si>
  <si>
    <t>Re-dose plates every Tuesday and Friday, end/count 3 plates from each set at 7 days and at 17 days</t>
  </si>
  <si>
    <r>
      <rPr>
        <b/>
        <sz val="11"/>
        <color indexed="8"/>
        <rFont val="Calibri"/>
        <family val="2"/>
      </rPr>
      <t>No</t>
    </r>
    <r>
      <rPr>
        <b/>
        <sz val="11"/>
        <color indexed="8"/>
        <rFont val="Calibri"/>
        <family val="2"/>
      </rPr>
      <t xml:space="preserve">tes- </t>
    </r>
    <r>
      <rPr>
        <b/>
        <sz val="11"/>
        <color indexed="8"/>
        <rFont val="Calibri"/>
        <family val="2"/>
      </rPr>
      <t>Friday 4/1/22:</t>
    </r>
    <r>
      <rPr>
        <sz val="11"/>
        <color theme="1"/>
        <rFont val="Calibri"/>
        <family val="2"/>
        <scheme val="minor"/>
      </rPr>
      <t xml:space="preserve"> After 7 days,</t>
    </r>
    <r>
      <rPr>
        <sz val="11"/>
        <color indexed="30"/>
        <rFont val="Calibri"/>
        <family val="2"/>
      </rPr>
      <t xml:space="preserve"> </t>
    </r>
    <r>
      <rPr>
        <sz val="11"/>
        <rFont val="Calibri"/>
        <family val="2"/>
      </rPr>
      <t>cells in both sets of plates look similar</t>
    </r>
    <r>
      <rPr>
        <sz val="11"/>
        <color theme="1"/>
        <rFont val="Calibri"/>
        <family val="2"/>
        <scheme val="minor"/>
      </rPr>
      <t>,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set slightly more cells.</t>
    </r>
  </si>
  <si>
    <t>Day 7 Control Palbo #1</t>
  </si>
  <si>
    <t>Day 7 Control Palbo #2</t>
  </si>
  <si>
    <t>Day 7 Control Palbo #3</t>
  </si>
  <si>
    <t>Day 7 Combo #1</t>
  </si>
  <si>
    <t>Day 7 Combo #2</t>
  </si>
  <si>
    <t>Day 7 Combo #3</t>
  </si>
  <si>
    <t>Day 17 Combo #1</t>
  </si>
  <si>
    <t>Day 17 Combo #2</t>
  </si>
  <si>
    <t>Day 17 Combo #3</t>
  </si>
  <si>
    <t>Day 17 Control Palbo #1</t>
  </si>
  <si>
    <t>Day 17 Control Palbo #2</t>
  </si>
  <si>
    <t>Day 17 Control Palbo #3</t>
  </si>
  <si>
    <t>Control Palbo (750nM): Day 7</t>
  </si>
  <si>
    <r>
      <rPr>
        <b/>
        <sz val="12"/>
        <color indexed="36"/>
        <rFont val="Calibri"/>
        <family val="2"/>
      </rPr>
      <t>Combination (</t>
    </r>
    <r>
      <rPr>
        <b/>
        <sz val="12"/>
        <color indexed="30"/>
        <rFont val="Calibri"/>
        <family val="2"/>
      </rPr>
      <t>200nM ICI</t>
    </r>
    <r>
      <rPr>
        <b/>
        <sz val="12"/>
        <color indexed="36"/>
        <rFont val="Calibri"/>
        <family val="2"/>
      </rPr>
      <t xml:space="preserve"> + </t>
    </r>
    <r>
      <rPr>
        <b/>
        <sz val="12"/>
        <color indexed="10"/>
        <rFont val="Calibri"/>
        <family val="2"/>
      </rPr>
      <t>300nM Palbo</t>
    </r>
    <r>
      <rPr>
        <b/>
        <sz val="12"/>
        <color indexed="36"/>
        <rFont val="Calibri"/>
        <family val="2"/>
      </rPr>
      <t>): Day 7</t>
    </r>
  </si>
  <si>
    <r>
      <rPr>
        <b/>
        <sz val="12"/>
        <color indexed="36"/>
        <rFont val="Calibri"/>
        <family val="2"/>
      </rPr>
      <t>Combination (</t>
    </r>
    <r>
      <rPr>
        <b/>
        <sz val="12"/>
        <color indexed="30"/>
        <rFont val="Calibri"/>
        <family val="2"/>
      </rPr>
      <t>200nM ICI</t>
    </r>
    <r>
      <rPr>
        <b/>
        <sz val="12"/>
        <color indexed="36"/>
        <rFont val="Calibri"/>
        <family val="2"/>
      </rPr>
      <t xml:space="preserve"> + </t>
    </r>
    <r>
      <rPr>
        <b/>
        <sz val="12"/>
        <color indexed="10"/>
        <rFont val="Calibri"/>
        <family val="2"/>
      </rPr>
      <t>300nM Palbo</t>
    </r>
    <r>
      <rPr>
        <b/>
        <sz val="12"/>
        <color indexed="36"/>
        <rFont val="Calibri"/>
        <family val="2"/>
      </rPr>
      <t>): Day 17</t>
    </r>
  </si>
  <si>
    <t>Control Palbo (750nM): Day 17</t>
  </si>
  <si>
    <r>
      <rPr>
        <b/>
        <sz val="11"/>
        <color indexed="8"/>
        <rFont val="Calibri"/>
        <family val="2"/>
      </rPr>
      <t xml:space="preserve">Notes- Monday 4/4/22: </t>
    </r>
    <r>
      <rPr>
        <sz val="11"/>
        <color theme="1"/>
        <rFont val="Calibri"/>
        <family val="2"/>
        <scheme val="minor"/>
      </rPr>
      <t xml:space="preserve">After 10 days, </t>
    </r>
    <r>
      <rPr>
        <sz val="11"/>
        <color indexed="36"/>
        <rFont val="Calibri"/>
        <family val="2"/>
      </rPr>
      <t>cells in C</t>
    </r>
    <r>
      <rPr>
        <b/>
        <sz val="11"/>
        <color indexed="36"/>
        <rFont val="Calibri"/>
        <family val="2"/>
      </rPr>
      <t>ombo</t>
    </r>
    <r>
      <rPr>
        <sz val="11"/>
        <color indexed="36"/>
        <rFont val="Calibri"/>
        <family val="2"/>
      </rPr>
      <t xml:space="preserve"> plates now look smaller and more sparce, less cells since Friday.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plates noticably have more cells</t>
    </r>
  </si>
  <si>
    <r>
      <t xml:space="preserve">MCF7 </t>
    </r>
    <r>
      <rPr>
        <b/>
        <u/>
        <sz val="16"/>
        <color indexed="30"/>
        <rFont val="Calibri"/>
        <family val="2"/>
      </rPr>
      <t xml:space="preserve">200nM ICI </t>
    </r>
    <r>
      <rPr>
        <b/>
        <u/>
        <sz val="16"/>
        <color indexed="10"/>
        <rFont val="Calibri"/>
        <family val="2"/>
      </rPr>
      <t>+ 300nM Palbo</t>
    </r>
    <r>
      <rPr>
        <b/>
        <u/>
        <sz val="16"/>
        <color indexed="36"/>
        <rFont val="Calibri"/>
        <family val="2"/>
      </rPr>
      <t xml:space="preserve"> Combination at 7 and 17days</t>
    </r>
    <r>
      <rPr>
        <u/>
        <sz val="16"/>
        <color indexed="36"/>
        <rFont val="Calibri"/>
        <family val="2"/>
      </rPr>
      <t xml:space="preserve"> (Rep#2)</t>
    </r>
  </si>
  <si>
    <t>T=0 (3/25/22) Rep#1</t>
  </si>
  <si>
    <t>Day 7 (4/1/22) Rep#1</t>
  </si>
  <si>
    <t>Day 17 (4/11/22) Rep#1</t>
  </si>
  <si>
    <t>T=0 (4/8/22) Rep#2</t>
  </si>
  <si>
    <t>Day 6* (4/14/22) Rep#2 (*One day early)</t>
  </si>
  <si>
    <r>
      <rPr>
        <b/>
        <sz val="11"/>
        <color indexed="8"/>
        <rFont val="Calibri"/>
        <family val="2"/>
      </rPr>
      <t>Thursday 3/24/22:</t>
    </r>
    <r>
      <rPr>
        <sz val="11"/>
        <color theme="1"/>
        <rFont val="Calibri"/>
        <family val="2"/>
        <scheme val="minor"/>
      </rPr>
      <t xml:space="preserve"> Plated ~200k cells on (14)</t>
    </r>
    <r>
      <rPr>
        <b/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>60mm dishes</t>
    </r>
    <r>
      <rPr>
        <b/>
        <sz val="11"/>
        <color indexed="8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of MCF7 p82+12+15+22+2+6. (MCF7s thawed recently and still growing slow, flask plating from was sparce, had to plate a little less than 200k)</t>
    </r>
  </si>
  <si>
    <r>
      <rPr>
        <b/>
        <sz val="11"/>
        <color indexed="8"/>
        <rFont val="Calibri"/>
        <family val="2"/>
      </rPr>
      <t>Thursday 4/7/22:</t>
    </r>
    <r>
      <rPr>
        <sz val="11"/>
        <color theme="1"/>
        <rFont val="Calibri"/>
        <family val="2"/>
        <scheme val="minor"/>
      </rPr>
      <t xml:space="preserve"> Plated 200k cells on (14)</t>
    </r>
    <r>
      <rPr>
        <b/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>60mm dishes</t>
    </r>
    <r>
      <rPr>
        <b/>
        <sz val="11"/>
        <color indexed="8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of MCF7 p82+12+15+22+2+9. (MCF7s growing well again)</t>
    </r>
  </si>
  <si>
    <r>
      <rPr>
        <b/>
        <sz val="11"/>
        <color indexed="8"/>
        <rFont val="Calibri"/>
        <family val="2"/>
      </rPr>
      <t xml:space="preserve">Friday 4/8/22: </t>
    </r>
    <r>
      <rPr>
        <sz val="11"/>
        <color theme="1"/>
        <rFont val="Calibri"/>
        <family val="2"/>
        <scheme val="minor"/>
      </rPr>
      <t xml:space="preserve">Count (2) plates for T=0. Dosed </t>
    </r>
    <r>
      <rPr>
        <b/>
        <sz val="11"/>
        <color indexed="10"/>
        <rFont val="Calibri"/>
        <family val="2"/>
      </rPr>
      <t>(6) plates with Control (750nM Palbo)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indexed="36"/>
        <rFont val="Calibri"/>
        <family val="2"/>
      </rPr>
      <t>(6) plates with Combination</t>
    </r>
    <r>
      <rPr>
        <sz val="11"/>
        <color indexed="36"/>
        <rFont val="Calibri"/>
        <family val="2"/>
      </rPr>
      <t xml:space="preserve"> </t>
    </r>
    <r>
      <rPr>
        <b/>
        <sz val="11"/>
        <color indexed="36"/>
        <rFont val="Calibri"/>
        <family val="2"/>
      </rPr>
      <t>(</t>
    </r>
    <r>
      <rPr>
        <b/>
        <sz val="11"/>
        <color indexed="30"/>
        <rFont val="Calibri"/>
        <family val="2"/>
      </rPr>
      <t xml:space="preserve">200nM ICI </t>
    </r>
    <r>
      <rPr>
        <b/>
        <sz val="11"/>
        <color indexed="10"/>
        <rFont val="Calibri"/>
        <family val="2"/>
      </rPr>
      <t>+ 300</t>
    </r>
    <r>
      <rPr>
        <b/>
        <sz val="11"/>
        <color indexed="10"/>
        <rFont val="Calibri"/>
        <family val="2"/>
      </rPr>
      <t>nM Palbo</t>
    </r>
    <r>
      <rPr>
        <b/>
        <sz val="11"/>
        <color indexed="36"/>
        <rFont val="Calibri"/>
        <family val="2"/>
      </rPr>
      <t>)</t>
    </r>
  </si>
  <si>
    <t>Re-dose plates every Tuesday and Friday, end/count 3 plates from each set at 6* days and at 17 days. *Day 7 holiday, had to count one day early on Day 6 instead</t>
  </si>
  <si>
    <t>Day 6 Control Palbo #1</t>
  </si>
  <si>
    <t>Day 6 Control Palbo #2</t>
  </si>
  <si>
    <t>Day 6 Control Palbo #3</t>
  </si>
  <si>
    <t>Day 6 Combo #1</t>
  </si>
  <si>
    <t>Day 6 Combo #2</t>
  </si>
  <si>
    <t>Day 6 Combo #3</t>
  </si>
  <si>
    <t>T=0 (4/12/22) Rep#3</t>
  </si>
  <si>
    <t>Day 7 (4/19/22) Rep#3</t>
  </si>
  <si>
    <t>Day 17 (4/25/22) Rep#2</t>
  </si>
  <si>
    <r>
      <t xml:space="preserve">Notes- Monday 4/11/22: </t>
    </r>
    <r>
      <rPr>
        <sz val="11"/>
        <color theme="1"/>
        <rFont val="Calibri"/>
        <family val="2"/>
        <scheme val="minor"/>
      </rPr>
      <t xml:space="preserve">After 17 days, </t>
    </r>
    <r>
      <rPr>
        <b/>
        <sz val="11"/>
        <color indexed="10"/>
        <rFont val="Calibri"/>
        <family val="2"/>
      </rPr>
      <t xml:space="preserve">Control Palbo </t>
    </r>
    <r>
      <rPr>
        <sz val="11"/>
        <color indexed="10"/>
        <rFont val="Calibri"/>
        <family val="2"/>
      </rPr>
      <t xml:space="preserve">more cells, </t>
    </r>
    <r>
      <rPr>
        <b/>
        <sz val="11"/>
        <color indexed="36"/>
        <rFont val="Calibri"/>
        <family val="2"/>
      </rPr>
      <t>Combo</t>
    </r>
    <r>
      <rPr>
        <sz val="11"/>
        <color indexed="36"/>
        <rFont val="Calibri"/>
        <family val="2"/>
      </rPr>
      <t xml:space="preserve"> plates look similar to day 14 with more floaters </t>
    </r>
  </si>
  <si>
    <r>
      <rPr>
        <b/>
        <sz val="11"/>
        <color indexed="8"/>
        <rFont val="Calibri"/>
        <family val="2"/>
      </rPr>
      <t>No</t>
    </r>
    <r>
      <rPr>
        <b/>
        <sz val="11"/>
        <color indexed="8"/>
        <rFont val="Calibri"/>
        <family val="2"/>
      </rPr>
      <t>tes- Thursday</t>
    </r>
    <r>
      <rPr>
        <b/>
        <sz val="11"/>
        <color indexed="8"/>
        <rFont val="Calibri"/>
        <family val="2"/>
      </rPr>
      <t xml:space="preserve"> 4/14/22:</t>
    </r>
    <r>
      <rPr>
        <sz val="11"/>
        <color theme="1"/>
        <rFont val="Calibri"/>
        <family val="2"/>
        <scheme val="minor"/>
      </rPr>
      <t xml:space="preserve"> After 6 days,</t>
    </r>
    <r>
      <rPr>
        <sz val="11"/>
        <color indexed="3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set slightly more cells, ~40%, cells larger and more rounded than</t>
    </r>
    <r>
      <rPr>
        <sz val="11"/>
        <color indexed="36"/>
        <rFont val="Calibri"/>
        <family val="2"/>
      </rPr>
      <t xml:space="preserve"> </t>
    </r>
    <r>
      <rPr>
        <b/>
        <sz val="11"/>
        <color indexed="36"/>
        <rFont val="Calibri"/>
        <family val="2"/>
      </rPr>
      <t>Combo plates, Combo</t>
    </r>
    <r>
      <rPr>
        <sz val="11"/>
        <color indexed="36"/>
        <rFont val="Calibri"/>
        <family val="2"/>
      </rPr>
      <t xml:space="preserve"> ~35%, only some rounded, more singular cells</t>
    </r>
  </si>
  <si>
    <r>
      <rPr>
        <b/>
        <sz val="11"/>
        <color indexed="8"/>
        <rFont val="Calibri"/>
        <family val="2"/>
      </rPr>
      <t xml:space="preserve">Notes- Monday 4/18/22: </t>
    </r>
    <r>
      <rPr>
        <sz val="11"/>
        <color theme="1"/>
        <rFont val="Calibri"/>
        <family val="2"/>
        <scheme val="minor"/>
      </rPr>
      <t xml:space="preserve">After 10 days, </t>
    </r>
    <r>
      <rPr>
        <sz val="11"/>
        <color indexed="36"/>
        <rFont val="Calibri"/>
        <family val="2"/>
      </rPr>
      <t xml:space="preserve">cells in </t>
    </r>
    <r>
      <rPr>
        <b/>
        <sz val="11"/>
        <color indexed="20"/>
        <rFont val="Calibri"/>
        <family val="2"/>
      </rPr>
      <t>C</t>
    </r>
    <r>
      <rPr>
        <b/>
        <sz val="11"/>
        <color indexed="36"/>
        <rFont val="Calibri"/>
        <family val="2"/>
      </rPr>
      <t>ombo</t>
    </r>
    <r>
      <rPr>
        <sz val="11"/>
        <color indexed="36"/>
        <rFont val="Calibri"/>
        <family val="2"/>
      </rPr>
      <t xml:space="preserve"> look similar, more floaters.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plates noticably have more cells, bigger colonies all rounded ~50%</t>
    </r>
  </si>
  <si>
    <r>
      <rPr>
        <b/>
        <sz val="11"/>
        <color indexed="8"/>
        <rFont val="Calibri"/>
        <family val="2"/>
      </rPr>
      <t>No</t>
    </r>
    <r>
      <rPr>
        <b/>
        <sz val="11"/>
        <color indexed="8"/>
        <rFont val="Calibri"/>
        <family val="2"/>
      </rPr>
      <t>tes-Frida</t>
    </r>
    <r>
      <rPr>
        <b/>
        <sz val="11"/>
        <color indexed="8"/>
        <rFont val="Calibri"/>
        <family val="2"/>
      </rPr>
      <t>y 4/22/22:</t>
    </r>
    <r>
      <rPr>
        <sz val="11"/>
        <color theme="1"/>
        <rFont val="Calibri"/>
        <family val="2"/>
        <scheme val="minor"/>
      </rPr>
      <t xml:space="preserve"> After 14 days,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Palbo</t>
    </r>
    <r>
      <rPr>
        <sz val="11"/>
        <color indexed="10"/>
        <rFont val="Calibri"/>
        <family val="2"/>
      </rPr>
      <t xml:space="preserve"> plates ~60% </t>
    </r>
    <r>
      <rPr>
        <b/>
        <sz val="11"/>
        <color indexed="10"/>
        <rFont val="Calibri"/>
        <family val="2"/>
      </rPr>
      <t>~2x</t>
    </r>
    <r>
      <rPr>
        <sz val="11"/>
        <color indexed="10"/>
        <rFont val="Calibri"/>
        <family val="2"/>
      </rPr>
      <t xml:space="preserve"> as many cells as</t>
    </r>
    <r>
      <rPr>
        <b/>
        <sz val="11"/>
        <color indexed="36"/>
        <rFont val="Calibri"/>
        <family val="2"/>
      </rPr>
      <t xml:space="preserve"> Combo</t>
    </r>
    <r>
      <rPr>
        <sz val="11"/>
        <color indexed="36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plates.</t>
    </r>
    <r>
      <rPr>
        <sz val="11"/>
        <color indexed="36"/>
        <rFont val="Calibri"/>
        <family val="2"/>
      </rPr>
      <t xml:space="preserve"> </t>
    </r>
    <r>
      <rPr>
        <b/>
        <sz val="11"/>
        <color indexed="36"/>
        <rFont val="Calibri"/>
        <family val="2"/>
      </rPr>
      <t xml:space="preserve">Combo ~30% </t>
    </r>
    <r>
      <rPr>
        <sz val="11"/>
        <color indexed="20"/>
        <rFont val="Calibri"/>
        <family val="2"/>
      </rPr>
      <t>forming</t>
    </r>
    <r>
      <rPr>
        <sz val="11"/>
        <color indexed="36"/>
        <rFont val="Calibri"/>
        <family val="2"/>
      </rPr>
      <t xml:space="preserve"> small colonies with small singular cells mixed in, lots of floaters, heterogenous.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more confluent with larger cells/colonies, most cells rounded grapelike, a few colonies flat/spread out</t>
    </r>
    <r>
      <rPr>
        <sz val="11"/>
        <color theme="1"/>
        <rFont val="Calibri"/>
        <family val="2"/>
        <scheme val="minor"/>
      </rPr>
      <t xml:space="preserve">. </t>
    </r>
  </si>
  <si>
    <r>
      <t xml:space="preserve">Notes- Monday 4/25/22: </t>
    </r>
    <r>
      <rPr>
        <sz val="11"/>
        <color theme="1"/>
        <rFont val="Calibri"/>
        <family val="2"/>
        <scheme val="minor"/>
      </rPr>
      <t xml:space="preserve">After 17 days, </t>
    </r>
    <r>
      <rPr>
        <b/>
        <sz val="11"/>
        <color indexed="10"/>
        <rFont val="Calibri"/>
        <family val="2"/>
      </rPr>
      <t xml:space="preserve">Control Palbo </t>
    </r>
    <r>
      <rPr>
        <sz val="11"/>
        <color indexed="10"/>
        <rFont val="Calibri"/>
        <family val="2"/>
      </rPr>
      <t xml:space="preserve">more cells ~70%  </t>
    </r>
    <r>
      <rPr>
        <b/>
        <sz val="11"/>
        <color indexed="36"/>
        <rFont val="Calibri"/>
        <family val="2"/>
      </rPr>
      <t>Combo</t>
    </r>
    <r>
      <rPr>
        <sz val="11"/>
        <color indexed="36"/>
        <rFont val="Calibri"/>
        <family val="2"/>
      </rPr>
      <t xml:space="preserve"> plates less cells, more floaters and debris</t>
    </r>
  </si>
  <si>
    <t>Day 20* (5/2/22) Rep#3</t>
  </si>
  <si>
    <t>Control Palbo (750nM): Day 20</t>
  </si>
  <si>
    <r>
      <rPr>
        <b/>
        <sz val="12"/>
        <color indexed="36"/>
        <rFont val="Calibri"/>
        <family val="2"/>
      </rPr>
      <t>Combination (</t>
    </r>
    <r>
      <rPr>
        <b/>
        <sz val="12"/>
        <color indexed="30"/>
        <rFont val="Calibri"/>
        <family val="2"/>
      </rPr>
      <t>200nM ICI</t>
    </r>
    <r>
      <rPr>
        <b/>
        <sz val="12"/>
        <color indexed="36"/>
        <rFont val="Calibri"/>
        <family val="2"/>
      </rPr>
      <t xml:space="preserve"> + </t>
    </r>
    <r>
      <rPr>
        <b/>
        <sz val="12"/>
        <color indexed="10"/>
        <rFont val="Calibri"/>
        <family val="2"/>
      </rPr>
      <t>300nM Palbo</t>
    </r>
    <r>
      <rPr>
        <b/>
        <sz val="12"/>
        <color indexed="36"/>
        <rFont val="Calibri"/>
        <family val="2"/>
      </rPr>
      <t>): Day 20</t>
    </r>
  </si>
  <si>
    <t>Day 20 Control Palbo #1</t>
  </si>
  <si>
    <t>Day 20 Control Palbo #2</t>
  </si>
  <si>
    <t>Day 20 Control Palbo #3</t>
  </si>
  <si>
    <t>Day 20 Combo #1</t>
  </si>
  <si>
    <t>Day 20 Combo #2</t>
  </si>
  <si>
    <t>Day 20 Combo #3</t>
  </si>
  <si>
    <r>
      <rPr>
        <b/>
        <sz val="11"/>
        <color indexed="8"/>
        <rFont val="Calibri"/>
        <family val="2"/>
      </rPr>
      <t xml:space="preserve">Tueaday 4/12/22: </t>
    </r>
    <r>
      <rPr>
        <sz val="11"/>
        <color theme="1"/>
        <rFont val="Calibri"/>
        <family val="2"/>
        <scheme val="minor"/>
      </rPr>
      <t xml:space="preserve">Count (2) plates for T=0. More cells this time than Rep1 and 2. Dosed </t>
    </r>
    <r>
      <rPr>
        <b/>
        <sz val="11"/>
        <color indexed="10"/>
        <rFont val="Calibri"/>
        <family val="2"/>
      </rPr>
      <t>(6) plates with Control (750nM Palbo)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indexed="36"/>
        <rFont val="Calibri"/>
        <family val="2"/>
      </rPr>
      <t>(6) plates with Combination</t>
    </r>
    <r>
      <rPr>
        <sz val="11"/>
        <color indexed="36"/>
        <rFont val="Calibri"/>
        <family val="2"/>
      </rPr>
      <t xml:space="preserve"> </t>
    </r>
    <r>
      <rPr>
        <b/>
        <sz val="11"/>
        <color indexed="36"/>
        <rFont val="Calibri"/>
        <family val="2"/>
      </rPr>
      <t>(</t>
    </r>
    <r>
      <rPr>
        <b/>
        <sz val="11"/>
        <color indexed="30"/>
        <rFont val="Calibri"/>
        <family val="2"/>
      </rPr>
      <t xml:space="preserve">200nM ICI </t>
    </r>
    <r>
      <rPr>
        <b/>
        <sz val="11"/>
        <color indexed="10"/>
        <rFont val="Calibri"/>
        <family val="2"/>
      </rPr>
      <t>+ 300</t>
    </r>
    <r>
      <rPr>
        <b/>
        <sz val="11"/>
        <color indexed="10"/>
        <rFont val="Calibri"/>
        <family val="2"/>
      </rPr>
      <t>nM Palbo</t>
    </r>
    <r>
      <rPr>
        <b/>
        <sz val="11"/>
        <color indexed="36"/>
        <rFont val="Calibri"/>
        <family val="2"/>
      </rPr>
      <t>)</t>
    </r>
  </si>
  <si>
    <r>
      <rPr>
        <b/>
        <sz val="11"/>
        <color indexed="8"/>
        <rFont val="Calibri"/>
        <family val="2"/>
      </rPr>
      <t>Monday 4/11/22:</t>
    </r>
    <r>
      <rPr>
        <sz val="11"/>
        <color theme="1"/>
        <rFont val="Calibri"/>
        <family val="2"/>
        <scheme val="minor"/>
      </rPr>
      <t xml:space="preserve"> Plated 200k cells on (14)</t>
    </r>
    <r>
      <rPr>
        <b/>
        <sz val="11"/>
        <color indexed="8"/>
        <rFont val="Calibri"/>
        <family val="2"/>
      </rPr>
      <t xml:space="preserve"> </t>
    </r>
    <r>
      <rPr>
        <sz val="11"/>
        <color indexed="8"/>
        <rFont val="Calibri"/>
        <family val="2"/>
      </rPr>
      <t>60mm dishes</t>
    </r>
    <r>
      <rPr>
        <b/>
        <sz val="11"/>
        <color indexed="8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of MCF7 p82+12+15+22+2+10. (MCF7s growing well again)</t>
    </r>
  </si>
  <si>
    <t>Re-dose plates every Tuesday and Friday, end/count 3 plates from each set at 7 days and at 20* days. *Day 17 was sick, had to count on Day 20 instead*</t>
  </si>
  <si>
    <r>
      <rPr>
        <b/>
        <sz val="11"/>
        <color indexed="8"/>
        <rFont val="Calibri"/>
        <family val="2"/>
      </rPr>
      <t>No</t>
    </r>
    <r>
      <rPr>
        <b/>
        <sz val="11"/>
        <color indexed="8"/>
        <rFont val="Calibri"/>
        <family val="2"/>
      </rPr>
      <t>tes- Tuesday</t>
    </r>
    <r>
      <rPr>
        <b/>
        <sz val="11"/>
        <color indexed="8"/>
        <rFont val="Calibri"/>
        <family val="2"/>
      </rPr>
      <t xml:space="preserve"> 4/19/22:</t>
    </r>
    <r>
      <rPr>
        <sz val="11"/>
        <color theme="1"/>
        <rFont val="Calibri"/>
        <family val="2"/>
        <scheme val="minor"/>
      </rPr>
      <t xml:space="preserve"> After 7 days,</t>
    </r>
    <r>
      <rPr>
        <sz val="11"/>
        <color indexed="3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~45-50% confluent, rounded cells. </t>
    </r>
    <r>
      <rPr>
        <b/>
        <sz val="11"/>
        <color indexed="36"/>
        <rFont val="Calibri"/>
        <family val="2"/>
      </rPr>
      <t xml:space="preserve">Combo plates </t>
    </r>
    <r>
      <rPr>
        <sz val="11"/>
        <color indexed="36"/>
        <rFont val="Calibri"/>
        <family val="2"/>
      </rPr>
      <t>~35%, small more singular celled, only a few rounded</t>
    </r>
  </si>
  <si>
    <r>
      <rPr>
        <b/>
        <sz val="11"/>
        <color indexed="8"/>
        <rFont val="Calibri"/>
        <family val="2"/>
      </rPr>
      <t xml:space="preserve">Notes- Friday 4/22/22: </t>
    </r>
    <r>
      <rPr>
        <sz val="11"/>
        <color theme="1"/>
        <rFont val="Calibri"/>
        <family val="2"/>
        <scheme val="minor"/>
      </rPr>
      <t>After 10 days,</t>
    </r>
    <r>
      <rPr>
        <b/>
        <sz val="11"/>
        <color indexed="8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~60%. </t>
    </r>
    <r>
      <rPr>
        <sz val="11"/>
        <color indexed="36"/>
        <rFont val="Calibri"/>
        <family val="2"/>
      </rPr>
      <t>C</t>
    </r>
    <r>
      <rPr>
        <b/>
        <sz val="11"/>
        <color indexed="36"/>
        <rFont val="Calibri"/>
        <family val="2"/>
      </rPr>
      <t>ombo</t>
    </r>
    <r>
      <rPr>
        <sz val="11"/>
        <color indexed="36"/>
        <rFont val="Calibri"/>
        <family val="2"/>
      </rPr>
      <t xml:space="preserve"> plates lots of floaters ~30%, heterogenous forming small colonies with small singular cells mixed in</t>
    </r>
  </si>
  <si>
    <r>
      <rPr>
        <b/>
        <sz val="11"/>
        <color indexed="8"/>
        <rFont val="Calibri"/>
        <family val="2"/>
      </rPr>
      <t>No</t>
    </r>
    <r>
      <rPr>
        <b/>
        <sz val="11"/>
        <color indexed="8"/>
        <rFont val="Calibri"/>
        <family val="2"/>
      </rPr>
      <t>tes-Frida</t>
    </r>
    <r>
      <rPr>
        <b/>
        <sz val="11"/>
        <color indexed="8"/>
        <rFont val="Calibri"/>
        <family val="2"/>
      </rPr>
      <t>y 4/8/22:</t>
    </r>
    <r>
      <rPr>
        <sz val="11"/>
        <color theme="1"/>
        <rFont val="Calibri"/>
        <family val="2"/>
        <scheme val="minor"/>
      </rPr>
      <t xml:space="preserve"> After 14 days,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Control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Palbo</t>
    </r>
    <r>
      <rPr>
        <sz val="11"/>
        <color indexed="10"/>
        <rFont val="Calibri"/>
        <family val="2"/>
      </rPr>
      <t xml:space="preserve"> plates </t>
    </r>
    <r>
      <rPr>
        <b/>
        <sz val="11"/>
        <color indexed="10"/>
        <rFont val="Calibri"/>
        <family val="2"/>
      </rPr>
      <t>~2x</t>
    </r>
    <r>
      <rPr>
        <sz val="11"/>
        <color indexed="10"/>
        <rFont val="Calibri"/>
        <family val="2"/>
      </rPr>
      <t xml:space="preserve"> as many cells as</t>
    </r>
    <r>
      <rPr>
        <b/>
        <sz val="11"/>
        <color indexed="36"/>
        <rFont val="Calibri"/>
        <family val="2"/>
      </rPr>
      <t xml:space="preserve"> Combo</t>
    </r>
    <r>
      <rPr>
        <sz val="11"/>
        <color indexed="36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plates.</t>
    </r>
    <r>
      <rPr>
        <sz val="11"/>
        <color indexed="36"/>
        <rFont val="Calibri"/>
        <family val="2"/>
      </rPr>
      <t xml:space="preserve"> </t>
    </r>
    <r>
      <rPr>
        <b/>
        <sz val="11"/>
        <color indexed="36"/>
        <rFont val="Calibri"/>
        <family val="2"/>
      </rPr>
      <t xml:space="preserve">Combo </t>
    </r>
    <r>
      <rPr>
        <sz val="11"/>
        <color indexed="20"/>
        <rFont val="Calibri"/>
        <family val="2"/>
      </rPr>
      <t>plates sparce, s</t>
    </r>
    <r>
      <rPr>
        <sz val="11"/>
        <color indexed="36"/>
        <rFont val="Calibri"/>
        <family val="2"/>
      </rPr>
      <t xml:space="preserve">maller singular cells, some small colonies. </t>
    </r>
    <r>
      <rPr>
        <b/>
        <sz val="11"/>
        <color indexed="10"/>
        <rFont val="Calibri"/>
        <family val="2"/>
      </rPr>
      <t>Control Palbo</t>
    </r>
    <r>
      <rPr>
        <sz val="11"/>
        <color indexed="10"/>
        <rFont val="Calibri"/>
        <family val="2"/>
      </rPr>
      <t xml:space="preserve"> more confluent with larger cells/colonies, most cells rounded grapelike, a few still flat/spread out</t>
    </r>
    <r>
      <rPr>
        <sz val="11"/>
        <color theme="1"/>
        <rFont val="Calibri"/>
        <family val="2"/>
        <scheme val="minor"/>
      </rPr>
      <t xml:space="preserve">. </t>
    </r>
  </si>
  <si>
    <r>
      <t xml:space="preserve">Notes- Monday 5/2/22: </t>
    </r>
    <r>
      <rPr>
        <sz val="11"/>
        <color theme="1"/>
        <rFont val="Calibri"/>
        <family val="2"/>
        <scheme val="minor"/>
      </rPr>
      <t xml:space="preserve">After 20 days, </t>
    </r>
    <r>
      <rPr>
        <b/>
        <sz val="11"/>
        <color indexed="10"/>
        <rFont val="Calibri"/>
        <family val="2"/>
      </rPr>
      <t xml:space="preserve">Control Palbo </t>
    </r>
    <r>
      <rPr>
        <sz val="11"/>
        <color indexed="10"/>
        <rFont val="Calibri"/>
        <family val="2"/>
      </rPr>
      <t xml:space="preserve">lots of cells, see some flattened cells/colonies mixed in with the rounded cells. </t>
    </r>
    <r>
      <rPr>
        <b/>
        <sz val="11"/>
        <color indexed="36"/>
        <rFont val="Calibri"/>
        <family val="2"/>
      </rPr>
      <t>Combo</t>
    </r>
    <r>
      <rPr>
        <sz val="11"/>
        <color indexed="36"/>
        <rFont val="Calibri"/>
        <family val="2"/>
      </rPr>
      <t xml:space="preserve"> plates lots of floaters, single cells, less cells than 1 week time point</t>
    </r>
  </si>
  <si>
    <t>Day 0</t>
  </si>
  <si>
    <t xml:space="preserve"> #1</t>
  </si>
  <si>
    <t>#2</t>
  </si>
  <si>
    <t xml:space="preserve">Control Palbo (750nM): Day 7						</t>
  </si>
  <si>
    <t>palbo 750nM #1</t>
  </si>
  <si>
    <t>palbo 750nM #2</t>
  </si>
  <si>
    <t>palbo 750nM #3</t>
  </si>
  <si>
    <t>#1</t>
  </si>
  <si>
    <t xml:space="preserve"> #2</t>
  </si>
  <si>
    <t xml:space="preserve">Control Palbo (750nM): Day 17						</t>
  </si>
  <si>
    <t>Combination (200nM ICI + 300nM Palbo): Day 7</t>
  </si>
  <si>
    <t>Combo #1</t>
  </si>
  <si>
    <t>Combo #2</t>
  </si>
  <si>
    <t>Combo #3</t>
  </si>
  <si>
    <t>Combination (200nM ICI + 300nM Palbo): Day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</si>
</sst>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"/>
  </numFmts>
  <fonts count="3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30"/>
      <name val="Calibri"/>
      <family val="2"/>
    </font>
    <font>
      <b/>
      <sz val="11"/>
      <color indexed="10"/>
      <name val="Calibri"/>
      <family val="2"/>
    </font>
    <font>
      <b/>
      <sz val="11"/>
      <color indexed="30"/>
      <name val="Calibri"/>
      <family val="2"/>
    </font>
    <font>
      <sz val="11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color indexed="30"/>
      <name val="Calibri"/>
      <family val="2"/>
    </font>
    <font>
      <b/>
      <u/>
      <sz val="16"/>
      <color indexed="30"/>
      <name val="Calibri"/>
      <family val="2"/>
    </font>
    <font>
      <b/>
      <u/>
      <sz val="16"/>
      <color indexed="10"/>
      <name val="Calibri"/>
      <family val="2"/>
    </font>
    <font>
      <sz val="11"/>
      <color indexed="8"/>
      <name val="Calibri"/>
      <family val="2"/>
    </font>
    <font>
      <sz val="11"/>
      <color indexed="36"/>
      <name val="Calibri"/>
      <family val="2"/>
    </font>
    <font>
      <b/>
      <sz val="11"/>
      <color indexed="36"/>
      <name val="Calibri"/>
      <family val="2"/>
    </font>
    <font>
      <b/>
      <u/>
      <sz val="16"/>
      <color indexed="36"/>
      <name val="Calibri"/>
      <family val="2"/>
    </font>
    <font>
      <u/>
      <sz val="16"/>
      <color indexed="36"/>
      <name val="Calibri"/>
      <family val="2"/>
    </font>
    <font>
      <b/>
      <sz val="12"/>
      <color indexed="36"/>
      <name val="Calibri"/>
      <family val="2"/>
    </font>
    <font>
      <b/>
      <sz val="11"/>
      <color indexed="20"/>
      <name val="Calibri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12"/>
      <color rgb="FFFF0000"/>
      <name val="Calibri"/>
      <family val="2"/>
    </font>
    <font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1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0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165" fontId="23" fillId="0" borderId="0" xfId="0" applyNumberFormat="1" applyFont="1"/>
    <xf numFmtId="0" fontId="24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23" fillId="0" borderId="0" xfId="0" applyFont="1"/>
    <xf numFmtId="166" fontId="21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0" fontId="25" fillId="0" borderId="0" xfId="0" applyFont="1"/>
    <xf numFmtId="164" fontId="24" fillId="0" borderId="0" xfId="0" applyNumberFormat="1" applyFont="1" applyAlignment="1">
      <alignment horizontal="center"/>
    </xf>
    <xf numFmtId="2" fontId="24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164" fontId="0" fillId="0" borderId="0" xfId="0" applyNumberFormat="1"/>
    <xf numFmtId="164" fontId="24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6" fillId="0" borderId="3" xfId="0" applyFont="1" applyBorder="1" applyAlignment="1">
      <alignment horizontal="center"/>
    </xf>
    <xf numFmtId="0" fontId="27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4" xfId="0" applyFont="1" applyBorder="1" applyAlignment="1">
      <alignment horizontal="center"/>
    </xf>
    <xf numFmtId="0" fontId="0" fillId="0" borderId="1" xfId="0" applyBorder="1"/>
    <xf numFmtId="0" fontId="19" fillId="0" borderId="1" xfId="0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164" fontId="27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25" fillId="0" borderId="5" xfId="0" applyFont="1" applyBorder="1"/>
    <xf numFmtId="0" fontId="0" fillId="0" borderId="5" xfId="0" applyBorder="1"/>
    <xf numFmtId="0" fontId="20" fillId="0" borderId="6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0" fillId="0" borderId="6" xfId="0" applyBorder="1"/>
    <xf numFmtId="164" fontId="27" fillId="0" borderId="6" xfId="0" applyNumberFormat="1" applyFont="1" applyBorder="1" applyAlignment="1">
      <alignment horizontal="center"/>
    </xf>
    <xf numFmtId="0" fontId="0" fillId="0" borderId="9" xfId="0" applyBorder="1"/>
    <xf numFmtId="0" fontId="22" fillId="0" borderId="10" xfId="0" applyFont="1" applyBorder="1" applyAlignment="1">
      <alignment horizontal="center"/>
    </xf>
    <xf numFmtId="164" fontId="22" fillId="0" borderId="5" xfId="0" applyNumberFormat="1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164" fontId="21" fillId="0" borderId="6" xfId="0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164" fontId="20" fillId="0" borderId="0" xfId="0" applyNumberFormat="1" applyFont="1" applyAlignment="1">
      <alignment horizontal="center"/>
    </xf>
    <xf numFmtId="164" fontId="20" fillId="0" borderId="6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164" fontId="0" fillId="0" borderId="0" xfId="0" applyNumberFormat="1" applyAlignment="1">
      <alignment vertical="center"/>
    </xf>
    <xf numFmtId="0" fontId="32" fillId="0" borderId="3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33" fillId="0" borderId="3" xfId="0" applyFont="1" applyBorder="1" applyAlignment="1">
      <alignment horizontal="center" wrapText="1"/>
    </xf>
    <xf numFmtId="0" fontId="33" fillId="0" borderId="0" xfId="0" applyFont="1" applyAlignment="1">
      <alignment horizontal="center" wrapText="1"/>
    </xf>
    <xf numFmtId="0" fontId="0" fillId="0" borderId="0" xfId="0" applyAlignment="1">
      <alignment horizontal="left" vertical="center"/>
    </xf>
    <xf numFmtId="0" fontId="30" fillId="0" borderId="0" xfId="0" applyFont="1" applyAlignment="1">
      <alignment horizont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wrapText="1"/>
    </xf>
    <xf numFmtId="0" fontId="29" fillId="0" borderId="14" xfId="0" applyFont="1" applyBorder="1" applyAlignment="1">
      <alignment horizontal="center" wrapText="1"/>
    </xf>
    <xf numFmtId="0" fontId="29" fillId="0" borderId="15" xfId="0" applyFont="1" applyBorder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25" fillId="0" borderId="14" xfId="0" applyFont="1" applyBorder="1" applyAlignment="1">
      <alignment horizontal="center" wrapText="1"/>
    </xf>
    <xf numFmtId="0" fontId="25" fillId="0" borderId="17" xfId="0" applyFont="1" applyBorder="1" applyAlignment="1">
      <alignment horizontal="center" wrapText="1"/>
    </xf>
    <xf numFmtId="0" fontId="28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31" fillId="0" borderId="13" xfId="0" applyFont="1" applyBorder="1" applyAlignment="1">
      <alignment horizontal="center" wrapText="1"/>
    </xf>
    <xf numFmtId="0" fontId="1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topLeftCell="A7" workbookViewId="0">
      <selection activeCell="I25" sqref="I25"/>
    </sheetView>
  </sheetViews>
  <sheetFormatPr baseColWidth="10" defaultRowHeight="15" x14ac:dyDescent="0.2"/>
  <cols>
    <col min="1" max="1" width="24.6640625" customWidth="1"/>
    <col min="2" max="2" width="12.33203125" customWidth="1"/>
    <col min="3" max="7" width="9.5" bestFit="1" customWidth="1"/>
    <col min="8" max="8" width="8.5" customWidth="1"/>
    <col min="9" max="9" width="24.6640625" customWidth="1"/>
    <col min="10" max="10" width="9.1640625" bestFit="1" customWidth="1"/>
    <col min="11" max="11" width="9.5" bestFit="1" customWidth="1"/>
    <col min="12" max="12" width="9.1640625" bestFit="1" customWidth="1"/>
    <col min="13" max="16" width="9.5" bestFit="1" customWidth="1"/>
    <col min="17" max="256" width="8.83203125" customWidth="1"/>
  </cols>
  <sheetData>
    <row r="1" spans="1:22" ht="21" x14ac:dyDescent="0.25">
      <c r="A1" s="73" t="s">
        <v>9</v>
      </c>
      <c r="B1" s="73"/>
      <c r="C1" s="73"/>
      <c r="D1" s="73"/>
      <c r="E1" s="73"/>
      <c r="F1" s="73"/>
      <c r="G1" s="73"/>
      <c r="H1" s="73"/>
      <c r="I1" s="73"/>
    </row>
    <row r="2" spans="1:22" x14ac:dyDescent="0.2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22" x14ac:dyDescent="0.2">
      <c r="A3" s="72" t="s">
        <v>10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1"/>
    </row>
    <row r="4" spans="1:22" x14ac:dyDescent="0.2">
      <c r="A4" s="74" t="s">
        <v>11</v>
      </c>
      <c r="B4" s="74"/>
      <c r="C4" s="74"/>
      <c r="D4" s="74"/>
      <c r="E4" s="74"/>
      <c r="F4" s="74"/>
      <c r="G4" s="74"/>
      <c r="H4" s="74"/>
      <c r="I4" s="1"/>
      <c r="J4" s="1"/>
      <c r="K4" s="1"/>
      <c r="L4" s="1"/>
    </row>
    <row r="5" spans="1:22" x14ac:dyDescent="0.2">
      <c r="A5" s="72" t="s">
        <v>12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">
      <c r="A6" s="72" t="s">
        <v>29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x14ac:dyDescent="0.2">
      <c r="A7" s="75" t="s">
        <v>68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 x14ac:dyDescent="0.2">
      <c r="A9" s="90" t="s">
        <v>49</v>
      </c>
      <c r="B9" s="90"/>
      <c r="C9" s="90"/>
      <c r="D9" s="90"/>
      <c r="E9" s="90"/>
      <c r="F9" s="90"/>
      <c r="G9" s="90"/>
      <c r="H9" s="90"/>
      <c r="I9" s="90"/>
      <c r="J9" s="16"/>
      <c r="K9" s="16"/>
      <c r="L9" s="16"/>
      <c r="M9" s="16"/>
      <c r="N9" s="16"/>
      <c r="O9" s="1"/>
    </row>
    <row r="10" spans="1:22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"/>
    </row>
    <row r="11" spans="1:22" ht="16" thickBo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"/>
    </row>
    <row r="12" spans="1:22" ht="19" x14ac:dyDescent="0.2">
      <c r="A12" s="77" t="s">
        <v>31</v>
      </c>
      <c r="B12" s="78"/>
      <c r="C12" s="78"/>
      <c r="D12" s="78"/>
      <c r="E12" s="78"/>
      <c r="F12" s="78"/>
      <c r="G12" s="79"/>
      <c r="H12" s="1"/>
      <c r="I12" s="1"/>
      <c r="J12" s="1"/>
      <c r="K12" s="1"/>
      <c r="L12" s="1"/>
    </row>
    <row r="13" spans="1:22" ht="32" x14ac:dyDescent="0.2">
      <c r="A13" s="56" t="s">
        <v>0</v>
      </c>
      <c r="B13" s="53" t="s">
        <v>1</v>
      </c>
      <c r="C13" s="53" t="s">
        <v>2</v>
      </c>
      <c r="D13" s="53" t="s">
        <v>3</v>
      </c>
      <c r="E13" s="53" t="s">
        <v>4</v>
      </c>
      <c r="F13" s="54" t="s">
        <v>5</v>
      </c>
      <c r="G13" s="57" t="s">
        <v>6</v>
      </c>
      <c r="H13" s="1"/>
      <c r="I13" s="65"/>
      <c r="J13" s="1"/>
      <c r="K13" s="1"/>
      <c r="L13" s="1"/>
    </row>
    <row r="14" spans="1:22" x14ac:dyDescent="0.2">
      <c r="A14" s="46" t="s">
        <v>7</v>
      </c>
      <c r="B14" s="2">
        <v>96</v>
      </c>
      <c r="C14" s="3">
        <f t="shared" ref="C14:C19" si="0">B14*400</f>
        <v>38400</v>
      </c>
      <c r="D14" s="2">
        <v>2.5</v>
      </c>
      <c r="E14" s="3">
        <f t="shared" ref="E14:E19" si="1">C14*D14</f>
        <v>96000</v>
      </c>
      <c r="F14" s="18">
        <f>AVERAGE(E14:E19)</f>
        <v>93666.666666666672</v>
      </c>
      <c r="G14" s="47">
        <f>_xlfn.STDEV.S(E14:E19)</f>
        <v>9003.7029419382034</v>
      </c>
      <c r="H14" s="1"/>
      <c r="I14" s="1"/>
      <c r="J14" s="1"/>
      <c r="K14" s="1"/>
      <c r="L14" s="1"/>
    </row>
    <row r="15" spans="1:22" x14ac:dyDescent="0.2">
      <c r="A15" s="46" t="s">
        <v>7</v>
      </c>
      <c r="B15" s="2">
        <v>81</v>
      </c>
      <c r="C15" s="3">
        <f t="shared" si="0"/>
        <v>32400</v>
      </c>
      <c r="D15" s="2">
        <v>2.5</v>
      </c>
      <c r="E15" s="3">
        <f t="shared" si="1"/>
        <v>81000</v>
      </c>
      <c r="F15" s="4"/>
      <c r="G15" s="35"/>
      <c r="H15" s="1"/>
      <c r="I15" s="1"/>
      <c r="J15" s="1"/>
      <c r="K15" s="1"/>
      <c r="L15" s="1"/>
    </row>
    <row r="16" spans="1:22" x14ac:dyDescent="0.2">
      <c r="A16" s="46" t="s">
        <v>7</v>
      </c>
      <c r="B16" s="2">
        <v>84</v>
      </c>
      <c r="C16" s="3">
        <f t="shared" si="0"/>
        <v>33600</v>
      </c>
      <c r="D16" s="2">
        <v>2.5</v>
      </c>
      <c r="E16" s="3">
        <f t="shared" si="1"/>
        <v>84000</v>
      </c>
      <c r="F16" s="4"/>
      <c r="G16" s="35"/>
      <c r="H16" s="1"/>
      <c r="I16" s="1"/>
      <c r="J16" s="1"/>
      <c r="K16" s="1"/>
      <c r="L16" s="1"/>
    </row>
    <row r="17" spans="1:16" x14ac:dyDescent="0.2">
      <c r="A17" s="48" t="s">
        <v>8</v>
      </c>
      <c r="B17" s="2">
        <v>98</v>
      </c>
      <c r="C17" s="3">
        <f t="shared" si="0"/>
        <v>39200</v>
      </c>
      <c r="D17" s="2">
        <v>2.5</v>
      </c>
      <c r="E17" s="3">
        <f t="shared" si="1"/>
        <v>98000</v>
      </c>
      <c r="F17" s="4"/>
      <c r="G17" s="35"/>
      <c r="H17" s="1"/>
      <c r="I17" s="1"/>
      <c r="J17" s="1"/>
      <c r="K17" s="1"/>
      <c r="L17" s="1"/>
    </row>
    <row r="18" spans="1:16" x14ac:dyDescent="0.2">
      <c r="A18" s="46" t="s">
        <v>8</v>
      </c>
      <c r="B18" s="2">
        <v>103</v>
      </c>
      <c r="C18" s="3">
        <f t="shared" si="0"/>
        <v>41200</v>
      </c>
      <c r="D18" s="2">
        <v>2.5</v>
      </c>
      <c r="E18" s="3">
        <f t="shared" si="1"/>
        <v>103000</v>
      </c>
      <c r="F18" s="4"/>
      <c r="G18" s="35"/>
      <c r="H18" s="1"/>
      <c r="I18" s="1"/>
      <c r="J18" s="1"/>
      <c r="K18" s="1"/>
      <c r="L18" s="1"/>
    </row>
    <row r="19" spans="1:16" ht="16" thickBot="1" x14ac:dyDescent="0.25">
      <c r="A19" s="49" t="s">
        <v>8</v>
      </c>
      <c r="B19" s="40">
        <v>100</v>
      </c>
      <c r="C19" s="39">
        <f t="shared" si="0"/>
        <v>40000</v>
      </c>
      <c r="D19" s="40">
        <v>2.5</v>
      </c>
      <c r="E19" s="39">
        <f t="shared" si="1"/>
        <v>100000</v>
      </c>
      <c r="F19" s="50"/>
      <c r="G19" s="51"/>
      <c r="H19" s="1"/>
      <c r="I19" s="1"/>
      <c r="J19" s="1"/>
      <c r="K19" s="1"/>
      <c r="L19" s="1"/>
    </row>
    <row r="20" spans="1:16" x14ac:dyDescent="0.2">
      <c r="A20" s="29"/>
      <c r="B20" s="2"/>
      <c r="C20" s="3"/>
      <c r="D20" s="2"/>
      <c r="E20" s="3"/>
      <c r="F20" s="3"/>
      <c r="G20" s="3"/>
      <c r="H20" s="1"/>
      <c r="I20" s="1"/>
      <c r="J20" s="1"/>
      <c r="K20" s="1"/>
      <c r="L20" s="1"/>
    </row>
    <row r="21" spans="1:16" ht="16" thickBo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6" ht="19" x14ac:dyDescent="0.25">
      <c r="A22" s="86" t="s">
        <v>32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8"/>
    </row>
    <row r="23" spans="1:16" ht="16" x14ac:dyDescent="0.2">
      <c r="A23" s="80" t="s">
        <v>25</v>
      </c>
      <c r="B23" s="81"/>
      <c r="C23" s="81"/>
      <c r="D23" s="81"/>
      <c r="E23" s="81"/>
      <c r="F23" s="81"/>
      <c r="G23" s="82"/>
      <c r="H23" s="2"/>
      <c r="I23" s="89" t="s">
        <v>26</v>
      </c>
      <c r="J23" s="84"/>
      <c r="K23" s="84"/>
      <c r="L23" s="84"/>
      <c r="M23" s="84"/>
      <c r="N23" s="84"/>
      <c r="O23" s="85"/>
    </row>
    <row r="24" spans="1:16" ht="32" x14ac:dyDescent="0.2">
      <c r="A24" s="56" t="s">
        <v>0</v>
      </c>
      <c r="B24" s="53" t="s">
        <v>1</v>
      </c>
      <c r="C24" s="53" t="s">
        <v>2</v>
      </c>
      <c r="D24" s="53" t="s">
        <v>3</v>
      </c>
      <c r="E24" s="53" t="s">
        <v>4</v>
      </c>
      <c r="F24" s="54" t="s">
        <v>5</v>
      </c>
      <c r="G24" s="55" t="s">
        <v>6</v>
      </c>
      <c r="H24" s="2"/>
      <c r="I24" s="52" t="s">
        <v>0</v>
      </c>
      <c r="J24" s="53" t="s">
        <v>1</v>
      </c>
      <c r="K24" s="53" t="s">
        <v>2</v>
      </c>
      <c r="L24" s="53" t="s">
        <v>3</v>
      </c>
      <c r="M24" s="53" t="s">
        <v>4</v>
      </c>
      <c r="N24" s="54" t="s">
        <v>5</v>
      </c>
      <c r="O24" s="57" t="s">
        <v>6</v>
      </c>
      <c r="P24" s="21"/>
    </row>
    <row r="25" spans="1:16" x14ac:dyDescent="0.2">
      <c r="A25" s="62" t="s">
        <v>13</v>
      </c>
      <c r="B25" s="7">
        <v>176</v>
      </c>
      <c r="C25" s="58">
        <f>B25*400</f>
        <v>70400</v>
      </c>
      <c r="D25" s="2">
        <v>2.5</v>
      </c>
      <c r="E25" s="58">
        <f>C25*D25</f>
        <v>176000</v>
      </c>
      <c r="F25" s="4">
        <f>AVERAGE(E25:E33)</f>
        <v>182888.88888888888</v>
      </c>
      <c r="G25" s="60">
        <f>_xlfn.STDEV.S(E25:E33)</f>
        <v>14356.570311572019</v>
      </c>
      <c r="H25" s="2"/>
      <c r="I25" s="25" t="s">
        <v>16</v>
      </c>
      <c r="J25" s="26">
        <v>134</v>
      </c>
      <c r="K25" s="27">
        <f>J25*400</f>
        <v>53600</v>
      </c>
      <c r="L25" s="2">
        <v>2.5</v>
      </c>
      <c r="M25" s="27">
        <f>K25*L25</f>
        <v>134000</v>
      </c>
      <c r="N25" s="28">
        <f>AVERAGE(M25:M33)</f>
        <v>131666.66666666666</v>
      </c>
      <c r="O25" s="34">
        <f>_xlfn.STDEV.S(M25:M33)</f>
        <v>5744.5626465380283</v>
      </c>
      <c r="P25" s="21"/>
    </row>
    <row r="26" spans="1:16" x14ac:dyDescent="0.2">
      <c r="A26" s="62" t="s">
        <v>13</v>
      </c>
      <c r="B26" s="7">
        <v>171</v>
      </c>
      <c r="C26" s="58">
        <f>B26*400</f>
        <v>68400</v>
      </c>
      <c r="D26" s="2">
        <v>2.5</v>
      </c>
      <c r="E26" s="58">
        <f>C26*D26</f>
        <v>171000</v>
      </c>
      <c r="F26" s="3"/>
      <c r="G26" s="5"/>
      <c r="H26" s="2"/>
      <c r="I26" s="25" t="s">
        <v>16</v>
      </c>
      <c r="J26" s="26">
        <v>128</v>
      </c>
      <c r="K26" s="27">
        <f>J26*400</f>
        <v>51200</v>
      </c>
      <c r="L26" s="2">
        <v>2.5</v>
      </c>
      <c r="M26" s="27">
        <f>K26*L26</f>
        <v>128000</v>
      </c>
      <c r="N26" s="3"/>
      <c r="O26" s="35"/>
    </row>
    <row r="27" spans="1:16" x14ac:dyDescent="0.2">
      <c r="A27" s="62" t="s">
        <v>13</v>
      </c>
      <c r="B27" s="7">
        <v>171</v>
      </c>
      <c r="C27" s="58">
        <f>B27*400</f>
        <v>68400</v>
      </c>
      <c r="D27" s="2">
        <v>2.5</v>
      </c>
      <c r="E27" s="58">
        <f>C27*D27</f>
        <v>171000</v>
      </c>
      <c r="F27" s="3"/>
      <c r="G27" s="5"/>
      <c r="H27" s="2"/>
      <c r="I27" s="25" t="s">
        <v>16</v>
      </c>
      <c r="J27" s="26">
        <v>135</v>
      </c>
      <c r="K27" s="27">
        <f>J27*400</f>
        <v>54000</v>
      </c>
      <c r="L27" s="2">
        <v>2.5</v>
      </c>
      <c r="M27" s="27">
        <f>K27*L27</f>
        <v>135000</v>
      </c>
      <c r="N27" s="3"/>
      <c r="O27" s="35"/>
    </row>
    <row r="28" spans="1:16" x14ac:dyDescent="0.2">
      <c r="A28" s="63" t="s">
        <v>14</v>
      </c>
      <c r="B28" s="7">
        <v>189</v>
      </c>
      <c r="C28" s="58">
        <f t="shared" ref="C28:C33" si="2">B28*400</f>
        <v>75600</v>
      </c>
      <c r="D28" s="2">
        <v>2.5</v>
      </c>
      <c r="E28" s="58">
        <f t="shared" ref="E28:E33" si="3">C28*D28</f>
        <v>189000</v>
      </c>
      <c r="F28" s="3"/>
      <c r="G28" s="5"/>
      <c r="H28" s="2"/>
      <c r="I28" s="30" t="s">
        <v>17</v>
      </c>
      <c r="J28" s="26">
        <v>137</v>
      </c>
      <c r="K28" s="27">
        <f t="shared" ref="K28:K33" si="4">J28*400</f>
        <v>54800</v>
      </c>
      <c r="L28" s="2">
        <v>2.5</v>
      </c>
      <c r="M28" s="27">
        <f t="shared" ref="M28:M33" si="5">K28*L28</f>
        <v>137000</v>
      </c>
      <c r="N28" s="3"/>
      <c r="O28" s="35"/>
    </row>
    <row r="29" spans="1:16" ht="16" x14ac:dyDescent="0.2">
      <c r="A29" s="62" t="s">
        <v>14</v>
      </c>
      <c r="B29" s="7">
        <v>211</v>
      </c>
      <c r="C29" s="58">
        <f t="shared" si="2"/>
        <v>84400</v>
      </c>
      <c r="D29" s="2">
        <v>2.5</v>
      </c>
      <c r="E29" s="58">
        <f t="shared" si="3"/>
        <v>211000</v>
      </c>
      <c r="G29" s="31"/>
      <c r="I29" s="25" t="s">
        <v>17</v>
      </c>
      <c r="J29" s="26">
        <v>130</v>
      </c>
      <c r="K29" s="27">
        <f t="shared" si="4"/>
        <v>52000</v>
      </c>
      <c r="L29" s="2">
        <v>2.5</v>
      </c>
      <c r="M29" s="27">
        <f t="shared" si="5"/>
        <v>130000</v>
      </c>
      <c r="N29" s="17"/>
      <c r="O29" s="36"/>
    </row>
    <row r="30" spans="1:16" x14ac:dyDescent="0.2">
      <c r="A30" s="62" t="s">
        <v>14</v>
      </c>
      <c r="B30" s="7">
        <v>200</v>
      </c>
      <c r="C30" s="58">
        <f t="shared" si="2"/>
        <v>80000</v>
      </c>
      <c r="D30" s="2">
        <v>2.5</v>
      </c>
      <c r="E30" s="58">
        <f t="shared" si="3"/>
        <v>200000</v>
      </c>
      <c r="F30" s="2"/>
      <c r="G30" s="32"/>
      <c r="H30" s="2"/>
      <c r="I30" s="25" t="s">
        <v>17</v>
      </c>
      <c r="J30" s="26">
        <v>122</v>
      </c>
      <c r="K30" s="27">
        <f t="shared" si="4"/>
        <v>48800</v>
      </c>
      <c r="L30" s="2">
        <v>2.5</v>
      </c>
      <c r="M30" s="27">
        <f t="shared" si="5"/>
        <v>122000</v>
      </c>
      <c r="O30" s="37"/>
    </row>
    <row r="31" spans="1:16" x14ac:dyDescent="0.2">
      <c r="A31" s="63" t="s">
        <v>15</v>
      </c>
      <c r="B31" s="7">
        <v>180</v>
      </c>
      <c r="C31" s="58">
        <f t="shared" si="2"/>
        <v>72000</v>
      </c>
      <c r="D31" s="2">
        <v>2.5</v>
      </c>
      <c r="E31" s="58">
        <f t="shared" si="3"/>
        <v>180000</v>
      </c>
      <c r="F31" s="3"/>
      <c r="G31" s="33"/>
      <c r="H31" s="8"/>
      <c r="I31" s="30" t="s">
        <v>18</v>
      </c>
      <c r="J31" s="26">
        <v>135</v>
      </c>
      <c r="K31" s="27">
        <f t="shared" si="4"/>
        <v>54000</v>
      </c>
      <c r="L31" s="2">
        <v>2.5</v>
      </c>
      <c r="M31" s="27">
        <f t="shared" si="5"/>
        <v>135000</v>
      </c>
      <c r="O31" s="37"/>
    </row>
    <row r="32" spans="1:16" x14ac:dyDescent="0.2">
      <c r="A32" s="62" t="s">
        <v>15</v>
      </c>
      <c r="B32" s="7">
        <v>178</v>
      </c>
      <c r="C32" s="58">
        <f t="shared" si="2"/>
        <v>71200</v>
      </c>
      <c r="D32" s="2">
        <v>2.5</v>
      </c>
      <c r="E32" s="58">
        <f t="shared" si="3"/>
        <v>178000</v>
      </c>
      <c r="F32" s="3"/>
      <c r="G32" s="5"/>
      <c r="H32" s="3"/>
      <c r="I32" s="25" t="s">
        <v>18</v>
      </c>
      <c r="J32" s="26">
        <v>125</v>
      </c>
      <c r="K32" s="27">
        <f t="shared" si="4"/>
        <v>50000</v>
      </c>
      <c r="L32" s="2">
        <v>2.5</v>
      </c>
      <c r="M32" s="27">
        <f t="shared" si="5"/>
        <v>125000</v>
      </c>
      <c r="O32" s="37"/>
    </row>
    <row r="33" spans="1:16" ht="16" thickBot="1" x14ac:dyDescent="0.25">
      <c r="A33" s="64" t="s">
        <v>15</v>
      </c>
      <c r="B33" s="38">
        <v>170</v>
      </c>
      <c r="C33" s="59">
        <f t="shared" si="2"/>
        <v>68000</v>
      </c>
      <c r="D33" s="40">
        <v>2.5</v>
      </c>
      <c r="E33" s="59">
        <f t="shared" si="3"/>
        <v>170000</v>
      </c>
      <c r="F33" s="39"/>
      <c r="G33" s="41"/>
      <c r="H33" s="39"/>
      <c r="I33" s="42" t="s">
        <v>18</v>
      </c>
      <c r="J33" s="61">
        <v>139</v>
      </c>
      <c r="K33" s="44">
        <f t="shared" si="4"/>
        <v>55600</v>
      </c>
      <c r="L33" s="40">
        <v>2.5</v>
      </c>
      <c r="M33" s="44">
        <f t="shared" si="5"/>
        <v>139000</v>
      </c>
      <c r="N33" s="43"/>
      <c r="O33" s="45"/>
    </row>
    <row r="35" spans="1:16" ht="16" thickBot="1" x14ac:dyDescent="0.25"/>
    <row r="36" spans="1:16" ht="19" x14ac:dyDescent="0.25">
      <c r="A36" s="86" t="s">
        <v>33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8"/>
    </row>
    <row r="37" spans="1:16" ht="16" x14ac:dyDescent="0.2">
      <c r="A37" s="80" t="s">
        <v>28</v>
      </c>
      <c r="B37" s="81"/>
      <c r="C37" s="81"/>
      <c r="D37" s="81"/>
      <c r="E37" s="81"/>
      <c r="F37" s="81"/>
      <c r="G37" s="82"/>
      <c r="H37" s="2"/>
      <c r="I37" s="83" t="s">
        <v>27</v>
      </c>
      <c r="J37" s="84"/>
      <c r="K37" s="84"/>
      <c r="L37" s="84"/>
      <c r="M37" s="84"/>
      <c r="N37" s="84"/>
      <c r="O37" s="85"/>
    </row>
    <row r="38" spans="1:16" ht="32" x14ac:dyDescent="0.2">
      <c r="A38" s="56" t="s">
        <v>0</v>
      </c>
      <c r="B38" s="53" t="s">
        <v>1</v>
      </c>
      <c r="C38" s="53" t="s">
        <v>2</v>
      </c>
      <c r="D38" s="53" t="s">
        <v>3</v>
      </c>
      <c r="E38" s="53" t="s">
        <v>4</v>
      </c>
      <c r="F38" s="54" t="s">
        <v>5</v>
      </c>
      <c r="G38" s="55" t="s">
        <v>6</v>
      </c>
      <c r="H38" s="2"/>
      <c r="I38" s="52" t="s">
        <v>0</v>
      </c>
      <c r="J38" s="53" t="s">
        <v>1</v>
      </c>
      <c r="K38" s="53" t="s">
        <v>2</v>
      </c>
      <c r="L38" s="53" t="s">
        <v>3</v>
      </c>
      <c r="M38" s="53" t="s">
        <v>4</v>
      </c>
      <c r="N38" s="54" t="s">
        <v>5</v>
      </c>
      <c r="O38" s="57" t="s">
        <v>6</v>
      </c>
    </row>
    <row r="39" spans="1:16" x14ac:dyDescent="0.2">
      <c r="A39" s="62" t="s">
        <v>22</v>
      </c>
      <c r="B39" s="7">
        <v>383</v>
      </c>
      <c r="C39" s="58">
        <f>B39*400</f>
        <v>153200</v>
      </c>
      <c r="D39" s="2">
        <v>2.5</v>
      </c>
      <c r="E39" s="58">
        <f>C39*D39</f>
        <v>383000</v>
      </c>
      <c r="F39" s="4">
        <f>AVERAGE(E39:E47)</f>
        <v>374222.22222222225</v>
      </c>
      <c r="G39" s="60">
        <f>_xlfn.STDEV.S(E39:E47)</f>
        <v>22807.771579977831</v>
      </c>
      <c r="H39" s="2"/>
      <c r="I39" s="25" t="s">
        <v>19</v>
      </c>
      <c r="J39" s="26">
        <v>132</v>
      </c>
      <c r="K39" s="27">
        <f>J39*400</f>
        <v>52800</v>
      </c>
      <c r="L39" s="2">
        <v>2.5</v>
      </c>
      <c r="M39" s="27">
        <f>K39*L39</f>
        <v>132000</v>
      </c>
      <c r="N39" s="28">
        <f>AVERAGE(M39:M47)</f>
        <v>127888.88888888889</v>
      </c>
      <c r="O39" s="34">
        <f>_xlfn.STDEV.S(M39:M47)</f>
        <v>10385.620400876931</v>
      </c>
      <c r="P39" s="21"/>
    </row>
    <row r="40" spans="1:16" x14ac:dyDescent="0.2">
      <c r="A40" s="62" t="s">
        <v>22</v>
      </c>
      <c r="B40" s="7">
        <v>399</v>
      </c>
      <c r="C40" s="58">
        <f>B40*400</f>
        <v>159600</v>
      </c>
      <c r="D40" s="2">
        <v>2.5</v>
      </c>
      <c r="E40" s="58">
        <f>C40*D40</f>
        <v>399000</v>
      </c>
      <c r="F40" s="3"/>
      <c r="G40" s="5"/>
      <c r="H40" s="2"/>
      <c r="I40" s="25" t="s">
        <v>19</v>
      </c>
      <c r="J40" s="26">
        <v>124</v>
      </c>
      <c r="K40" s="27">
        <f>J40*400</f>
        <v>49600</v>
      </c>
      <c r="L40" s="2">
        <v>2.5</v>
      </c>
      <c r="M40" s="27">
        <f>K40*L40</f>
        <v>124000</v>
      </c>
      <c r="N40" s="3"/>
      <c r="O40" s="35"/>
      <c r="P40" s="21"/>
    </row>
    <row r="41" spans="1:16" x14ac:dyDescent="0.2">
      <c r="A41" s="62" t="s">
        <v>22</v>
      </c>
      <c r="B41" s="7">
        <v>369</v>
      </c>
      <c r="C41" s="58">
        <f>B41*400</f>
        <v>147600</v>
      </c>
      <c r="D41" s="2">
        <v>2.5</v>
      </c>
      <c r="E41" s="58">
        <f>C41*D41</f>
        <v>369000</v>
      </c>
      <c r="F41" s="3"/>
      <c r="G41" s="5"/>
      <c r="H41" s="2"/>
      <c r="I41" s="25" t="s">
        <v>19</v>
      </c>
      <c r="J41" s="26">
        <v>134</v>
      </c>
      <c r="K41" s="27">
        <f>J41*400</f>
        <v>53600</v>
      </c>
      <c r="L41" s="2">
        <v>2.5</v>
      </c>
      <c r="M41" s="27">
        <f>K41*L41</f>
        <v>134000</v>
      </c>
      <c r="N41" s="3"/>
      <c r="O41" s="35"/>
      <c r="P41" s="21"/>
    </row>
    <row r="42" spans="1:16" x14ac:dyDescent="0.2">
      <c r="A42" s="63" t="s">
        <v>23</v>
      </c>
      <c r="B42" s="7">
        <v>370</v>
      </c>
      <c r="C42" s="58">
        <f t="shared" ref="C42:C47" si="6">B42*400</f>
        <v>148000</v>
      </c>
      <c r="D42" s="2">
        <v>2.5</v>
      </c>
      <c r="E42" s="58">
        <f t="shared" ref="E42:E47" si="7">C42*D42</f>
        <v>370000</v>
      </c>
      <c r="F42" s="3"/>
      <c r="G42" s="5"/>
      <c r="H42" s="2"/>
      <c r="I42" s="30" t="s">
        <v>20</v>
      </c>
      <c r="J42" s="26">
        <v>118</v>
      </c>
      <c r="K42" s="27">
        <f t="shared" ref="K42:K47" si="8">J42*400</f>
        <v>47200</v>
      </c>
      <c r="L42" s="2">
        <v>2.5</v>
      </c>
      <c r="M42" s="27">
        <f t="shared" ref="M42:M47" si="9">K42*L42</f>
        <v>118000</v>
      </c>
      <c r="N42" s="3"/>
      <c r="O42" s="35"/>
    </row>
    <row r="43" spans="1:16" ht="16" x14ac:dyDescent="0.2">
      <c r="A43" s="62" t="s">
        <v>23</v>
      </c>
      <c r="B43" s="7">
        <v>325</v>
      </c>
      <c r="C43" s="58">
        <f t="shared" si="6"/>
        <v>130000</v>
      </c>
      <c r="D43" s="2">
        <v>2.5</v>
      </c>
      <c r="E43" s="58">
        <f t="shared" si="7"/>
        <v>325000</v>
      </c>
      <c r="G43" s="31"/>
      <c r="I43" s="25" t="s">
        <v>20</v>
      </c>
      <c r="J43" s="26">
        <v>121</v>
      </c>
      <c r="K43" s="27">
        <f t="shared" si="8"/>
        <v>48400</v>
      </c>
      <c r="L43" s="2">
        <v>2.5</v>
      </c>
      <c r="M43" s="27">
        <f t="shared" si="9"/>
        <v>121000</v>
      </c>
      <c r="N43" s="17"/>
      <c r="O43" s="36"/>
    </row>
    <row r="44" spans="1:16" x14ac:dyDescent="0.2">
      <c r="A44" s="62" t="s">
        <v>23</v>
      </c>
      <c r="B44" s="7">
        <v>379</v>
      </c>
      <c r="C44" s="58">
        <f t="shared" si="6"/>
        <v>151600</v>
      </c>
      <c r="D44" s="2">
        <v>2.5</v>
      </c>
      <c r="E44" s="58">
        <f t="shared" si="7"/>
        <v>379000</v>
      </c>
      <c r="F44" s="2"/>
      <c r="G44" s="32"/>
      <c r="H44" s="2"/>
      <c r="I44" s="25" t="s">
        <v>20</v>
      </c>
      <c r="J44" s="26">
        <v>144</v>
      </c>
      <c r="K44" s="27">
        <f t="shared" si="8"/>
        <v>57600</v>
      </c>
      <c r="L44" s="2">
        <v>2.5</v>
      </c>
      <c r="M44" s="27">
        <f t="shared" si="9"/>
        <v>144000</v>
      </c>
      <c r="O44" s="37"/>
    </row>
    <row r="45" spans="1:16" x14ac:dyDescent="0.2">
      <c r="A45" s="63" t="s">
        <v>24</v>
      </c>
      <c r="B45" s="7">
        <v>360</v>
      </c>
      <c r="C45" s="58">
        <f t="shared" si="6"/>
        <v>144000</v>
      </c>
      <c r="D45" s="2">
        <v>2.5</v>
      </c>
      <c r="E45" s="58">
        <f t="shared" si="7"/>
        <v>360000</v>
      </c>
      <c r="F45" s="3"/>
      <c r="G45" s="33"/>
      <c r="H45" s="8"/>
      <c r="I45" s="30" t="s">
        <v>21</v>
      </c>
      <c r="J45" s="26">
        <v>129</v>
      </c>
      <c r="K45" s="27">
        <f t="shared" si="8"/>
        <v>51600</v>
      </c>
      <c r="L45" s="2">
        <v>2.5</v>
      </c>
      <c r="M45" s="27">
        <f t="shared" si="9"/>
        <v>129000</v>
      </c>
      <c r="O45" s="37"/>
    </row>
    <row r="46" spans="1:16" x14ac:dyDescent="0.2">
      <c r="A46" s="62" t="s">
        <v>24</v>
      </c>
      <c r="B46" s="7">
        <v>401</v>
      </c>
      <c r="C46" s="58">
        <f t="shared" si="6"/>
        <v>160400</v>
      </c>
      <c r="D46" s="2">
        <v>2.5</v>
      </c>
      <c r="E46" s="58">
        <f t="shared" si="7"/>
        <v>401000</v>
      </c>
      <c r="F46" s="3"/>
      <c r="G46" s="5"/>
      <c r="H46" s="3"/>
      <c r="I46" s="25" t="s">
        <v>21</v>
      </c>
      <c r="J46" s="26">
        <v>138</v>
      </c>
      <c r="K46" s="27">
        <f t="shared" si="8"/>
        <v>55200</v>
      </c>
      <c r="L46" s="2">
        <v>2.5</v>
      </c>
      <c r="M46" s="27">
        <f t="shared" si="9"/>
        <v>138000</v>
      </c>
      <c r="O46" s="37"/>
    </row>
    <row r="47" spans="1:16" ht="16" thickBot="1" x14ac:dyDescent="0.25">
      <c r="A47" s="64" t="s">
        <v>24</v>
      </c>
      <c r="B47" s="38">
        <v>382</v>
      </c>
      <c r="C47" s="59">
        <f t="shared" si="6"/>
        <v>152800</v>
      </c>
      <c r="D47" s="40">
        <v>2.5</v>
      </c>
      <c r="E47" s="59">
        <f t="shared" si="7"/>
        <v>382000</v>
      </c>
      <c r="F47" s="39"/>
      <c r="G47" s="41"/>
      <c r="H47" s="39"/>
      <c r="I47" s="42" t="s">
        <v>21</v>
      </c>
      <c r="J47" s="61">
        <v>111</v>
      </c>
      <c r="K47" s="44">
        <f t="shared" si="8"/>
        <v>44400</v>
      </c>
      <c r="L47" s="40">
        <v>2.5</v>
      </c>
      <c r="M47" s="44">
        <f t="shared" si="9"/>
        <v>111000</v>
      </c>
      <c r="N47" s="43"/>
      <c r="O47" s="45"/>
    </row>
    <row r="48" spans="1:16" x14ac:dyDescent="0.2">
      <c r="A48" s="10"/>
      <c r="B48" s="19"/>
      <c r="C48" s="11"/>
      <c r="D48" s="9"/>
      <c r="E48" s="9"/>
    </row>
    <row r="49" spans="1:14" x14ac:dyDescent="0.2">
      <c r="A49" s="20"/>
      <c r="B49" s="15"/>
      <c r="C49" s="12"/>
      <c r="D49" s="9"/>
      <c r="E49" s="9"/>
      <c r="G49" s="21"/>
      <c r="J49" s="21"/>
      <c r="N49" s="21"/>
    </row>
    <row r="50" spans="1:14" x14ac:dyDescent="0.2">
      <c r="A50" s="10"/>
      <c r="B50" s="15"/>
      <c r="C50" s="11"/>
      <c r="D50" s="9"/>
      <c r="E50" s="9"/>
      <c r="F50" s="21"/>
      <c r="L50" s="21"/>
    </row>
    <row r="51" spans="1:14" x14ac:dyDescent="0.2">
      <c r="A51" s="22"/>
      <c r="B51" s="13"/>
      <c r="C51" s="14"/>
      <c r="M51" s="21"/>
    </row>
    <row r="52" spans="1:14" x14ac:dyDescent="0.2">
      <c r="A52" s="21"/>
      <c r="B52" s="21"/>
      <c r="H52" s="21"/>
      <c r="I52" s="21"/>
    </row>
    <row r="63" spans="1:14" x14ac:dyDescent="0.2">
      <c r="A63" s="2"/>
    </row>
    <row r="64" spans="1:14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6"/>
    </row>
  </sheetData>
  <mergeCells count="15">
    <mergeCell ref="A12:G12"/>
    <mergeCell ref="A37:G37"/>
    <mergeCell ref="I37:O37"/>
    <mergeCell ref="A6:K6"/>
    <mergeCell ref="A22:O22"/>
    <mergeCell ref="A36:O36"/>
    <mergeCell ref="A23:G23"/>
    <mergeCell ref="I23:O23"/>
    <mergeCell ref="A9:I9"/>
    <mergeCell ref="A5:V5"/>
    <mergeCell ref="A3:K3"/>
    <mergeCell ref="A1:I1"/>
    <mergeCell ref="A4:H4"/>
    <mergeCell ref="A7:K8"/>
    <mergeCell ref="A2:N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8"/>
  <sheetViews>
    <sheetView topLeftCell="A13" workbookViewId="0">
      <selection activeCell="Q25" sqref="Q25"/>
    </sheetView>
  </sheetViews>
  <sheetFormatPr baseColWidth="10" defaultRowHeight="15" x14ac:dyDescent="0.2"/>
  <cols>
    <col min="1" max="1" width="24.6640625" customWidth="1"/>
    <col min="2" max="2" width="12.33203125" customWidth="1"/>
    <col min="3" max="7" width="9.5" bestFit="1" customWidth="1"/>
    <col min="8" max="8" width="8.5" customWidth="1"/>
    <col min="9" max="9" width="24.6640625" customWidth="1"/>
    <col min="10" max="10" width="9.1640625" bestFit="1" customWidth="1"/>
    <col min="11" max="11" width="9.5" bestFit="1" customWidth="1"/>
    <col min="12" max="12" width="9.1640625" bestFit="1" customWidth="1"/>
    <col min="13" max="17" width="9.5" bestFit="1" customWidth="1"/>
    <col min="18" max="256" width="8.83203125" customWidth="1"/>
  </cols>
  <sheetData>
    <row r="1" spans="1:22" ht="21" x14ac:dyDescent="0.25">
      <c r="A1" s="73" t="s">
        <v>30</v>
      </c>
      <c r="B1" s="73"/>
      <c r="C1" s="73"/>
      <c r="D1" s="73"/>
      <c r="E1" s="73"/>
      <c r="F1" s="73"/>
      <c r="G1" s="73"/>
      <c r="H1" s="73"/>
      <c r="I1" s="73"/>
    </row>
    <row r="2" spans="1:22" x14ac:dyDescent="0.2">
      <c r="A2" s="76" t="s">
        <v>37</v>
      </c>
      <c r="B2" s="76"/>
      <c r="C2" s="76"/>
      <c r="D2" s="76"/>
      <c r="E2" s="76"/>
      <c r="F2" s="76"/>
      <c r="G2" s="76"/>
      <c r="H2" s="76"/>
      <c r="I2" s="76"/>
      <c r="J2" s="76"/>
    </row>
    <row r="3" spans="1:22" x14ac:dyDescent="0.2">
      <c r="A3" s="72" t="s">
        <v>38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1"/>
    </row>
    <row r="4" spans="1:22" x14ac:dyDescent="0.2">
      <c r="A4" s="24" t="s">
        <v>39</v>
      </c>
      <c r="B4" s="24"/>
      <c r="C4" s="24"/>
      <c r="D4" s="24"/>
      <c r="E4" s="24"/>
      <c r="F4" s="24"/>
      <c r="G4" s="24"/>
      <c r="H4" s="24"/>
      <c r="I4" s="23"/>
      <c r="J4" s="23"/>
      <c r="K4" s="23"/>
      <c r="L4" s="1"/>
    </row>
    <row r="5" spans="1:22" x14ac:dyDescent="0.2">
      <c r="A5" s="72" t="s">
        <v>50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">
      <c r="A6" s="72" t="s">
        <v>51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x14ac:dyDescent="0.2">
      <c r="A7" s="75" t="s">
        <v>52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 x14ac:dyDescent="0.2">
      <c r="A9" s="90" t="s">
        <v>53</v>
      </c>
      <c r="B9" s="90"/>
      <c r="C9" s="90"/>
      <c r="D9" s="90"/>
      <c r="E9" s="90"/>
      <c r="F9" s="90"/>
      <c r="G9" s="90"/>
      <c r="H9" s="90"/>
      <c r="I9" s="90"/>
      <c r="J9" s="16"/>
      <c r="K9" s="16"/>
      <c r="L9" s="16"/>
      <c r="M9" s="16"/>
      <c r="N9" s="16"/>
      <c r="O9" s="1"/>
    </row>
    <row r="10" spans="1:22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"/>
    </row>
    <row r="11" spans="1:22" ht="16" thickBo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"/>
    </row>
    <row r="12" spans="1:22" ht="19" x14ac:dyDescent="0.2">
      <c r="A12" s="77" t="s">
        <v>34</v>
      </c>
      <c r="B12" s="78"/>
      <c r="C12" s="78"/>
      <c r="D12" s="78"/>
      <c r="E12" s="78"/>
      <c r="F12" s="78"/>
      <c r="G12" s="79"/>
      <c r="H12" s="1"/>
      <c r="I12" s="1"/>
      <c r="J12" s="1"/>
      <c r="K12" s="1"/>
      <c r="L12" s="1"/>
    </row>
    <row r="13" spans="1:22" ht="32" x14ac:dyDescent="0.2">
      <c r="A13" s="56" t="s">
        <v>0</v>
      </c>
      <c r="B13" s="53" t="s">
        <v>1</v>
      </c>
      <c r="C13" s="53" t="s">
        <v>2</v>
      </c>
      <c r="D13" s="53" t="s">
        <v>3</v>
      </c>
      <c r="E13" s="53" t="s">
        <v>4</v>
      </c>
      <c r="F13" s="54" t="s">
        <v>5</v>
      </c>
      <c r="G13" s="57" t="s">
        <v>6</v>
      </c>
      <c r="H13" s="1"/>
      <c r="I13" s="1"/>
      <c r="J13" s="1"/>
      <c r="K13" s="1"/>
      <c r="L13" s="1"/>
    </row>
    <row r="14" spans="1:22" x14ac:dyDescent="0.2">
      <c r="A14" s="46" t="s">
        <v>7</v>
      </c>
      <c r="B14" s="2">
        <v>196</v>
      </c>
      <c r="C14" s="3">
        <f t="shared" ref="C14:C19" si="0">B14*400</f>
        <v>78400</v>
      </c>
      <c r="D14" s="2">
        <v>2.5</v>
      </c>
      <c r="E14" s="3">
        <f t="shared" ref="E14:E19" si="1">C14*D14</f>
        <v>196000</v>
      </c>
      <c r="F14" s="18">
        <f>AVERAGE(E14:E19)</f>
        <v>199333.33333333334</v>
      </c>
      <c r="G14" s="47">
        <f>_xlfn.STDEV.S(E14:E19)</f>
        <v>16488.379746556864</v>
      </c>
      <c r="H14" s="1"/>
      <c r="I14" s="65"/>
      <c r="J14" s="1"/>
      <c r="K14" s="1"/>
      <c r="L14" s="1"/>
    </row>
    <row r="15" spans="1:22" x14ac:dyDescent="0.2">
      <c r="A15" s="46" t="s">
        <v>7</v>
      </c>
      <c r="B15" s="2">
        <v>172</v>
      </c>
      <c r="C15" s="3">
        <f t="shared" si="0"/>
        <v>68800</v>
      </c>
      <c r="D15" s="2">
        <v>2.5</v>
      </c>
      <c r="E15" s="3">
        <f t="shared" si="1"/>
        <v>172000</v>
      </c>
      <c r="F15" s="4"/>
      <c r="G15" s="35"/>
      <c r="H15" s="1"/>
      <c r="I15" s="65"/>
      <c r="J15" s="1"/>
      <c r="K15" s="1"/>
      <c r="L15" s="1"/>
    </row>
    <row r="16" spans="1:22" x14ac:dyDescent="0.2">
      <c r="A16" s="46" t="s">
        <v>7</v>
      </c>
      <c r="B16" s="2">
        <v>191</v>
      </c>
      <c r="C16" s="3">
        <f t="shared" si="0"/>
        <v>76400</v>
      </c>
      <c r="D16" s="2">
        <v>2.5</v>
      </c>
      <c r="E16" s="3">
        <f t="shared" si="1"/>
        <v>191000</v>
      </c>
      <c r="F16" s="4"/>
      <c r="G16" s="35"/>
      <c r="H16" s="1"/>
      <c r="I16" s="1"/>
      <c r="J16" s="1"/>
      <c r="K16" s="1"/>
      <c r="L16" s="1"/>
    </row>
    <row r="17" spans="1:17" x14ac:dyDescent="0.2">
      <c r="A17" s="48" t="s">
        <v>8</v>
      </c>
      <c r="B17" s="2">
        <v>212</v>
      </c>
      <c r="C17" s="3">
        <f t="shared" si="0"/>
        <v>84800</v>
      </c>
      <c r="D17" s="2">
        <v>2.5</v>
      </c>
      <c r="E17" s="3">
        <f t="shared" si="1"/>
        <v>212000</v>
      </c>
      <c r="F17" s="4"/>
      <c r="G17" s="35"/>
      <c r="H17" s="1"/>
      <c r="I17" s="1"/>
      <c r="J17" s="1"/>
      <c r="K17" s="1"/>
      <c r="L17" s="1"/>
    </row>
    <row r="18" spans="1:17" x14ac:dyDescent="0.2">
      <c r="A18" s="46" t="s">
        <v>8</v>
      </c>
      <c r="B18" s="2">
        <v>216</v>
      </c>
      <c r="C18" s="3">
        <f t="shared" si="0"/>
        <v>86400</v>
      </c>
      <c r="D18" s="2">
        <v>2.5</v>
      </c>
      <c r="E18" s="3">
        <f t="shared" si="1"/>
        <v>216000</v>
      </c>
      <c r="F18" s="4"/>
      <c r="G18" s="35"/>
      <c r="H18" s="1"/>
      <c r="I18" s="1"/>
      <c r="J18" s="1"/>
      <c r="K18" s="1"/>
      <c r="L18" s="1"/>
    </row>
    <row r="19" spans="1:17" ht="16" thickBot="1" x14ac:dyDescent="0.25">
      <c r="A19" s="49" t="s">
        <v>8</v>
      </c>
      <c r="B19" s="40">
        <v>209</v>
      </c>
      <c r="C19" s="39">
        <f t="shared" si="0"/>
        <v>83600</v>
      </c>
      <c r="D19" s="40">
        <v>2.5</v>
      </c>
      <c r="E19" s="39">
        <f t="shared" si="1"/>
        <v>209000</v>
      </c>
      <c r="F19" s="50"/>
      <c r="G19" s="51"/>
      <c r="H19" s="1"/>
      <c r="I19" s="1"/>
      <c r="J19" s="1"/>
      <c r="K19" s="1"/>
      <c r="L19" s="1"/>
    </row>
    <row r="20" spans="1:17" x14ac:dyDescent="0.2">
      <c r="A20" s="29"/>
      <c r="B20" s="2"/>
      <c r="C20" s="3"/>
      <c r="D20" s="2"/>
      <c r="E20" s="3"/>
      <c r="F20" s="3"/>
      <c r="G20" s="3"/>
      <c r="H20" s="1"/>
      <c r="I20" s="1"/>
      <c r="J20" s="1"/>
      <c r="K20" s="1"/>
      <c r="L20" s="1"/>
    </row>
    <row r="21" spans="1:17" ht="16" thickBo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ht="19" x14ac:dyDescent="0.25">
      <c r="A22" s="86" t="s">
        <v>35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8"/>
    </row>
    <row r="23" spans="1:17" ht="16" x14ac:dyDescent="0.2">
      <c r="A23" s="80" t="s">
        <v>25</v>
      </c>
      <c r="B23" s="81"/>
      <c r="C23" s="81"/>
      <c r="D23" s="81"/>
      <c r="E23" s="81"/>
      <c r="F23" s="81"/>
      <c r="G23" s="82"/>
      <c r="H23" s="2"/>
      <c r="I23" s="83" t="s">
        <v>26</v>
      </c>
      <c r="J23" s="84"/>
      <c r="K23" s="84"/>
      <c r="L23" s="84"/>
      <c r="M23" s="84"/>
      <c r="N23" s="84"/>
      <c r="O23" s="85"/>
    </row>
    <row r="24" spans="1:17" ht="32" x14ac:dyDescent="0.2">
      <c r="A24" s="56" t="s">
        <v>0</v>
      </c>
      <c r="B24" s="53" t="s">
        <v>1</v>
      </c>
      <c r="C24" s="53" t="s">
        <v>2</v>
      </c>
      <c r="D24" s="53" t="s">
        <v>3</v>
      </c>
      <c r="E24" s="53" t="s">
        <v>4</v>
      </c>
      <c r="F24" s="54" t="s">
        <v>5</v>
      </c>
      <c r="G24" s="55" t="s">
        <v>6</v>
      </c>
      <c r="H24" s="2"/>
      <c r="I24" s="52" t="s">
        <v>0</v>
      </c>
      <c r="J24" s="53" t="s">
        <v>1</v>
      </c>
      <c r="K24" s="53" t="s">
        <v>2</v>
      </c>
      <c r="L24" s="53" t="s">
        <v>3</v>
      </c>
      <c r="M24" s="53" t="s">
        <v>4</v>
      </c>
      <c r="N24" s="54" t="s">
        <v>5</v>
      </c>
      <c r="O24" s="57" t="s">
        <v>6</v>
      </c>
      <c r="P24" s="21"/>
      <c r="Q24" s="21"/>
    </row>
    <row r="25" spans="1:17" x14ac:dyDescent="0.2">
      <c r="A25" s="62" t="s">
        <v>40</v>
      </c>
      <c r="B25" s="7">
        <v>457</v>
      </c>
      <c r="C25" s="58">
        <f>B25*400</f>
        <v>182800</v>
      </c>
      <c r="D25" s="2">
        <v>2.5</v>
      </c>
      <c r="E25" s="58">
        <f>C25*D25</f>
        <v>457000</v>
      </c>
      <c r="F25" s="4">
        <f>AVERAGE(E25:E33)</f>
        <v>470444.44444444444</v>
      </c>
      <c r="G25" s="60">
        <f>_xlfn.STDEV.S(E25:E33)</f>
        <v>27286.036314895169</v>
      </c>
      <c r="H25" s="2"/>
      <c r="I25" s="25" t="s">
        <v>43</v>
      </c>
      <c r="J25" s="26">
        <v>375</v>
      </c>
      <c r="K25" s="27">
        <f>J25*400</f>
        <v>150000</v>
      </c>
      <c r="L25" s="2">
        <v>2.5</v>
      </c>
      <c r="M25" s="27">
        <f>K25*L25</f>
        <v>375000</v>
      </c>
      <c r="N25" s="28">
        <f>AVERAGE(M25:M33)</f>
        <v>368000</v>
      </c>
      <c r="O25" s="34">
        <f>_xlfn.STDEV.S(M25:M33)</f>
        <v>20137.030565602268</v>
      </c>
      <c r="P25" s="21"/>
      <c r="Q25" s="21"/>
    </row>
    <row r="26" spans="1:17" x14ac:dyDescent="0.2">
      <c r="A26" s="62" t="s">
        <v>40</v>
      </c>
      <c r="B26" s="7">
        <v>515</v>
      </c>
      <c r="C26" s="58">
        <f>B26*400</f>
        <v>206000</v>
      </c>
      <c r="D26" s="2">
        <v>2.5</v>
      </c>
      <c r="E26" s="58">
        <f>C26*D26</f>
        <v>515000</v>
      </c>
      <c r="F26" s="3"/>
      <c r="G26" s="5"/>
      <c r="H26" s="2"/>
      <c r="I26" s="25" t="s">
        <v>43</v>
      </c>
      <c r="J26" s="26">
        <v>394</v>
      </c>
      <c r="K26" s="27">
        <f>J26*400</f>
        <v>157600</v>
      </c>
      <c r="L26" s="2">
        <v>2.5</v>
      </c>
      <c r="M26" s="27">
        <f>K26*L26</f>
        <v>394000</v>
      </c>
      <c r="N26" s="3"/>
      <c r="O26" s="35"/>
    </row>
    <row r="27" spans="1:17" x14ac:dyDescent="0.2">
      <c r="A27" s="62" t="s">
        <v>40</v>
      </c>
      <c r="B27" s="7">
        <v>492</v>
      </c>
      <c r="C27" s="58">
        <f>B27*400</f>
        <v>196800</v>
      </c>
      <c r="D27" s="2">
        <v>2.5</v>
      </c>
      <c r="E27" s="58">
        <f>C27*D27</f>
        <v>492000</v>
      </c>
      <c r="F27" s="3"/>
      <c r="G27" s="5"/>
      <c r="H27" s="2"/>
      <c r="I27" s="25" t="s">
        <v>43</v>
      </c>
      <c r="J27" s="26">
        <v>378</v>
      </c>
      <c r="K27" s="27">
        <f>J27*400</f>
        <v>151200</v>
      </c>
      <c r="L27" s="2">
        <v>2.5</v>
      </c>
      <c r="M27" s="27">
        <f>K27*L27</f>
        <v>378000</v>
      </c>
      <c r="N27" s="3"/>
      <c r="O27" s="35"/>
    </row>
    <row r="28" spans="1:17" x14ac:dyDescent="0.2">
      <c r="A28" s="63" t="s">
        <v>41</v>
      </c>
      <c r="B28" s="7">
        <v>476</v>
      </c>
      <c r="C28" s="58">
        <f t="shared" ref="C28:C33" si="2">B28*400</f>
        <v>190400</v>
      </c>
      <c r="D28" s="2">
        <v>2.5</v>
      </c>
      <c r="E28" s="58">
        <f t="shared" ref="E28:E33" si="3">C28*D28</f>
        <v>476000</v>
      </c>
      <c r="F28" s="3"/>
      <c r="G28" s="5"/>
      <c r="H28" s="2"/>
      <c r="I28" s="30" t="s">
        <v>44</v>
      </c>
      <c r="J28" s="26">
        <v>376</v>
      </c>
      <c r="K28" s="27">
        <f t="shared" ref="K28:K33" si="4">J28*400</f>
        <v>150400</v>
      </c>
      <c r="L28" s="2">
        <v>2.5</v>
      </c>
      <c r="M28" s="27">
        <f t="shared" ref="M28:M33" si="5">K28*L28</f>
        <v>376000</v>
      </c>
      <c r="N28" s="3"/>
      <c r="O28" s="35"/>
    </row>
    <row r="29" spans="1:17" ht="16" x14ac:dyDescent="0.2">
      <c r="A29" s="62" t="s">
        <v>41</v>
      </c>
      <c r="B29" s="7">
        <v>437</v>
      </c>
      <c r="C29" s="58">
        <f t="shared" si="2"/>
        <v>174800</v>
      </c>
      <c r="D29" s="2">
        <v>2.5</v>
      </c>
      <c r="E29" s="58">
        <f t="shared" si="3"/>
        <v>437000</v>
      </c>
      <c r="G29" s="31"/>
      <c r="I29" s="25" t="s">
        <v>44</v>
      </c>
      <c r="J29" s="26">
        <v>357</v>
      </c>
      <c r="K29" s="27">
        <f t="shared" si="4"/>
        <v>142800</v>
      </c>
      <c r="L29" s="2">
        <v>2.5</v>
      </c>
      <c r="M29" s="27">
        <f t="shared" si="5"/>
        <v>357000</v>
      </c>
      <c r="N29" s="17"/>
      <c r="O29" s="36"/>
    </row>
    <row r="30" spans="1:17" x14ac:dyDescent="0.2">
      <c r="A30" s="62" t="s">
        <v>41</v>
      </c>
      <c r="B30" s="7">
        <v>495</v>
      </c>
      <c r="C30" s="58">
        <f t="shared" si="2"/>
        <v>198000</v>
      </c>
      <c r="D30" s="2">
        <v>2.5</v>
      </c>
      <c r="E30" s="58">
        <f t="shared" si="3"/>
        <v>495000</v>
      </c>
      <c r="F30" s="2"/>
      <c r="G30" s="32"/>
      <c r="H30" s="2"/>
      <c r="I30" s="25" t="s">
        <v>44</v>
      </c>
      <c r="J30" s="26">
        <v>330</v>
      </c>
      <c r="K30" s="27">
        <f t="shared" si="4"/>
        <v>132000</v>
      </c>
      <c r="L30" s="2">
        <v>2.5</v>
      </c>
      <c r="M30" s="27">
        <f t="shared" si="5"/>
        <v>330000</v>
      </c>
      <c r="O30" s="37"/>
    </row>
    <row r="31" spans="1:17" x14ac:dyDescent="0.2">
      <c r="A31" s="63" t="s">
        <v>42</v>
      </c>
      <c r="B31" s="7">
        <v>435</v>
      </c>
      <c r="C31" s="58">
        <f t="shared" si="2"/>
        <v>174000</v>
      </c>
      <c r="D31" s="2">
        <v>2.5</v>
      </c>
      <c r="E31" s="58">
        <f t="shared" si="3"/>
        <v>435000</v>
      </c>
      <c r="F31" s="3"/>
      <c r="G31" s="33"/>
      <c r="H31" s="8"/>
      <c r="I31" s="30" t="s">
        <v>45</v>
      </c>
      <c r="J31" s="26">
        <v>363</v>
      </c>
      <c r="K31" s="27">
        <f t="shared" si="4"/>
        <v>145200</v>
      </c>
      <c r="L31" s="2">
        <v>2.5</v>
      </c>
      <c r="M31" s="27">
        <f t="shared" si="5"/>
        <v>363000</v>
      </c>
      <c r="O31" s="37"/>
    </row>
    <row r="32" spans="1:17" x14ac:dyDescent="0.2">
      <c r="A32" s="62" t="s">
        <v>42</v>
      </c>
      <c r="B32" s="7">
        <v>474</v>
      </c>
      <c r="C32" s="58">
        <f t="shared" si="2"/>
        <v>189600</v>
      </c>
      <c r="D32" s="2">
        <v>2.5</v>
      </c>
      <c r="E32" s="58">
        <f t="shared" si="3"/>
        <v>474000</v>
      </c>
      <c r="F32" s="3"/>
      <c r="G32" s="5"/>
      <c r="H32" s="3"/>
      <c r="I32" s="25" t="s">
        <v>45</v>
      </c>
      <c r="J32" s="26">
        <v>350</v>
      </c>
      <c r="K32" s="27">
        <f t="shared" si="4"/>
        <v>140000</v>
      </c>
      <c r="L32" s="2">
        <v>2.5</v>
      </c>
      <c r="M32" s="27">
        <f t="shared" si="5"/>
        <v>350000</v>
      </c>
      <c r="O32" s="37"/>
    </row>
    <row r="33" spans="1:16" ht="16" thickBot="1" x14ac:dyDescent="0.25">
      <c r="A33" s="64" t="s">
        <v>42</v>
      </c>
      <c r="B33" s="38">
        <v>453</v>
      </c>
      <c r="C33" s="59">
        <f t="shared" si="2"/>
        <v>181200</v>
      </c>
      <c r="D33" s="40">
        <v>2.5</v>
      </c>
      <c r="E33" s="59">
        <f t="shared" si="3"/>
        <v>453000</v>
      </c>
      <c r="F33" s="39"/>
      <c r="G33" s="41"/>
      <c r="H33" s="39"/>
      <c r="I33" s="42" t="s">
        <v>45</v>
      </c>
      <c r="J33" s="61">
        <v>389</v>
      </c>
      <c r="K33" s="44">
        <f t="shared" si="4"/>
        <v>155600</v>
      </c>
      <c r="L33" s="40">
        <v>2.5</v>
      </c>
      <c r="M33" s="44">
        <f t="shared" si="5"/>
        <v>389000</v>
      </c>
      <c r="N33" s="43"/>
      <c r="O33" s="45"/>
    </row>
    <row r="35" spans="1:16" ht="16" thickBot="1" x14ac:dyDescent="0.25"/>
    <row r="36" spans="1:16" ht="19" x14ac:dyDescent="0.25">
      <c r="A36" s="86" t="s">
        <v>48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8"/>
    </row>
    <row r="37" spans="1:16" ht="16" x14ac:dyDescent="0.2">
      <c r="A37" s="80" t="s">
        <v>28</v>
      </c>
      <c r="B37" s="81"/>
      <c r="C37" s="81"/>
      <c r="D37" s="81"/>
      <c r="E37" s="81"/>
      <c r="F37" s="81"/>
      <c r="G37" s="82"/>
      <c r="H37" s="2"/>
      <c r="I37" s="83" t="s">
        <v>27</v>
      </c>
      <c r="J37" s="84"/>
      <c r="K37" s="84"/>
      <c r="L37" s="84"/>
      <c r="M37" s="84"/>
      <c r="N37" s="84"/>
      <c r="O37" s="85"/>
    </row>
    <row r="38" spans="1:16" ht="32" x14ac:dyDescent="0.2">
      <c r="A38" s="56" t="s">
        <v>0</v>
      </c>
      <c r="B38" s="53" t="s">
        <v>1</v>
      </c>
      <c r="C38" s="53" t="s">
        <v>2</v>
      </c>
      <c r="D38" s="53" t="s">
        <v>3</v>
      </c>
      <c r="E38" s="53" t="s">
        <v>4</v>
      </c>
      <c r="F38" s="54" t="s">
        <v>5</v>
      </c>
      <c r="G38" s="55" t="s">
        <v>6</v>
      </c>
      <c r="H38" s="2"/>
      <c r="I38" s="52" t="s">
        <v>0</v>
      </c>
      <c r="J38" s="53" t="s">
        <v>1</v>
      </c>
      <c r="K38" s="53" t="s">
        <v>2</v>
      </c>
      <c r="L38" s="53" t="s">
        <v>3</v>
      </c>
      <c r="M38" s="53" t="s">
        <v>4</v>
      </c>
      <c r="N38" s="54" t="s">
        <v>5</v>
      </c>
      <c r="O38" s="57" t="s">
        <v>6</v>
      </c>
    </row>
    <row r="39" spans="1:16" x14ac:dyDescent="0.2">
      <c r="A39" s="62" t="s">
        <v>22</v>
      </c>
      <c r="B39" s="7">
        <v>813</v>
      </c>
      <c r="C39" s="58">
        <f>B39*400</f>
        <v>325200</v>
      </c>
      <c r="D39" s="2">
        <v>2.5</v>
      </c>
      <c r="E39" s="58">
        <f>C39*D39</f>
        <v>813000</v>
      </c>
      <c r="F39" s="4">
        <f>AVERAGE(E39:E47)</f>
        <v>799888.88888888888</v>
      </c>
      <c r="G39" s="60">
        <f>_xlfn.STDEV.S(E39:E47)</f>
        <v>49607.067148856026</v>
      </c>
      <c r="H39" s="2"/>
      <c r="I39" s="25" t="s">
        <v>19</v>
      </c>
      <c r="J39" s="26">
        <v>278</v>
      </c>
      <c r="K39" s="27">
        <f>J39*400</f>
        <v>111200</v>
      </c>
      <c r="L39" s="2">
        <v>2.5</v>
      </c>
      <c r="M39" s="27">
        <f>K39*L39</f>
        <v>278000</v>
      </c>
      <c r="N39" s="28">
        <f>AVERAGE(M39:M47)</f>
        <v>271888.88888888888</v>
      </c>
      <c r="O39" s="34">
        <f>_xlfn.STDEV.S(M39:M47)</f>
        <v>7184.0873540841021</v>
      </c>
      <c r="P39" s="21"/>
    </row>
    <row r="40" spans="1:16" x14ac:dyDescent="0.2">
      <c r="A40" s="62" t="s">
        <v>22</v>
      </c>
      <c r="B40" s="7">
        <v>822</v>
      </c>
      <c r="C40" s="58">
        <f>B40*400</f>
        <v>328800</v>
      </c>
      <c r="D40" s="2">
        <v>2.5</v>
      </c>
      <c r="E40" s="58">
        <f>C40*D40</f>
        <v>822000</v>
      </c>
      <c r="F40" s="3"/>
      <c r="G40" s="5"/>
      <c r="H40" s="2"/>
      <c r="I40" s="25" t="s">
        <v>19</v>
      </c>
      <c r="J40" s="26">
        <v>273</v>
      </c>
      <c r="K40" s="27">
        <f>J40*400</f>
        <v>109200</v>
      </c>
      <c r="L40" s="2">
        <v>2.5</v>
      </c>
      <c r="M40" s="27">
        <f>K40*L40</f>
        <v>273000</v>
      </c>
      <c r="N40" s="3"/>
      <c r="O40" s="35"/>
      <c r="P40" s="21"/>
    </row>
    <row r="41" spans="1:16" x14ac:dyDescent="0.2">
      <c r="A41" s="62" t="s">
        <v>22</v>
      </c>
      <c r="B41" s="7">
        <v>824</v>
      </c>
      <c r="C41" s="58">
        <f>B41*400</f>
        <v>329600</v>
      </c>
      <c r="D41" s="2">
        <v>2.5</v>
      </c>
      <c r="E41" s="58">
        <f>C41*D41</f>
        <v>824000</v>
      </c>
      <c r="F41" s="3"/>
      <c r="G41" s="5"/>
      <c r="H41" s="2"/>
      <c r="I41" s="25" t="s">
        <v>19</v>
      </c>
      <c r="J41" s="26">
        <v>263</v>
      </c>
      <c r="K41" s="27">
        <f>J41*400</f>
        <v>105200</v>
      </c>
      <c r="L41" s="2">
        <v>2.5</v>
      </c>
      <c r="M41" s="27">
        <f>K41*L41</f>
        <v>263000</v>
      </c>
      <c r="N41" s="3"/>
      <c r="O41" s="35"/>
    </row>
    <row r="42" spans="1:16" x14ac:dyDescent="0.2">
      <c r="A42" s="63" t="s">
        <v>23</v>
      </c>
      <c r="B42" s="7">
        <v>728</v>
      </c>
      <c r="C42" s="58">
        <f t="shared" ref="C42:C47" si="6">B42*400</f>
        <v>291200</v>
      </c>
      <c r="D42" s="2">
        <v>2.5</v>
      </c>
      <c r="E42" s="58">
        <f t="shared" ref="E42:E47" si="7">C42*D42</f>
        <v>728000</v>
      </c>
      <c r="F42" s="3"/>
      <c r="G42" s="5"/>
      <c r="H42" s="2"/>
      <c r="I42" s="30" t="s">
        <v>20</v>
      </c>
      <c r="J42" s="26">
        <v>284</v>
      </c>
      <c r="K42" s="27">
        <f t="shared" ref="K42:K47" si="8">J42*400</f>
        <v>113600</v>
      </c>
      <c r="L42" s="2">
        <v>2.5</v>
      </c>
      <c r="M42" s="27">
        <f t="shared" ref="M42:M47" si="9">K42*L42</f>
        <v>284000</v>
      </c>
      <c r="N42" s="3"/>
      <c r="O42" s="35"/>
    </row>
    <row r="43" spans="1:16" ht="16" x14ac:dyDescent="0.2">
      <c r="A43" s="62" t="s">
        <v>23</v>
      </c>
      <c r="B43" s="7">
        <v>774</v>
      </c>
      <c r="C43" s="58">
        <f t="shared" si="6"/>
        <v>309600</v>
      </c>
      <c r="D43" s="2">
        <v>2.5</v>
      </c>
      <c r="E43" s="58">
        <f t="shared" si="7"/>
        <v>774000</v>
      </c>
      <c r="G43" s="31"/>
      <c r="I43" s="25" t="s">
        <v>20</v>
      </c>
      <c r="J43" s="26">
        <v>274</v>
      </c>
      <c r="K43" s="27">
        <f t="shared" si="8"/>
        <v>109600</v>
      </c>
      <c r="L43" s="2">
        <v>2.5</v>
      </c>
      <c r="M43" s="27">
        <f t="shared" si="9"/>
        <v>274000</v>
      </c>
      <c r="N43" s="17"/>
      <c r="O43" s="36"/>
    </row>
    <row r="44" spans="1:16" x14ac:dyDescent="0.2">
      <c r="A44" s="62" t="s">
        <v>23</v>
      </c>
      <c r="B44" s="7">
        <v>758</v>
      </c>
      <c r="C44" s="58">
        <f t="shared" si="6"/>
        <v>303200</v>
      </c>
      <c r="D44" s="2">
        <v>2.5</v>
      </c>
      <c r="E44" s="58">
        <f t="shared" si="7"/>
        <v>758000</v>
      </c>
      <c r="F44" s="2"/>
      <c r="G44" s="32"/>
      <c r="H44" s="2"/>
      <c r="I44" s="25" t="s">
        <v>20</v>
      </c>
      <c r="J44" s="26">
        <v>268</v>
      </c>
      <c r="K44" s="27">
        <f t="shared" si="8"/>
        <v>107200</v>
      </c>
      <c r="L44" s="2">
        <v>2.5</v>
      </c>
      <c r="M44" s="27">
        <f t="shared" si="9"/>
        <v>268000</v>
      </c>
      <c r="O44" s="37"/>
    </row>
    <row r="45" spans="1:16" x14ac:dyDescent="0.2">
      <c r="A45" s="63" t="s">
        <v>24</v>
      </c>
      <c r="B45" s="7">
        <v>751</v>
      </c>
      <c r="C45" s="58">
        <f t="shared" si="6"/>
        <v>300400</v>
      </c>
      <c r="D45" s="2">
        <v>2.5</v>
      </c>
      <c r="E45" s="58">
        <f t="shared" si="7"/>
        <v>751000</v>
      </c>
      <c r="F45" s="3"/>
      <c r="G45" s="33"/>
      <c r="H45" s="8"/>
      <c r="I45" s="30" t="s">
        <v>21</v>
      </c>
      <c r="J45" s="26">
        <v>263</v>
      </c>
      <c r="K45" s="27">
        <f t="shared" si="8"/>
        <v>105200</v>
      </c>
      <c r="L45" s="2">
        <v>2.5</v>
      </c>
      <c r="M45" s="27">
        <f t="shared" si="9"/>
        <v>263000</v>
      </c>
      <c r="O45" s="37"/>
    </row>
    <row r="46" spans="1:16" x14ac:dyDescent="0.2">
      <c r="A46" s="62" t="s">
        <v>24</v>
      </c>
      <c r="B46" s="7">
        <v>857</v>
      </c>
      <c r="C46" s="58">
        <f t="shared" si="6"/>
        <v>342800</v>
      </c>
      <c r="D46" s="2">
        <v>2.5</v>
      </c>
      <c r="E46" s="58">
        <f t="shared" si="7"/>
        <v>857000</v>
      </c>
      <c r="F46" s="3"/>
      <c r="G46" s="5"/>
      <c r="H46" s="3"/>
      <c r="I46" s="25" t="s">
        <v>21</v>
      </c>
      <c r="J46" s="26">
        <v>277</v>
      </c>
      <c r="K46" s="27">
        <f t="shared" si="8"/>
        <v>110800</v>
      </c>
      <c r="L46" s="2">
        <v>2.5</v>
      </c>
      <c r="M46" s="27">
        <f t="shared" si="9"/>
        <v>277000</v>
      </c>
      <c r="O46" s="37"/>
    </row>
    <row r="47" spans="1:16" ht="16" thickBot="1" x14ac:dyDescent="0.25">
      <c r="A47" s="64" t="s">
        <v>24</v>
      </c>
      <c r="B47" s="38">
        <v>872</v>
      </c>
      <c r="C47" s="59">
        <f t="shared" si="6"/>
        <v>348800</v>
      </c>
      <c r="D47" s="40">
        <v>2.5</v>
      </c>
      <c r="E47" s="59">
        <f t="shared" si="7"/>
        <v>872000</v>
      </c>
      <c r="F47" s="39"/>
      <c r="G47" s="41"/>
      <c r="H47" s="39"/>
      <c r="I47" s="42" t="s">
        <v>21</v>
      </c>
      <c r="J47" s="61">
        <v>267</v>
      </c>
      <c r="K47" s="44">
        <f t="shared" si="8"/>
        <v>106800</v>
      </c>
      <c r="L47" s="40">
        <v>2.5</v>
      </c>
      <c r="M47" s="44">
        <f t="shared" si="9"/>
        <v>267000</v>
      </c>
      <c r="N47" s="43"/>
      <c r="O47" s="45"/>
    </row>
    <row r="48" spans="1:16" x14ac:dyDescent="0.2">
      <c r="A48" s="10"/>
      <c r="B48" s="19"/>
      <c r="C48" s="11"/>
      <c r="D48" s="9"/>
      <c r="E48" s="9"/>
    </row>
    <row r="49" spans="1:13" x14ac:dyDescent="0.2">
      <c r="A49" s="20"/>
      <c r="B49" s="15"/>
      <c r="C49" s="12"/>
      <c r="D49" s="9"/>
      <c r="E49" s="9"/>
      <c r="F49" s="21"/>
      <c r="G49" s="21"/>
      <c r="M49" s="21"/>
    </row>
    <row r="50" spans="1:13" x14ac:dyDescent="0.2">
      <c r="A50" s="10"/>
      <c r="B50" s="15"/>
      <c r="C50" s="11"/>
      <c r="D50" s="9"/>
      <c r="E50" s="9"/>
      <c r="F50" s="21"/>
      <c r="J50" s="21"/>
      <c r="L50" s="21"/>
      <c r="M50" s="21"/>
    </row>
    <row r="51" spans="1:13" x14ac:dyDescent="0.2">
      <c r="A51" s="22"/>
      <c r="B51" s="13"/>
      <c r="C51" s="14"/>
      <c r="J51" s="21"/>
    </row>
    <row r="52" spans="1:13" x14ac:dyDescent="0.2">
      <c r="A52" s="21"/>
      <c r="B52" s="21"/>
    </row>
    <row r="63" spans="1:13" x14ac:dyDescent="0.2">
      <c r="A63" s="2"/>
    </row>
    <row r="64" spans="1:13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6"/>
    </row>
  </sheetData>
  <mergeCells count="14">
    <mergeCell ref="A37:G37"/>
    <mergeCell ref="I37:O37"/>
    <mergeCell ref="A22:O22"/>
    <mergeCell ref="A36:O36"/>
    <mergeCell ref="A7:K8"/>
    <mergeCell ref="A12:G12"/>
    <mergeCell ref="A23:G23"/>
    <mergeCell ref="I23:O23"/>
    <mergeCell ref="A9:I9"/>
    <mergeCell ref="A1:I1"/>
    <mergeCell ref="A2:J2"/>
    <mergeCell ref="A3:K3"/>
    <mergeCell ref="A5:V5"/>
    <mergeCell ref="A6:K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6"/>
  <sheetViews>
    <sheetView topLeftCell="A8" workbookViewId="0">
      <selection activeCell="G50" sqref="G50"/>
    </sheetView>
  </sheetViews>
  <sheetFormatPr baseColWidth="10" defaultRowHeight="15" x14ac:dyDescent="0.2"/>
  <cols>
    <col min="1" max="1" width="24.6640625" customWidth="1"/>
    <col min="2" max="2" width="12.33203125" customWidth="1"/>
    <col min="3" max="7" width="9.5" bestFit="1" customWidth="1"/>
    <col min="8" max="8" width="8.5" customWidth="1"/>
    <col min="9" max="9" width="24.6640625" customWidth="1"/>
    <col min="10" max="10" width="9.1640625" bestFit="1" customWidth="1"/>
    <col min="11" max="17" width="9.5" bestFit="1" customWidth="1"/>
    <col min="18" max="256" width="8.83203125" customWidth="1"/>
  </cols>
  <sheetData>
    <row r="1" spans="1:22" ht="21" x14ac:dyDescent="0.25">
      <c r="A1" s="73" t="s">
        <v>30</v>
      </c>
      <c r="B1" s="73"/>
      <c r="C1" s="73"/>
      <c r="D1" s="73"/>
      <c r="E1" s="73"/>
      <c r="F1" s="73"/>
      <c r="G1" s="73"/>
      <c r="H1" s="73"/>
      <c r="I1" s="73"/>
    </row>
    <row r="2" spans="1:22" x14ac:dyDescent="0.2">
      <c r="A2" s="76" t="s">
        <v>64</v>
      </c>
      <c r="B2" s="76"/>
      <c r="C2" s="76"/>
      <c r="D2" s="76"/>
      <c r="E2" s="76"/>
      <c r="F2" s="76"/>
      <c r="G2" s="76"/>
      <c r="H2" s="76"/>
      <c r="I2" s="76"/>
      <c r="J2" s="76"/>
    </row>
    <row r="3" spans="1:22" x14ac:dyDescent="0.2">
      <c r="A3" s="72" t="s">
        <v>63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22" x14ac:dyDescent="0.2">
      <c r="A4" s="74" t="s">
        <v>65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1"/>
    </row>
    <row r="5" spans="1:22" x14ac:dyDescent="0.2">
      <c r="A5" s="72" t="s">
        <v>66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">
      <c r="A6" s="72" t="s">
        <v>67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ht="15" customHeight="1" x14ac:dyDescent="0.2">
      <c r="A7" s="90" t="s">
        <v>69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16"/>
      <c r="M7" s="16"/>
      <c r="N7" s="16"/>
      <c r="O7" s="1"/>
    </row>
    <row r="8" spans="1:22" x14ac:dyDescent="0.2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16"/>
      <c r="M8" s="16"/>
      <c r="N8" s="16"/>
      <c r="O8" s="1"/>
    </row>
    <row r="9" spans="1:22" ht="16" thickBo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"/>
    </row>
    <row r="10" spans="1:22" ht="19" x14ac:dyDescent="0.2">
      <c r="A10" s="77" t="s">
        <v>46</v>
      </c>
      <c r="B10" s="78"/>
      <c r="C10" s="78"/>
      <c r="D10" s="78"/>
      <c r="E10" s="78"/>
      <c r="F10" s="78"/>
      <c r="G10" s="79"/>
      <c r="H10" s="1"/>
      <c r="I10" s="1"/>
      <c r="J10" s="1"/>
      <c r="K10" s="1"/>
      <c r="L10" s="1"/>
    </row>
    <row r="11" spans="1:22" ht="32" x14ac:dyDescent="0.2">
      <c r="A11" s="56" t="s">
        <v>0</v>
      </c>
      <c r="B11" s="53" t="s">
        <v>1</v>
      </c>
      <c r="C11" s="53" t="s">
        <v>2</v>
      </c>
      <c r="D11" s="53" t="s">
        <v>3</v>
      </c>
      <c r="E11" s="53" t="s">
        <v>4</v>
      </c>
      <c r="F11" s="54" t="s">
        <v>5</v>
      </c>
      <c r="G11" s="57" t="s">
        <v>6</v>
      </c>
      <c r="H11" s="1"/>
      <c r="I11" s="1"/>
      <c r="J11" s="1"/>
      <c r="K11" s="1"/>
      <c r="L11" s="65"/>
    </row>
    <row r="12" spans="1:22" x14ac:dyDescent="0.2">
      <c r="A12" s="46" t="s">
        <v>7</v>
      </c>
      <c r="B12" s="2">
        <v>270</v>
      </c>
      <c r="C12" s="3">
        <f t="shared" ref="C12:C17" si="0">B12*400</f>
        <v>108000</v>
      </c>
      <c r="D12" s="2">
        <v>2.5</v>
      </c>
      <c r="E12" s="3">
        <f t="shared" ref="E12:E17" si="1">C12*D12</f>
        <v>270000</v>
      </c>
      <c r="F12" s="18">
        <f>AVERAGE(E12:E17)</f>
        <v>272666.66666666669</v>
      </c>
      <c r="G12" s="47">
        <f>_xlfn.STDEV.S(E12:E17)</f>
        <v>13291.601358251257</v>
      </c>
      <c r="H12" s="1"/>
      <c r="I12" s="1"/>
      <c r="J12" s="1"/>
      <c r="K12" s="1"/>
      <c r="L12" s="1"/>
    </row>
    <row r="13" spans="1:22" x14ac:dyDescent="0.2">
      <c r="A13" s="46" t="s">
        <v>7</v>
      </c>
      <c r="B13" s="2">
        <v>253</v>
      </c>
      <c r="C13" s="3">
        <f t="shared" si="0"/>
        <v>101200</v>
      </c>
      <c r="D13" s="2">
        <v>2.5</v>
      </c>
      <c r="E13" s="3">
        <f t="shared" si="1"/>
        <v>253000</v>
      </c>
      <c r="F13" s="4"/>
      <c r="G13" s="35"/>
      <c r="H13" s="1"/>
      <c r="I13" s="1"/>
      <c r="J13" s="1"/>
      <c r="K13" s="1"/>
      <c r="L13" s="1"/>
    </row>
    <row r="14" spans="1:22" x14ac:dyDescent="0.2">
      <c r="A14" s="46" t="s">
        <v>7</v>
      </c>
      <c r="B14" s="2">
        <v>286</v>
      </c>
      <c r="C14" s="3">
        <f t="shared" si="0"/>
        <v>114400</v>
      </c>
      <c r="D14" s="2">
        <v>2.5</v>
      </c>
      <c r="E14" s="3">
        <f t="shared" si="1"/>
        <v>286000</v>
      </c>
      <c r="F14" s="4"/>
      <c r="G14" s="35"/>
      <c r="H14" s="1"/>
      <c r="I14" s="65"/>
      <c r="J14" s="1"/>
      <c r="K14" s="1"/>
      <c r="L14" s="1"/>
    </row>
    <row r="15" spans="1:22" x14ac:dyDescent="0.2">
      <c r="A15" s="48" t="s">
        <v>8</v>
      </c>
      <c r="B15" s="2">
        <v>281</v>
      </c>
      <c r="C15" s="3">
        <f t="shared" si="0"/>
        <v>112400</v>
      </c>
      <c r="D15" s="2">
        <v>2.5</v>
      </c>
      <c r="E15" s="3">
        <f t="shared" si="1"/>
        <v>281000</v>
      </c>
      <c r="F15" s="4"/>
      <c r="G15" s="35"/>
      <c r="H15" s="1"/>
      <c r="I15" s="1"/>
      <c r="J15" s="1"/>
      <c r="K15" s="1"/>
      <c r="L15" s="1"/>
    </row>
    <row r="16" spans="1:22" x14ac:dyDescent="0.2">
      <c r="A16" s="46" t="s">
        <v>8</v>
      </c>
      <c r="B16" s="2">
        <v>284</v>
      </c>
      <c r="C16" s="3">
        <f t="shared" si="0"/>
        <v>113600</v>
      </c>
      <c r="D16" s="2">
        <v>2.5</v>
      </c>
      <c r="E16" s="3">
        <f t="shared" si="1"/>
        <v>284000</v>
      </c>
      <c r="F16" s="4"/>
      <c r="G16" s="35"/>
      <c r="H16" s="1"/>
      <c r="I16" s="1"/>
      <c r="J16" s="1"/>
      <c r="K16" s="1"/>
      <c r="L16" s="1"/>
    </row>
    <row r="17" spans="1:17" ht="16" thickBot="1" x14ac:dyDescent="0.25">
      <c r="A17" s="49" t="s">
        <v>8</v>
      </c>
      <c r="B17" s="40">
        <v>262</v>
      </c>
      <c r="C17" s="39">
        <f t="shared" si="0"/>
        <v>104800</v>
      </c>
      <c r="D17" s="40">
        <v>2.5</v>
      </c>
      <c r="E17" s="39">
        <f t="shared" si="1"/>
        <v>262000</v>
      </c>
      <c r="F17" s="50"/>
      <c r="G17" s="51"/>
      <c r="H17" s="1"/>
      <c r="I17" s="1"/>
      <c r="J17" s="1"/>
      <c r="K17" s="1"/>
      <c r="L17" s="1"/>
    </row>
    <row r="18" spans="1:17" x14ac:dyDescent="0.2">
      <c r="A18" s="29"/>
      <c r="B18" s="2"/>
      <c r="C18" s="3"/>
      <c r="D18" s="2"/>
      <c r="E18" s="3"/>
      <c r="F18" s="3"/>
      <c r="G18" s="3"/>
      <c r="H18" s="1"/>
      <c r="I18" s="1"/>
      <c r="J18" s="1"/>
      <c r="K18" s="1"/>
      <c r="L18" s="1"/>
    </row>
    <row r="19" spans="1:17" ht="16" thickBo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7" ht="19" x14ac:dyDescent="0.25">
      <c r="A20" s="86" t="s">
        <v>47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8"/>
    </row>
    <row r="21" spans="1:17" ht="16" x14ac:dyDescent="0.2">
      <c r="A21" s="80" t="s">
        <v>25</v>
      </c>
      <c r="B21" s="81"/>
      <c r="C21" s="81"/>
      <c r="D21" s="81"/>
      <c r="E21" s="81"/>
      <c r="F21" s="81"/>
      <c r="G21" s="82"/>
      <c r="H21" s="2"/>
      <c r="I21" s="83" t="s">
        <v>26</v>
      </c>
      <c r="J21" s="84"/>
      <c r="K21" s="84"/>
      <c r="L21" s="84"/>
      <c r="M21" s="84"/>
      <c r="N21" s="84"/>
      <c r="O21" s="85"/>
    </row>
    <row r="22" spans="1:17" ht="32" x14ac:dyDescent="0.2">
      <c r="A22" s="56" t="s">
        <v>0</v>
      </c>
      <c r="B22" s="53" t="s">
        <v>1</v>
      </c>
      <c r="C22" s="53" t="s">
        <v>2</v>
      </c>
      <c r="D22" s="53" t="s">
        <v>3</v>
      </c>
      <c r="E22" s="53" t="s">
        <v>4</v>
      </c>
      <c r="F22" s="54" t="s">
        <v>5</v>
      </c>
      <c r="G22" s="55" t="s">
        <v>6</v>
      </c>
      <c r="H22" s="2"/>
      <c r="I22" s="52" t="s">
        <v>0</v>
      </c>
      <c r="J22" s="53" t="s">
        <v>1</v>
      </c>
      <c r="K22" s="53" t="s">
        <v>2</v>
      </c>
      <c r="L22" s="53" t="s">
        <v>3</v>
      </c>
      <c r="M22" s="53" t="s">
        <v>4</v>
      </c>
      <c r="N22" s="54" t="s">
        <v>5</v>
      </c>
      <c r="O22" s="57" t="s">
        <v>6</v>
      </c>
      <c r="P22" s="21"/>
      <c r="Q22" s="21"/>
    </row>
    <row r="23" spans="1:17" x14ac:dyDescent="0.2">
      <c r="A23" s="62" t="s">
        <v>13</v>
      </c>
      <c r="B23" s="7">
        <v>600</v>
      </c>
      <c r="C23" s="58">
        <f>B23*400</f>
        <v>240000</v>
      </c>
      <c r="D23" s="2">
        <v>2.5</v>
      </c>
      <c r="E23" s="58">
        <f>C23*D23</f>
        <v>600000</v>
      </c>
      <c r="F23" s="4">
        <f>AVERAGE(E23:E31)</f>
        <v>569444.4444444445</v>
      </c>
      <c r="G23" s="60">
        <f>_xlfn.STDEV.S(E23:E31)</f>
        <v>35882.137307827383</v>
      </c>
      <c r="H23" s="3"/>
      <c r="I23" s="25" t="s">
        <v>16</v>
      </c>
      <c r="J23" s="26">
        <v>388</v>
      </c>
      <c r="K23" s="27">
        <f>J23*400</f>
        <v>155200</v>
      </c>
      <c r="L23" s="2">
        <v>2.5</v>
      </c>
      <c r="M23" s="27">
        <f>K23*L23</f>
        <v>388000</v>
      </c>
      <c r="N23" s="28">
        <f>AVERAGE(M23:M31)</f>
        <v>422444.44444444444</v>
      </c>
      <c r="O23" s="34">
        <f>_xlfn.STDEV.S(M23:M31)</f>
        <v>26768.036494628774</v>
      </c>
      <c r="P23" s="21"/>
    </row>
    <row r="24" spans="1:17" x14ac:dyDescent="0.2">
      <c r="A24" s="62" t="s">
        <v>13</v>
      </c>
      <c r="B24" s="7">
        <v>618</v>
      </c>
      <c r="C24" s="58">
        <f>B24*400</f>
        <v>247200</v>
      </c>
      <c r="D24" s="2">
        <v>2.5</v>
      </c>
      <c r="E24" s="58">
        <f>C24*D24</f>
        <v>618000</v>
      </c>
      <c r="F24" s="3"/>
      <c r="G24" s="5"/>
      <c r="H24" s="2"/>
      <c r="I24" s="25" t="s">
        <v>16</v>
      </c>
      <c r="J24" s="26">
        <v>416</v>
      </c>
      <c r="K24" s="27">
        <f>J24*400</f>
        <v>166400</v>
      </c>
      <c r="L24" s="2">
        <v>2.5</v>
      </c>
      <c r="M24" s="27">
        <f>K24*L24</f>
        <v>416000</v>
      </c>
      <c r="N24" s="3"/>
      <c r="O24" s="35"/>
    </row>
    <row r="25" spans="1:17" x14ac:dyDescent="0.2">
      <c r="A25" s="62" t="s">
        <v>13</v>
      </c>
      <c r="B25" s="7">
        <v>594</v>
      </c>
      <c r="C25" s="58">
        <f>B25*400</f>
        <v>237600</v>
      </c>
      <c r="D25" s="2">
        <v>2.5</v>
      </c>
      <c r="E25" s="58">
        <f>C25*D25</f>
        <v>594000</v>
      </c>
      <c r="F25" s="3"/>
      <c r="G25" s="5"/>
      <c r="H25" s="2"/>
      <c r="I25" s="25" t="s">
        <v>16</v>
      </c>
      <c r="J25" s="26">
        <v>382</v>
      </c>
      <c r="K25" s="27">
        <f>J25*400</f>
        <v>152800</v>
      </c>
      <c r="L25" s="2">
        <v>2.5</v>
      </c>
      <c r="M25" s="27">
        <f>K25*L25</f>
        <v>382000</v>
      </c>
      <c r="N25" s="3"/>
      <c r="O25" s="35"/>
    </row>
    <row r="26" spans="1:17" x14ac:dyDescent="0.2">
      <c r="A26" s="63" t="s">
        <v>14</v>
      </c>
      <c r="B26" s="7">
        <v>543</v>
      </c>
      <c r="C26" s="58">
        <f t="shared" ref="C26:C31" si="2">B26*400</f>
        <v>217200</v>
      </c>
      <c r="D26" s="2">
        <v>2.5</v>
      </c>
      <c r="E26" s="58">
        <f t="shared" ref="E26:E31" si="3">C26*D26</f>
        <v>543000</v>
      </c>
      <c r="F26" s="3"/>
      <c r="G26" s="5"/>
      <c r="H26" s="2"/>
      <c r="I26" s="30" t="s">
        <v>17</v>
      </c>
      <c r="J26" s="26">
        <v>426</v>
      </c>
      <c r="K26" s="27">
        <f t="shared" ref="K26:K31" si="4">J26*400</f>
        <v>170400</v>
      </c>
      <c r="L26" s="2">
        <v>2.5</v>
      </c>
      <c r="M26" s="27">
        <f t="shared" ref="M26:M31" si="5">K26*L26</f>
        <v>426000</v>
      </c>
      <c r="N26" s="3"/>
      <c r="O26" s="35"/>
    </row>
    <row r="27" spans="1:17" ht="16" x14ac:dyDescent="0.2">
      <c r="A27" s="62" t="s">
        <v>14</v>
      </c>
      <c r="B27" s="7">
        <v>588</v>
      </c>
      <c r="C27" s="58">
        <f t="shared" si="2"/>
        <v>235200</v>
      </c>
      <c r="D27" s="2">
        <v>2.5</v>
      </c>
      <c r="E27" s="58">
        <f t="shared" si="3"/>
        <v>588000</v>
      </c>
      <c r="G27" s="31"/>
      <c r="I27" s="25" t="s">
        <v>17</v>
      </c>
      <c r="J27" s="26">
        <v>466</v>
      </c>
      <c r="K27" s="27">
        <f t="shared" si="4"/>
        <v>186400</v>
      </c>
      <c r="L27" s="2">
        <v>2.5</v>
      </c>
      <c r="M27" s="27">
        <f t="shared" si="5"/>
        <v>466000</v>
      </c>
      <c r="N27" s="17"/>
      <c r="O27" s="36"/>
    </row>
    <row r="28" spans="1:17" x14ac:dyDescent="0.2">
      <c r="A28" s="62" t="s">
        <v>14</v>
      </c>
      <c r="B28" s="7">
        <v>556</v>
      </c>
      <c r="C28" s="58">
        <f t="shared" si="2"/>
        <v>222400</v>
      </c>
      <c r="D28" s="2">
        <v>2.5</v>
      </c>
      <c r="E28" s="58">
        <f t="shared" si="3"/>
        <v>556000</v>
      </c>
      <c r="F28" s="2"/>
      <c r="G28" s="32"/>
      <c r="H28" s="2"/>
      <c r="I28" s="25" t="s">
        <v>17</v>
      </c>
      <c r="J28" s="26">
        <v>446</v>
      </c>
      <c r="K28" s="27">
        <f t="shared" si="4"/>
        <v>178400</v>
      </c>
      <c r="L28" s="2">
        <v>2.5</v>
      </c>
      <c r="M28" s="27">
        <f t="shared" si="5"/>
        <v>446000</v>
      </c>
      <c r="O28" s="37"/>
    </row>
    <row r="29" spans="1:17" x14ac:dyDescent="0.2">
      <c r="A29" s="63" t="s">
        <v>15</v>
      </c>
      <c r="B29" s="7">
        <v>517</v>
      </c>
      <c r="C29" s="58">
        <f t="shared" si="2"/>
        <v>206800</v>
      </c>
      <c r="D29" s="2">
        <v>2.5</v>
      </c>
      <c r="E29" s="58">
        <f t="shared" si="3"/>
        <v>517000</v>
      </c>
      <c r="F29" s="3"/>
      <c r="G29" s="33"/>
      <c r="H29" s="8"/>
      <c r="I29" s="30" t="s">
        <v>18</v>
      </c>
      <c r="J29" s="26">
        <v>413</v>
      </c>
      <c r="K29" s="27">
        <f t="shared" si="4"/>
        <v>165200</v>
      </c>
      <c r="L29" s="2">
        <v>2.5</v>
      </c>
      <c r="M29" s="27">
        <f t="shared" si="5"/>
        <v>413000</v>
      </c>
      <c r="O29" s="37"/>
    </row>
    <row r="30" spans="1:17" x14ac:dyDescent="0.2">
      <c r="A30" s="62" t="s">
        <v>15</v>
      </c>
      <c r="B30" s="7">
        <v>523</v>
      </c>
      <c r="C30" s="58">
        <f t="shared" si="2"/>
        <v>209200</v>
      </c>
      <c r="D30" s="2">
        <v>2.5</v>
      </c>
      <c r="E30" s="58">
        <f t="shared" si="3"/>
        <v>523000</v>
      </c>
      <c r="F30" s="3"/>
      <c r="G30" s="5"/>
      <c r="H30" s="3"/>
      <c r="I30" s="25" t="s">
        <v>18</v>
      </c>
      <c r="J30" s="26">
        <v>440</v>
      </c>
      <c r="K30" s="27">
        <f t="shared" si="4"/>
        <v>176000</v>
      </c>
      <c r="L30" s="2">
        <v>2.5</v>
      </c>
      <c r="M30" s="27">
        <f t="shared" si="5"/>
        <v>440000</v>
      </c>
      <c r="O30" s="37"/>
    </row>
    <row r="31" spans="1:17" ht="16" thickBot="1" x14ac:dyDescent="0.25">
      <c r="A31" s="64" t="s">
        <v>15</v>
      </c>
      <c r="B31" s="38">
        <v>586</v>
      </c>
      <c r="C31" s="59">
        <f t="shared" si="2"/>
        <v>234400</v>
      </c>
      <c r="D31" s="40">
        <v>2.5</v>
      </c>
      <c r="E31" s="59">
        <f t="shared" si="3"/>
        <v>586000</v>
      </c>
      <c r="F31" s="39"/>
      <c r="G31" s="41"/>
      <c r="H31" s="39"/>
      <c r="I31" s="42" t="s">
        <v>18</v>
      </c>
      <c r="J31" s="61">
        <v>425</v>
      </c>
      <c r="K31" s="44">
        <f t="shared" si="4"/>
        <v>170000</v>
      </c>
      <c r="L31" s="40">
        <v>2.5</v>
      </c>
      <c r="M31" s="44">
        <f t="shared" si="5"/>
        <v>425000</v>
      </c>
      <c r="N31" s="43"/>
      <c r="O31" s="45"/>
      <c r="P31" s="21"/>
    </row>
    <row r="33" spans="1:15" ht="16" thickBot="1" x14ac:dyDescent="0.25"/>
    <row r="34" spans="1:15" ht="19" x14ac:dyDescent="0.25">
      <c r="A34" s="86" t="s">
        <v>54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8"/>
    </row>
    <row r="35" spans="1:15" ht="16" x14ac:dyDescent="0.2">
      <c r="A35" s="80" t="s">
        <v>55</v>
      </c>
      <c r="B35" s="81"/>
      <c r="C35" s="81"/>
      <c r="D35" s="81"/>
      <c r="E35" s="81"/>
      <c r="F35" s="81"/>
      <c r="G35" s="82"/>
      <c r="H35" s="2"/>
      <c r="I35" s="89" t="s">
        <v>56</v>
      </c>
      <c r="J35" s="84"/>
      <c r="K35" s="84"/>
      <c r="L35" s="84"/>
      <c r="M35" s="84"/>
      <c r="N35" s="84"/>
      <c r="O35" s="85"/>
    </row>
    <row r="36" spans="1:15" ht="32" x14ac:dyDescent="0.2">
      <c r="A36" s="56" t="s">
        <v>0</v>
      </c>
      <c r="B36" s="53" t="s">
        <v>1</v>
      </c>
      <c r="C36" s="53" t="s">
        <v>2</v>
      </c>
      <c r="D36" s="53" t="s">
        <v>3</v>
      </c>
      <c r="E36" s="53" t="s">
        <v>4</v>
      </c>
      <c r="F36" s="54" t="s">
        <v>5</v>
      </c>
      <c r="G36" s="55" t="s">
        <v>6</v>
      </c>
      <c r="H36" s="2"/>
      <c r="I36" s="52" t="s">
        <v>0</v>
      </c>
      <c r="J36" s="53" t="s">
        <v>1</v>
      </c>
      <c r="K36" s="53" t="s">
        <v>2</v>
      </c>
      <c r="L36" s="53" t="s">
        <v>3</v>
      </c>
      <c r="M36" s="53" t="s">
        <v>4</v>
      </c>
      <c r="N36" s="54" t="s">
        <v>5</v>
      </c>
      <c r="O36" s="57" t="s">
        <v>6</v>
      </c>
    </row>
    <row r="37" spans="1:15" x14ac:dyDescent="0.2">
      <c r="A37" s="62" t="s">
        <v>57</v>
      </c>
      <c r="B37" s="7">
        <v>956</v>
      </c>
      <c r="C37" s="58">
        <f>B37*400</f>
        <v>382400</v>
      </c>
      <c r="D37" s="2">
        <v>2.5</v>
      </c>
      <c r="E37" s="58">
        <f>C37*D37</f>
        <v>956000</v>
      </c>
      <c r="F37" s="4">
        <f>AVERAGE(E37:E45)</f>
        <v>963555.5555555555</v>
      </c>
      <c r="G37" s="60">
        <f>_xlfn.STDEV.S(E37:E45)</f>
        <v>20976.839079751215</v>
      </c>
      <c r="H37" s="2"/>
      <c r="I37" s="25" t="s">
        <v>60</v>
      </c>
      <c r="J37" s="26">
        <v>268</v>
      </c>
      <c r="K37" s="27">
        <f>J37*400</f>
        <v>107200</v>
      </c>
      <c r="L37" s="2">
        <v>2.5</v>
      </c>
      <c r="M37" s="27">
        <f>K37*L37</f>
        <v>268000</v>
      </c>
      <c r="N37" s="28">
        <f>AVERAGE(M37:M45)</f>
        <v>265222.22222222225</v>
      </c>
      <c r="O37" s="34">
        <f>_xlfn.STDEV.S(M37:M45)</f>
        <v>11454.014337534438</v>
      </c>
    </row>
    <row r="38" spans="1:15" x14ac:dyDescent="0.2">
      <c r="A38" s="62" t="s">
        <v>57</v>
      </c>
      <c r="B38" s="7">
        <v>957</v>
      </c>
      <c r="C38" s="58">
        <f>B38*400</f>
        <v>382800</v>
      </c>
      <c r="D38" s="2">
        <v>2.5</v>
      </c>
      <c r="E38" s="58">
        <f>C38*D38</f>
        <v>957000</v>
      </c>
      <c r="F38" s="3"/>
      <c r="G38" s="5"/>
      <c r="H38" s="2"/>
      <c r="I38" s="25" t="s">
        <v>60</v>
      </c>
      <c r="J38" s="26">
        <v>254</v>
      </c>
      <c r="K38" s="27">
        <f>J38*400</f>
        <v>101600</v>
      </c>
      <c r="L38" s="2">
        <v>2.5</v>
      </c>
      <c r="M38" s="27">
        <f>K38*L38</f>
        <v>254000</v>
      </c>
      <c r="N38" s="3"/>
      <c r="O38" s="35"/>
    </row>
    <row r="39" spans="1:15" x14ac:dyDescent="0.2">
      <c r="A39" s="62" t="s">
        <v>57</v>
      </c>
      <c r="B39" s="7">
        <v>983</v>
      </c>
      <c r="C39" s="58">
        <f>B39*400</f>
        <v>393200</v>
      </c>
      <c r="D39" s="2">
        <v>2.5</v>
      </c>
      <c r="E39" s="58">
        <f>C39*D39</f>
        <v>983000</v>
      </c>
      <c r="F39" s="3"/>
      <c r="G39" s="5"/>
      <c r="H39" s="2"/>
      <c r="I39" s="25" t="s">
        <v>60</v>
      </c>
      <c r="J39" s="26">
        <v>261</v>
      </c>
      <c r="K39" s="27">
        <f>J39*400</f>
        <v>104400</v>
      </c>
      <c r="L39" s="2">
        <v>2.5</v>
      </c>
      <c r="M39" s="27">
        <f>K39*L39</f>
        <v>261000</v>
      </c>
      <c r="N39" s="3"/>
      <c r="O39" s="35"/>
    </row>
    <row r="40" spans="1:15" x14ac:dyDescent="0.2">
      <c r="A40" s="63" t="s">
        <v>58</v>
      </c>
      <c r="B40" s="7">
        <v>929</v>
      </c>
      <c r="C40" s="58">
        <f t="shared" ref="C40:C45" si="6">B40*400</f>
        <v>371600</v>
      </c>
      <c r="D40" s="2">
        <v>2.5</v>
      </c>
      <c r="E40" s="58">
        <f t="shared" ref="E40:E45" si="7">C40*D40</f>
        <v>929000</v>
      </c>
      <c r="F40" s="3"/>
      <c r="G40" s="5"/>
      <c r="H40" s="2"/>
      <c r="I40" s="30" t="s">
        <v>61</v>
      </c>
      <c r="J40" s="26">
        <v>265</v>
      </c>
      <c r="K40" s="27">
        <f t="shared" ref="K40:K45" si="8">J40*400</f>
        <v>106000</v>
      </c>
      <c r="L40" s="2">
        <v>2.5</v>
      </c>
      <c r="M40" s="27">
        <f t="shared" ref="M40:M45" si="9">K40*L40</f>
        <v>265000</v>
      </c>
      <c r="N40" s="3"/>
      <c r="O40" s="35"/>
    </row>
    <row r="41" spans="1:15" ht="16" x14ac:dyDescent="0.2">
      <c r="A41" s="62" t="s">
        <v>58</v>
      </c>
      <c r="B41" s="7">
        <v>963</v>
      </c>
      <c r="C41" s="58">
        <f t="shared" si="6"/>
        <v>385200</v>
      </c>
      <c r="D41" s="2">
        <v>2.5</v>
      </c>
      <c r="E41" s="58">
        <f t="shared" si="7"/>
        <v>963000</v>
      </c>
      <c r="G41" s="31"/>
      <c r="I41" s="25" t="s">
        <v>61</v>
      </c>
      <c r="J41" s="26">
        <v>256</v>
      </c>
      <c r="K41" s="27">
        <f t="shared" si="8"/>
        <v>102400</v>
      </c>
      <c r="L41" s="2">
        <v>2.5</v>
      </c>
      <c r="M41" s="27">
        <f t="shared" si="9"/>
        <v>256000</v>
      </c>
      <c r="N41" s="17"/>
      <c r="O41" s="36"/>
    </row>
    <row r="42" spans="1:15" x14ac:dyDescent="0.2">
      <c r="A42" s="62" t="s">
        <v>58</v>
      </c>
      <c r="B42" s="7">
        <v>982</v>
      </c>
      <c r="C42" s="58">
        <f t="shared" si="6"/>
        <v>392800</v>
      </c>
      <c r="D42" s="2">
        <v>2.5</v>
      </c>
      <c r="E42" s="58">
        <f t="shared" si="7"/>
        <v>982000</v>
      </c>
      <c r="F42" s="2"/>
      <c r="G42" s="32"/>
      <c r="H42" s="2"/>
      <c r="I42" s="25" t="s">
        <v>61</v>
      </c>
      <c r="J42" s="26">
        <v>287</v>
      </c>
      <c r="K42" s="27">
        <f t="shared" si="8"/>
        <v>114800</v>
      </c>
      <c r="L42" s="2">
        <v>2.5</v>
      </c>
      <c r="M42" s="27">
        <f t="shared" si="9"/>
        <v>287000</v>
      </c>
      <c r="O42" s="37"/>
    </row>
    <row r="43" spans="1:15" x14ac:dyDescent="0.2">
      <c r="A43" s="63" t="s">
        <v>59</v>
      </c>
      <c r="B43" s="7">
        <v>976</v>
      </c>
      <c r="C43" s="58">
        <f t="shared" si="6"/>
        <v>390400</v>
      </c>
      <c r="D43" s="2">
        <v>2.5</v>
      </c>
      <c r="E43" s="58">
        <f t="shared" si="7"/>
        <v>976000</v>
      </c>
      <c r="F43" s="3"/>
      <c r="G43" s="33"/>
      <c r="H43" s="8"/>
      <c r="I43" s="30" t="s">
        <v>62</v>
      </c>
      <c r="J43" s="26">
        <v>278</v>
      </c>
      <c r="K43" s="27">
        <f t="shared" si="8"/>
        <v>111200</v>
      </c>
      <c r="L43" s="2">
        <v>2.5</v>
      </c>
      <c r="M43" s="27">
        <f t="shared" si="9"/>
        <v>278000</v>
      </c>
      <c r="O43" s="37"/>
    </row>
    <row r="44" spans="1:15" x14ac:dyDescent="0.2">
      <c r="A44" s="62" t="s">
        <v>59</v>
      </c>
      <c r="B44" s="7">
        <v>937</v>
      </c>
      <c r="C44" s="58">
        <f t="shared" si="6"/>
        <v>374800</v>
      </c>
      <c r="D44" s="2">
        <v>2.5</v>
      </c>
      <c r="E44" s="58">
        <f t="shared" si="7"/>
        <v>937000</v>
      </c>
      <c r="F44" s="3"/>
      <c r="G44" s="5"/>
      <c r="H44" s="3"/>
      <c r="I44" s="25" t="s">
        <v>62</v>
      </c>
      <c r="J44" s="26">
        <v>252</v>
      </c>
      <c r="K44" s="27">
        <f t="shared" si="8"/>
        <v>100800</v>
      </c>
      <c r="L44" s="2">
        <v>2.5</v>
      </c>
      <c r="M44" s="27">
        <f t="shared" si="9"/>
        <v>252000</v>
      </c>
      <c r="O44" s="37"/>
    </row>
    <row r="45" spans="1:15" ht="16" thickBot="1" x14ac:dyDescent="0.25">
      <c r="A45" s="64" t="s">
        <v>59</v>
      </c>
      <c r="B45" s="38">
        <v>989</v>
      </c>
      <c r="C45" s="59">
        <f t="shared" si="6"/>
        <v>395600</v>
      </c>
      <c r="D45" s="40">
        <v>2.5</v>
      </c>
      <c r="E45" s="59">
        <f t="shared" si="7"/>
        <v>989000</v>
      </c>
      <c r="F45" s="39"/>
      <c r="G45" s="41"/>
      <c r="H45" s="39"/>
      <c r="I45" s="42" t="s">
        <v>62</v>
      </c>
      <c r="J45" s="61">
        <v>266</v>
      </c>
      <c r="K45" s="44">
        <f t="shared" si="8"/>
        <v>106400</v>
      </c>
      <c r="L45" s="40">
        <v>2.5</v>
      </c>
      <c r="M45" s="44">
        <f t="shared" si="9"/>
        <v>266000</v>
      </c>
      <c r="N45" s="43"/>
      <c r="O45" s="45"/>
    </row>
    <row r="46" spans="1:15" x14ac:dyDescent="0.2">
      <c r="A46" s="10"/>
      <c r="B46" s="19"/>
      <c r="C46" s="11"/>
      <c r="D46" s="9"/>
      <c r="E46" s="9"/>
    </row>
    <row r="47" spans="1:15" x14ac:dyDescent="0.2">
      <c r="A47" s="20"/>
      <c r="B47" s="15"/>
      <c r="C47" s="12"/>
      <c r="D47" s="9"/>
      <c r="E47" s="9"/>
      <c r="F47" s="21"/>
      <c r="L47" s="21"/>
    </row>
    <row r="48" spans="1:15" x14ac:dyDescent="0.2">
      <c r="A48" s="10"/>
      <c r="B48" s="15"/>
      <c r="C48" s="11"/>
      <c r="D48" s="9"/>
      <c r="E48" s="9"/>
      <c r="L48" s="21"/>
    </row>
    <row r="49" spans="1:14" x14ac:dyDescent="0.2">
      <c r="A49" s="22"/>
      <c r="B49" s="13"/>
      <c r="C49" s="14"/>
      <c r="G49" s="21"/>
      <c r="H49" s="21"/>
      <c r="I49" s="21"/>
      <c r="N49" s="21"/>
    </row>
    <row r="50" spans="1:14" x14ac:dyDescent="0.2">
      <c r="A50" s="21"/>
      <c r="B50" s="21"/>
      <c r="G50" s="21"/>
      <c r="J50" s="21"/>
      <c r="M50" s="21"/>
    </row>
    <row r="61" spans="1:14" x14ac:dyDescent="0.2">
      <c r="A61" s="2"/>
    </row>
    <row r="62" spans="1:14" x14ac:dyDescent="0.2">
      <c r="A62" s="2"/>
    </row>
    <row r="63" spans="1:14" x14ac:dyDescent="0.2">
      <c r="A63" s="2"/>
    </row>
    <row r="64" spans="1:14" x14ac:dyDescent="0.2">
      <c r="A64" s="2"/>
    </row>
    <row r="65" spans="1:1" x14ac:dyDescent="0.2">
      <c r="A65" s="2"/>
    </row>
    <row r="66" spans="1:1" x14ac:dyDescent="0.2">
      <c r="A66" s="6"/>
    </row>
  </sheetData>
  <mergeCells count="14">
    <mergeCell ref="A7:K8"/>
    <mergeCell ref="A35:G35"/>
    <mergeCell ref="I35:O35"/>
    <mergeCell ref="A10:G10"/>
    <mergeCell ref="A20:O20"/>
    <mergeCell ref="A21:G21"/>
    <mergeCell ref="I21:O21"/>
    <mergeCell ref="A34:O34"/>
    <mergeCell ref="A1:I1"/>
    <mergeCell ref="A2:J2"/>
    <mergeCell ref="A5:V5"/>
    <mergeCell ref="A6:K6"/>
    <mergeCell ref="A3:M3"/>
    <mergeCell ref="A4:K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"/>
  <sheetViews>
    <sheetView zoomScale="120" zoomScaleNormal="120" workbookViewId="0">
      <selection activeCell="D5" sqref="D5"/>
    </sheetView>
  </sheetViews>
  <sheetFormatPr baseColWidth="10" defaultRowHeight="15" x14ac:dyDescent="0.2"/>
  <cols>
    <col min="1" max="1" width="41.5" customWidth="1"/>
    <col min="2" max="2" width="24.83203125" customWidth="1"/>
    <col min="3" max="3" width="9.33203125" customWidth="1"/>
    <col min="4" max="4" width="43.83203125" customWidth="1"/>
    <col min="5" max="5" width="55.33203125" customWidth="1"/>
    <col min="7" max="7" width="34.33203125" customWidth="1"/>
    <col min="8" max="8" width="18.5" customWidth="1"/>
    <col min="9" max="9" width="5.6640625" customWidth="1"/>
    <col min="10" max="10" width="54.1640625" customWidth="1"/>
    <col min="11" max="11" width="15.1640625" bestFit="1" customWidth="1"/>
    <col min="12" max="12" width="25.33203125" customWidth="1"/>
  </cols>
  <sheetData>
    <row r="1" spans="1:11" ht="21" x14ac:dyDescent="0.25">
      <c r="A1" s="68" t="s">
        <v>70</v>
      </c>
      <c r="B1" s="69"/>
      <c r="C1" s="69"/>
      <c r="D1" s="69"/>
      <c r="E1" s="69"/>
      <c r="F1" s="69"/>
      <c r="G1" s="69"/>
      <c r="H1" s="69"/>
      <c r="I1" s="69"/>
    </row>
    <row r="2" spans="1:11" x14ac:dyDescent="0.2">
      <c r="A2" s="69"/>
      <c r="B2" s="69"/>
      <c r="C2" s="69"/>
      <c r="D2" s="69"/>
      <c r="E2" s="69"/>
      <c r="F2" s="69"/>
      <c r="G2" s="69"/>
      <c r="H2" s="69"/>
      <c r="I2" s="69"/>
    </row>
    <row r="3" spans="1:11" ht="22" x14ac:dyDescent="0.25">
      <c r="A3" s="70" t="s">
        <v>0</v>
      </c>
      <c r="B3" s="71" t="s">
        <v>1</v>
      </c>
      <c r="C3" s="69"/>
      <c r="E3" s="68" t="s">
        <v>73</v>
      </c>
      <c r="F3" s="68">
        <v>1</v>
      </c>
      <c r="G3" s="68">
        <f>AVERAGE(H13:H21)</f>
        <v>1.9525504151838671</v>
      </c>
      <c r="H3" s="69"/>
      <c r="I3" s="69"/>
    </row>
    <row r="4" spans="1:11" ht="21" x14ac:dyDescent="0.25">
      <c r="A4" s="66" t="s">
        <v>71</v>
      </c>
      <c r="B4" s="68">
        <f>'Rep1 '!E14</f>
        <v>96000</v>
      </c>
      <c r="C4" s="69"/>
      <c r="E4" s="68" t="s">
        <v>79</v>
      </c>
      <c r="F4" s="68">
        <v>1</v>
      </c>
      <c r="G4" s="68">
        <f>AVERAGE(H24:H32)</f>
        <v>3.9952550415183867</v>
      </c>
    </row>
    <row r="5" spans="1:11" ht="21" x14ac:dyDescent="0.25">
      <c r="A5" s="66" t="s">
        <v>77</v>
      </c>
      <c r="B5" s="68">
        <f>'Rep1 '!E15</f>
        <v>81000</v>
      </c>
      <c r="C5" s="69"/>
      <c r="E5" s="68" t="s">
        <v>80</v>
      </c>
      <c r="F5" s="68">
        <v>1</v>
      </c>
      <c r="G5" s="68">
        <f>AVERAGE(K13:K21)</f>
        <v>1.4056939501779357</v>
      </c>
    </row>
    <row r="6" spans="1:11" ht="21" x14ac:dyDescent="0.25">
      <c r="A6" s="67" t="s">
        <v>77</v>
      </c>
      <c r="B6" s="68">
        <f>'Rep1 '!E16</f>
        <v>84000</v>
      </c>
      <c r="C6" s="69"/>
      <c r="D6" s="69"/>
      <c r="E6" s="68" t="s">
        <v>84</v>
      </c>
      <c r="F6" s="68">
        <v>1</v>
      </c>
      <c r="G6" s="68">
        <f>AVERAGE(K24:K32)</f>
        <v>1.3653618030842229</v>
      </c>
    </row>
    <row r="7" spans="1:11" ht="21" x14ac:dyDescent="0.25">
      <c r="A7" s="66" t="s">
        <v>78</v>
      </c>
      <c r="B7" s="68">
        <f>'Rep1 '!E17</f>
        <v>98000</v>
      </c>
      <c r="C7" s="69"/>
      <c r="D7" s="69"/>
      <c r="E7" s="69"/>
      <c r="F7" s="69"/>
      <c r="G7" s="68"/>
      <c r="H7" s="68"/>
      <c r="I7" s="68"/>
    </row>
    <row r="8" spans="1:11" ht="21" x14ac:dyDescent="0.25">
      <c r="A8" s="66" t="s">
        <v>72</v>
      </c>
      <c r="B8" s="68">
        <f>'Rep1 '!E18</f>
        <v>103000</v>
      </c>
      <c r="C8" s="69"/>
      <c r="D8" s="69"/>
      <c r="E8" s="69"/>
      <c r="F8" s="69"/>
      <c r="G8" s="68"/>
      <c r="H8" s="68"/>
      <c r="I8" s="68"/>
    </row>
    <row r="9" spans="1:11" ht="21" x14ac:dyDescent="0.25">
      <c r="A9" s="67" t="s">
        <v>72</v>
      </c>
      <c r="B9" s="68">
        <f>'Rep1 '!E19</f>
        <v>100000</v>
      </c>
      <c r="C9" s="69"/>
      <c r="D9" s="69"/>
      <c r="E9" s="69"/>
      <c r="F9" s="69"/>
      <c r="G9" s="68"/>
      <c r="H9" s="68"/>
      <c r="I9" s="68"/>
    </row>
    <row r="10" spans="1:11" ht="21" x14ac:dyDescent="0.25">
      <c r="A10" s="67"/>
      <c r="B10" s="68">
        <f>AVERAGE(B4:B9)</f>
        <v>93666.666666666672</v>
      </c>
      <c r="C10" s="69"/>
      <c r="D10" s="69"/>
      <c r="E10" s="69"/>
      <c r="F10" s="69"/>
      <c r="G10" s="69"/>
      <c r="H10" s="69"/>
      <c r="I10" s="69"/>
    </row>
    <row r="11" spans="1:11" x14ac:dyDescent="0.2">
      <c r="A11" s="69"/>
      <c r="B11" s="69"/>
      <c r="C11" s="69"/>
      <c r="D11" s="69"/>
      <c r="E11" s="69"/>
      <c r="F11" s="69"/>
      <c r="G11" s="69"/>
      <c r="H11" s="69"/>
      <c r="I11" s="69"/>
    </row>
    <row r="12" spans="1:11" ht="16" customHeight="1" x14ac:dyDescent="0.25">
      <c r="A12" s="68" t="s">
        <v>73</v>
      </c>
      <c r="B12" s="69"/>
      <c r="C12" s="69"/>
      <c r="D12" s="68" t="s">
        <v>80</v>
      </c>
      <c r="E12" s="69"/>
      <c r="F12" s="69"/>
      <c r="G12" s="68" t="s">
        <v>73</v>
      </c>
      <c r="H12" s="69"/>
      <c r="I12" s="69"/>
      <c r="J12" s="68" t="s">
        <v>80</v>
      </c>
      <c r="K12" s="69"/>
    </row>
    <row r="13" spans="1:11" ht="22" x14ac:dyDescent="0.25">
      <c r="A13" s="71" t="s">
        <v>74</v>
      </c>
      <c r="B13" s="71">
        <f>'Rep1 '!E25</f>
        <v>176000</v>
      </c>
      <c r="C13" s="69"/>
      <c r="D13" s="71" t="s">
        <v>81</v>
      </c>
      <c r="E13" s="71">
        <f>'Rep1 '!M25</f>
        <v>134000</v>
      </c>
      <c r="F13" s="69"/>
      <c r="G13" s="71" t="s">
        <v>74</v>
      </c>
      <c r="H13" s="71">
        <f>B13/B10</f>
        <v>1.8790035587188612</v>
      </c>
      <c r="I13" s="69"/>
      <c r="J13" s="71" t="s">
        <v>81</v>
      </c>
      <c r="K13" s="71">
        <f>E13/B10</f>
        <v>1.4306049822064055</v>
      </c>
    </row>
    <row r="14" spans="1:11" ht="22" x14ac:dyDescent="0.25">
      <c r="A14" s="71" t="s">
        <v>74</v>
      </c>
      <c r="B14" s="71">
        <f>'Rep1 '!E26</f>
        <v>171000</v>
      </c>
      <c r="C14" s="69"/>
      <c r="D14" s="71" t="s">
        <v>81</v>
      </c>
      <c r="E14" s="71">
        <f>'Rep1 '!M26</f>
        <v>128000</v>
      </c>
      <c r="F14" s="69"/>
      <c r="G14" s="71" t="s">
        <v>74</v>
      </c>
      <c r="H14" s="71">
        <f>B14/B10</f>
        <v>1.8256227758007118</v>
      </c>
      <c r="I14" s="69"/>
      <c r="J14" s="71" t="s">
        <v>81</v>
      </c>
      <c r="K14" s="71">
        <f>E14/B10</f>
        <v>1.3665480427046262</v>
      </c>
    </row>
    <row r="15" spans="1:11" ht="22" x14ac:dyDescent="0.25">
      <c r="A15" s="71" t="s">
        <v>74</v>
      </c>
      <c r="B15" s="71">
        <f>'Rep1 '!E27</f>
        <v>171000</v>
      </c>
      <c r="C15" s="69"/>
      <c r="D15" s="71" t="s">
        <v>81</v>
      </c>
      <c r="E15" s="71">
        <f>'Rep1 '!M27</f>
        <v>135000</v>
      </c>
      <c r="F15" s="69"/>
      <c r="G15" s="71" t="s">
        <v>74</v>
      </c>
      <c r="H15" s="71">
        <f>B15/B10</f>
        <v>1.8256227758007118</v>
      </c>
      <c r="I15" s="69"/>
      <c r="J15" s="71" t="s">
        <v>81</v>
      </c>
      <c r="K15" s="71">
        <f>E15/B10</f>
        <v>1.4412811387900355</v>
      </c>
    </row>
    <row r="16" spans="1:11" ht="22" x14ac:dyDescent="0.25">
      <c r="A16" s="71" t="s">
        <v>75</v>
      </c>
      <c r="B16" s="71">
        <f>'Rep1 '!E28</f>
        <v>189000</v>
      </c>
      <c r="C16" s="69"/>
      <c r="D16" s="71" t="s">
        <v>82</v>
      </c>
      <c r="E16" s="71">
        <f>'Rep1 '!M28</f>
        <v>137000</v>
      </c>
      <c r="F16" s="69"/>
      <c r="G16" s="71" t="s">
        <v>75</v>
      </c>
      <c r="H16" s="71">
        <f>B16/B10</f>
        <v>2.0177935943060499</v>
      </c>
      <c r="I16" s="69"/>
      <c r="J16" s="71" t="s">
        <v>82</v>
      </c>
      <c r="K16" s="71">
        <f>E16/B10</f>
        <v>1.4626334519572952</v>
      </c>
    </row>
    <row r="17" spans="1:12" ht="22" x14ac:dyDescent="0.25">
      <c r="A17" s="71" t="s">
        <v>75</v>
      </c>
      <c r="B17" s="71">
        <f>'Rep1 '!E29</f>
        <v>211000</v>
      </c>
      <c r="C17" s="69"/>
      <c r="D17" s="71" t="s">
        <v>82</v>
      </c>
      <c r="E17" s="71">
        <f>'Rep1 '!M29</f>
        <v>130000</v>
      </c>
      <c r="F17" s="69"/>
      <c r="G17" s="71" t="s">
        <v>75</v>
      </c>
      <c r="H17" s="71">
        <f>B17/B10</f>
        <v>2.2526690391459074</v>
      </c>
      <c r="I17" s="69"/>
      <c r="J17" s="71" t="s">
        <v>82</v>
      </c>
      <c r="K17" s="71">
        <f>E17/B10</f>
        <v>1.3879003558718861</v>
      </c>
    </row>
    <row r="18" spans="1:12" ht="22" x14ac:dyDescent="0.25">
      <c r="A18" s="71" t="s">
        <v>75</v>
      </c>
      <c r="B18" s="71">
        <f>'Rep1 '!E30</f>
        <v>200000</v>
      </c>
      <c r="C18" s="69"/>
      <c r="D18" s="71" t="s">
        <v>82</v>
      </c>
      <c r="E18" s="71">
        <f>'Rep1 '!M30</f>
        <v>122000</v>
      </c>
      <c r="F18" s="69"/>
      <c r="G18" s="71" t="s">
        <v>75</v>
      </c>
      <c r="H18" s="71">
        <f>B18/B10</f>
        <v>2.1352313167259784</v>
      </c>
      <c r="I18" s="69"/>
      <c r="J18" s="71" t="s">
        <v>82</v>
      </c>
      <c r="K18" s="71">
        <f>E18/B10</f>
        <v>1.302491103202847</v>
      </c>
    </row>
    <row r="19" spans="1:12" ht="22" x14ac:dyDescent="0.25">
      <c r="A19" s="71" t="s">
        <v>76</v>
      </c>
      <c r="B19" s="71">
        <f>'Rep1 '!E31</f>
        <v>180000</v>
      </c>
      <c r="C19" s="69"/>
      <c r="D19" s="71" t="s">
        <v>83</v>
      </c>
      <c r="E19" s="71">
        <f>'Rep1 '!M31</f>
        <v>135000</v>
      </c>
      <c r="F19" s="69"/>
      <c r="G19" s="71" t="s">
        <v>76</v>
      </c>
      <c r="H19" s="71">
        <f>B19/B10</f>
        <v>1.9217081850533806</v>
      </c>
      <c r="I19" s="69"/>
      <c r="J19" s="71" t="s">
        <v>83</v>
      </c>
      <c r="K19" s="71">
        <f>E19/B10</f>
        <v>1.4412811387900355</v>
      </c>
    </row>
    <row r="20" spans="1:12" ht="22" x14ac:dyDescent="0.25">
      <c r="A20" s="71" t="s">
        <v>76</v>
      </c>
      <c r="B20" s="71">
        <f>'Rep1 '!E32</f>
        <v>178000</v>
      </c>
      <c r="C20" s="69"/>
      <c r="D20" s="71" t="s">
        <v>83</v>
      </c>
      <c r="E20" s="71">
        <f>'Rep1 '!M32</f>
        <v>125000</v>
      </c>
      <c r="F20" s="69"/>
      <c r="G20" s="71" t="s">
        <v>76</v>
      </c>
      <c r="H20" s="71">
        <f>B20/B10</f>
        <v>1.9003558718861209</v>
      </c>
      <c r="I20" s="69"/>
      <c r="J20" s="71" t="s">
        <v>83</v>
      </c>
      <c r="K20" s="71">
        <f>E20/B10</f>
        <v>1.3345195729537367</v>
      </c>
    </row>
    <row r="21" spans="1:12" ht="22" x14ac:dyDescent="0.25">
      <c r="A21" s="71" t="s">
        <v>76</v>
      </c>
      <c r="B21" s="71">
        <f>'Rep1 '!E33</f>
        <v>170000</v>
      </c>
      <c r="C21" s="69"/>
      <c r="D21" s="71" t="s">
        <v>83</v>
      </c>
      <c r="E21" s="71">
        <f>'Rep1 '!M33</f>
        <v>139000</v>
      </c>
      <c r="F21" s="69"/>
      <c r="G21" s="71" t="s">
        <v>76</v>
      </c>
      <c r="H21" s="71">
        <f>B21/B10</f>
        <v>1.8149466192170818</v>
      </c>
      <c r="I21" s="69"/>
      <c r="J21" s="71" t="s">
        <v>83</v>
      </c>
      <c r="K21" s="71">
        <f>E21/B10</f>
        <v>1.4839857651245552</v>
      </c>
    </row>
    <row r="22" spans="1:12" ht="21" x14ac:dyDescent="0.25">
      <c r="B22" s="68"/>
      <c r="C22" s="69"/>
      <c r="D22" s="67"/>
      <c r="E22" s="68"/>
      <c r="F22" s="69"/>
      <c r="H22" s="68"/>
      <c r="I22" s="69"/>
      <c r="J22" s="67"/>
      <c r="K22" s="68"/>
    </row>
    <row r="23" spans="1:12" ht="21" x14ac:dyDescent="0.25">
      <c r="A23" s="68" t="s">
        <v>79</v>
      </c>
      <c r="B23" s="69"/>
      <c r="C23" s="69"/>
      <c r="D23" s="68" t="s">
        <v>84</v>
      </c>
      <c r="E23" s="69"/>
      <c r="F23" s="69"/>
      <c r="G23" s="68" t="s">
        <v>79</v>
      </c>
      <c r="H23" s="69"/>
      <c r="I23" s="69"/>
      <c r="J23" s="68" t="s">
        <v>84</v>
      </c>
      <c r="K23" s="69"/>
    </row>
    <row r="24" spans="1:12" ht="22" x14ac:dyDescent="0.25">
      <c r="A24" s="71" t="s">
        <v>74</v>
      </c>
      <c r="B24" s="71">
        <f>'Rep1 '!E39</f>
        <v>383000</v>
      </c>
      <c r="C24" s="69"/>
      <c r="D24" s="71" t="s">
        <v>81</v>
      </c>
      <c r="E24" s="71">
        <f>'Rep1 '!M39</f>
        <v>132000</v>
      </c>
      <c r="F24" s="69"/>
      <c r="G24" s="71" t="s">
        <v>74</v>
      </c>
      <c r="H24" s="71">
        <f>B24/B10</f>
        <v>4.0889679715302485</v>
      </c>
      <c r="I24" s="69"/>
      <c r="J24" s="71" t="s">
        <v>81</v>
      </c>
      <c r="K24" s="71">
        <f>E24/B10</f>
        <v>1.4092526690391458</v>
      </c>
      <c r="L24" s="71">
        <f>AVERAGE(K24:K26)</f>
        <v>1.3879003558718861</v>
      </c>
    </row>
    <row r="25" spans="1:12" ht="22" x14ac:dyDescent="0.25">
      <c r="A25" s="71" t="s">
        <v>74</v>
      </c>
      <c r="B25" s="71">
        <f>'Rep1 '!E40</f>
        <v>399000</v>
      </c>
      <c r="C25" s="69"/>
      <c r="D25" s="71" t="s">
        <v>81</v>
      </c>
      <c r="E25" s="71">
        <f>'Rep1 '!M40</f>
        <v>124000</v>
      </c>
      <c r="F25" s="69"/>
      <c r="G25" s="71" t="s">
        <v>74</v>
      </c>
      <c r="H25" s="71">
        <f>B25/B10</f>
        <v>4.2597864768683271</v>
      </c>
      <c r="I25" s="69"/>
      <c r="J25" s="71" t="s">
        <v>81</v>
      </c>
      <c r="K25" s="71">
        <f>E25/B10</f>
        <v>1.3238434163701067</v>
      </c>
    </row>
    <row r="26" spans="1:12" ht="22" x14ac:dyDescent="0.25">
      <c r="A26" s="71" t="s">
        <v>74</v>
      </c>
      <c r="B26" s="71">
        <f>'Rep1 '!E41</f>
        <v>369000</v>
      </c>
      <c r="C26" s="69"/>
      <c r="D26" s="71" t="s">
        <v>81</v>
      </c>
      <c r="E26" s="71">
        <f>'Rep1 '!M41</f>
        <v>134000</v>
      </c>
      <c r="F26" s="69"/>
      <c r="G26" s="71" t="s">
        <v>74</v>
      </c>
      <c r="H26" s="71">
        <f>B26/B10</f>
        <v>3.9395017793594302</v>
      </c>
      <c r="I26" s="69"/>
      <c r="J26" s="71" t="s">
        <v>81</v>
      </c>
      <c r="K26" s="71">
        <f>E26/B10</f>
        <v>1.4306049822064055</v>
      </c>
    </row>
    <row r="27" spans="1:12" ht="22" x14ac:dyDescent="0.25">
      <c r="A27" s="71" t="s">
        <v>75</v>
      </c>
      <c r="B27" s="71">
        <f>'Rep1 '!E42</f>
        <v>370000</v>
      </c>
      <c r="C27" s="69"/>
      <c r="D27" s="71" t="s">
        <v>82</v>
      </c>
      <c r="E27" s="71">
        <f>'Rep1 '!M42</f>
        <v>118000</v>
      </c>
      <c r="F27" s="69"/>
      <c r="G27" s="71" t="s">
        <v>75</v>
      </c>
      <c r="H27" s="71">
        <f>B27/B10</f>
        <v>3.9501779359430604</v>
      </c>
      <c r="I27" s="69"/>
      <c r="J27" s="71" t="s">
        <v>82</v>
      </c>
      <c r="K27" s="71">
        <f>E27/B10</f>
        <v>1.2597864768683273</v>
      </c>
      <c r="L27" s="71">
        <f>AVERAGE(K27:K29)</f>
        <v>1.3629893238434161</v>
      </c>
    </row>
    <row r="28" spans="1:12" ht="22" x14ac:dyDescent="0.25">
      <c r="A28" s="71" t="s">
        <v>75</v>
      </c>
      <c r="B28" s="71">
        <f>'Rep1 '!E43</f>
        <v>325000</v>
      </c>
      <c r="C28" s="69"/>
      <c r="D28" s="71" t="s">
        <v>82</v>
      </c>
      <c r="E28" s="71">
        <f>'Rep1 '!M43</f>
        <v>121000</v>
      </c>
      <c r="F28" s="69"/>
      <c r="G28" s="71" t="s">
        <v>75</v>
      </c>
      <c r="H28" s="71">
        <f>B28/B10</f>
        <v>3.4697508896797151</v>
      </c>
      <c r="I28" s="69"/>
      <c r="J28" s="71" t="s">
        <v>82</v>
      </c>
      <c r="K28" s="71">
        <f>E28/B10</f>
        <v>1.291814946619217</v>
      </c>
    </row>
    <row r="29" spans="1:12" ht="22" x14ac:dyDescent="0.25">
      <c r="A29" s="71" t="s">
        <v>75</v>
      </c>
      <c r="B29" s="71">
        <f>'Rep1 '!E44</f>
        <v>379000</v>
      </c>
      <c r="C29" s="69"/>
      <c r="D29" s="71" t="s">
        <v>82</v>
      </c>
      <c r="E29" s="71">
        <f>'Rep1 '!M44</f>
        <v>144000</v>
      </c>
      <c r="F29" s="69"/>
      <c r="G29" s="71" t="s">
        <v>75</v>
      </c>
      <c r="H29" s="71">
        <f>B29/B10</f>
        <v>4.0462633451957295</v>
      </c>
      <c r="I29" s="69"/>
      <c r="J29" s="71" t="s">
        <v>82</v>
      </c>
      <c r="K29" s="71">
        <f>E29/B10</f>
        <v>1.5373665480427046</v>
      </c>
    </row>
    <row r="30" spans="1:12" ht="22" x14ac:dyDescent="0.25">
      <c r="A30" s="71" t="s">
        <v>76</v>
      </c>
      <c r="B30" s="71">
        <f>'Rep1 '!E45</f>
        <v>360000</v>
      </c>
      <c r="C30" s="69"/>
      <c r="D30" s="71" t="s">
        <v>83</v>
      </c>
      <c r="E30" s="71">
        <f>'Rep1 '!M45</f>
        <v>129000</v>
      </c>
      <c r="F30" s="69"/>
      <c r="G30" s="71" t="s">
        <v>76</v>
      </c>
      <c r="H30" s="71">
        <f>B30/B10</f>
        <v>3.8434163701067612</v>
      </c>
      <c r="I30" s="69"/>
      <c r="J30" s="71" t="s">
        <v>83</v>
      </c>
      <c r="K30" s="71">
        <f>E30/B10</f>
        <v>1.3772241992882561</v>
      </c>
      <c r="L30" s="71">
        <f>AVERAGE(K30:K32)</f>
        <v>1.3451957295373667</v>
      </c>
    </row>
    <row r="31" spans="1:12" ht="22" x14ac:dyDescent="0.25">
      <c r="A31" s="71" t="s">
        <v>76</v>
      </c>
      <c r="B31" s="71">
        <f>'Rep1 '!E46</f>
        <v>401000</v>
      </c>
      <c r="C31" s="69"/>
      <c r="D31" s="71" t="s">
        <v>83</v>
      </c>
      <c r="E31" s="71">
        <f>'Rep1 '!M46</f>
        <v>138000</v>
      </c>
      <c r="F31" s="69"/>
      <c r="G31" s="71" t="s">
        <v>76</v>
      </c>
      <c r="H31" s="71">
        <f>B31/B10</f>
        <v>4.2811387900355866</v>
      </c>
      <c r="I31" s="69"/>
      <c r="J31" s="71" t="s">
        <v>83</v>
      </c>
      <c r="K31" s="71">
        <f>E31/B10</f>
        <v>1.4733096085409252</v>
      </c>
    </row>
    <row r="32" spans="1:12" ht="22" x14ac:dyDescent="0.25">
      <c r="A32" s="71" t="s">
        <v>76</v>
      </c>
      <c r="B32" s="71">
        <f>'Rep1 '!E47</f>
        <v>382000</v>
      </c>
      <c r="C32" s="69"/>
      <c r="D32" s="71" t="s">
        <v>83</v>
      </c>
      <c r="E32" s="71">
        <f>'Rep1 '!M47</f>
        <v>111000</v>
      </c>
      <c r="F32" s="69"/>
      <c r="G32" s="71" t="s">
        <v>76</v>
      </c>
      <c r="H32" s="71">
        <f>B32/B10</f>
        <v>4.0782918149466187</v>
      </c>
      <c r="I32" s="69"/>
      <c r="J32" s="71" t="s">
        <v>83</v>
      </c>
      <c r="K32" s="71">
        <f>E32/B10</f>
        <v>1.185053380782918</v>
      </c>
    </row>
    <row r="33" spans="1:9" ht="21" x14ac:dyDescent="0.25">
      <c r="A33" s="68"/>
      <c r="B33" s="69"/>
      <c r="C33" s="69"/>
      <c r="F33" s="69"/>
      <c r="G33" s="68"/>
      <c r="H33" s="69"/>
      <c r="I33" s="69"/>
    </row>
    <row r="34" spans="1:9" ht="21" x14ac:dyDescent="0.25">
      <c r="A34" s="67"/>
      <c r="B34" s="69"/>
      <c r="C34" s="69"/>
      <c r="D34" s="67"/>
      <c r="E34" s="69"/>
      <c r="F34" s="69"/>
      <c r="G34" s="69"/>
      <c r="H34" s="69"/>
      <c r="I34" s="69"/>
    </row>
    <row r="35" spans="1:9" ht="21" x14ac:dyDescent="0.25">
      <c r="A35" s="71"/>
      <c r="B35" s="69"/>
      <c r="C35" s="69"/>
      <c r="D35" s="71"/>
      <c r="E35" s="69"/>
      <c r="F35" s="69"/>
      <c r="G35" s="69"/>
      <c r="H35" s="69"/>
      <c r="I35" s="69"/>
    </row>
    <row r="36" spans="1:9" ht="21" x14ac:dyDescent="0.25">
      <c r="A36" s="67"/>
      <c r="B36" s="68"/>
      <c r="C36" s="69"/>
      <c r="D36" s="67"/>
      <c r="E36" s="68"/>
      <c r="F36" s="69"/>
      <c r="G36" s="69"/>
      <c r="H36" s="69"/>
      <c r="I36" s="69"/>
    </row>
    <row r="37" spans="1:9" ht="21" x14ac:dyDescent="0.25">
      <c r="A37" s="67"/>
      <c r="B37" s="68"/>
      <c r="C37" s="69"/>
      <c r="D37" s="67"/>
      <c r="E37" s="68"/>
      <c r="F37" s="69"/>
      <c r="G37" s="69"/>
      <c r="H37" s="69"/>
      <c r="I37" s="69"/>
    </row>
    <row r="38" spans="1:9" ht="21" x14ac:dyDescent="0.25">
      <c r="A38" s="67"/>
      <c r="B38" s="68"/>
      <c r="C38" s="69"/>
      <c r="D38" s="67"/>
      <c r="E38" s="68"/>
      <c r="F38" s="69"/>
      <c r="G38" s="69"/>
      <c r="H38" s="69"/>
      <c r="I38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workbookViewId="0">
      <selection activeCell="L33" sqref="L33"/>
    </sheetView>
  </sheetViews>
  <sheetFormatPr baseColWidth="10" defaultRowHeight="15" x14ac:dyDescent="0.2"/>
  <cols>
    <col min="1" max="1" width="41.5" customWidth="1"/>
    <col min="2" max="2" width="24.83203125" customWidth="1"/>
    <col min="3" max="3" width="9.33203125" customWidth="1"/>
    <col min="4" max="4" width="43.83203125" customWidth="1"/>
    <col min="5" max="5" width="55.33203125" customWidth="1"/>
    <col min="7" max="7" width="34.33203125" customWidth="1"/>
    <col min="8" max="8" width="18.5" customWidth="1"/>
    <col min="9" max="9" width="5.6640625" customWidth="1"/>
    <col min="10" max="10" width="54.1640625" customWidth="1"/>
    <col min="11" max="11" width="15.1640625" bestFit="1" customWidth="1"/>
    <col min="12" max="12" width="35.1640625" customWidth="1"/>
  </cols>
  <sheetData>
    <row r="1" spans="1:11" ht="21" x14ac:dyDescent="0.25">
      <c r="A1" s="68" t="s">
        <v>70</v>
      </c>
      <c r="B1" s="69"/>
      <c r="C1" s="69"/>
      <c r="D1" s="69"/>
      <c r="E1" s="69"/>
      <c r="F1" s="69"/>
      <c r="G1" s="69"/>
      <c r="H1" s="69"/>
      <c r="I1" s="69"/>
    </row>
    <row r="2" spans="1:11" x14ac:dyDescent="0.2">
      <c r="A2" s="69"/>
      <c r="B2" s="69"/>
      <c r="C2" s="69"/>
      <c r="D2" s="69"/>
      <c r="E2" s="69"/>
      <c r="F2" s="69"/>
      <c r="G2" s="69"/>
      <c r="H2" s="69"/>
      <c r="I2" s="69"/>
    </row>
    <row r="3" spans="1:11" ht="22" x14ac:dyDescent="0.25">
      <c r="A3" s="70" t="s">
        <v>0</v>
      </c>
      <c r="B3" s="71" t="s">
        <v>1</v>
      </c>
      <c r="C3" s="69"/>
      <c r="E3" s="68" t="s">
        <v>73</v>
      </c>
      <c r="F3" s="68">
        <v>1</v>
      </c>
      <c r="G3" s="68">
        <f>AVERAGE(H13:H21)</f>
        <v>2.3600891861761419</v>
      </c>
      <c r="H3" s="69"/>
      <c r="I3" s="69"/>
    </row>
    <row r="4" spans="1:11" ht="21" x14ac:dyDescent="0.25">
      <c r="A4" s="66" t="s">
        <v>71</v>
      </c>
      <c r="B4" s="68">
        <f>'Rep2'!E14</f>
        <v>196000</v>
      </c>
      <c r="C4" s="69"/>
      <c r="E4" s="68" t="s">
        <v>79</v>
      </c>
      <c r="F4" s="68">
        <v>1</v>
      </c>
      <c r="G4" s="68">
        <f>AVERAGE(H24:H32)</f>
        <v>4.0128205128205128</v>
      </c>
    </row>
    <row r="5" spans="1:11" ht="21" x14ac:dyDescent="0.25">
      <c r="A5" s="66" t="s">
        <v>77</v>
      </c>
      <c r="B5" s="68">
        <f>'Rep2'!E15</f>
        <v>172000</v>
      </c>
      <c r="C5" s="69"/>
      <c r="E5" s="68" t="s">
        <v>80</v>
      </c>
      <c r="F5" s="68">
        <v>1</v>
      </c>
      <c r="G5" s="68">
        <f>AVERAGE(K13:K21)</f>
        <v>1.8461538461538458</v>
      </c>
    </row>
    <row r="6" spans="1:11" ht="21" x14ac:dyDescent="0.25">
      <c r="A6" s="67" t="s">
        <v>77</v>
      </c>
      <c r="B6" s="68">
        <f>'Rep2'!E16</f>
        <v>191000</v>
      </c>
      <c r="C6" s="69"/>
      <c r="D6" s="69"/>
      <c r="E6" s="68" t="s">
        <v>84</v>
      </c>
      <c r="F6" s="68">
        <v>1</v>
      </c>
      <c r="G6" s="68">
        <f>AVERAGE(K24:K32)</f>
        <v>1.3639910813823857</v>
      </c>
    </row>
    <row r="7" spans="1:11" ht="21" x14ac:dyDescent="0.25">
      <c r="A7" s="66" t="s">
        <v>78</v>
      </c>
      <c r="B7" s="68">
        <f>'Rep2'!E17</f>
        <v>212000</v>
      </c>
      <c r="C7" s="69"/>
      <c r="D7" s="69"/>
      <c r="E7" s="69"/>
      <c r="F7" s="69"/>
      <c r="G7" s="68"/>
      <c r="H7" s="68"/>
      <c r="I7" s="68"/>
    </row>
    <row r="8" spans="1:11" ht="21" x14ac:dyDescent="0.25">
      <c r="A8" s="66" t="s">
        <v>72</v>
      </c>
      <c r="B8" s="68">
        <f>'Rep2'!E18</f>
        <v>216000</v>
      </c>
      <c r="C8" s="69"/>
      <c r="D8" s="69"/>
      <c r="E8" s="69"/>
      <c r="F8" s="69"/>
      <c r="G8" s="68"/>
      <c r="H8" s="68"/>
      <c r="I8" s="68"/>
    </row>
    <row r="9" spans="1:11" ht="21" x14ac:dyDescent="0.25">
      <c r="A9" s="67" t="s">
        <v>72</v>
      </c>
      <c r="B9" s="68">
        <f>'Rep2'!E19</f>
        <v>209000</v>
      </c>
      <c r="C9" s="69"/>
      <c r="D9" s="69"/>
      <c r="E9" s="69"/>
      <c r="F9" s="69"/>
      <c r="G9" s="68"/>
      <c r="H9" s="68"/>
      <c r="I9" s="68"/>
    </row>
    <row r="10" spans="1:11" ht="21" x14ac:dyDescent="0.25">
      <c r="A10" s="67"/>
      <c r="B10" s="68">
        <f>AVERAGE(B4:B9)</f>
        <v>199333.33333333334</v>
      </c>
      <c r="C10" s="69"/>
      <c r="D10" s="69"/>
      <c r="E10" s="69"/>
      <c r="F10" s="69"/>
      <c r="G10" s="69"/>
      <c r="H10" s="69"/>
      <c r="I10" s="69"/>
    </row>
    <row r="11" spans="1:11" x14ac:dyDescent="0.2">
      <c r="A11" s="69"/>
      <c r="B11" s="69"/>
      <c r="C11" s="69"/>
      <c r="D11" s="69"/>
      <c r="E11" s="69"/>
      <c r="F11" s="69"/>
      <c r="G11" s="69"/>
      <c r="H11" s="69"/>
      <c r="I11" s="69"/>
    </row>
    <row r="12" spans="1:11" ht="21" x14ac:dyDescent="0.25">
      <c r="A12" s="68" t="s">
        <v>73</v>
      </c>
      <c r="B12" s="69"/>
      <c r="C12" s="69"/>
      <c r="D12" s="68" t="s">
        <v>80</v>
      </c>
      <c r="E12" s="69"/>
      <c r="F12" s="69"/>
      <c r="G12" s="68" t="s">
        <v>73</v>
      </c>
      <c r="H12" s="69"/>
      <c r="I12" s="69"/>
      <c r="J12" s="68" t="s">
        <v>80</v>
      </c>
      <c r="K12" s="69"/>
    </row>
    <row r="13" spans="1:11" ht="22" x14ac:dyDescent="0.25">
      <c r="A13" s="71" t="s">
        <v>74</v>
      </c>
      <c r="B13" s="71">
        <f>'Rep2'!E25</f>
        <v>457000</v>
      </c>
      <c r="C13" s="69"/>
      <c r="D13" s="71" t="s">
        <v>81</v>
      </c>
      <c r="E13" s="71">
        <f>'Rep2'!M25</f>
        <v>375000</v>
      </c>
      <c r="F13" s="69"/>
      <c r="G13" s="71" t="s">
        <v>74</v>
      </c>
      <c r="H13" s="71">
        <f>B13/B10</f>
        <v>2.2926421404682271</v>
      </c>
      <c r="I13" s="69"/>
      <c r="J13" s="71" t="s">
        <v>81</v>
      </c>
      <c r="K13" s="71">
        <f>E13/B10</f>
        <v>1.8812709030100334</v>
      </c>
    </row>
    <row r="14" spans="1:11" ht="22" x14ac:dyDescent="0.25">
      <c r="A14" s="71" t="s">
        <v>74</v>
      </c>
      <c r="B14" s="71">
        <f>'Rep2'!E26</f>
        <v>515000</v>
      </c>
      <c r="C14" s="69"/>
      <c r="D14" s="71" t="s">
        <v>81</v>
      </c>
      <c r="E14" s="71">
        <f>'Rep2'!M26</f>
        <v>394000</v>
      </c>
      <c r="F14" s="69"/>
      <c r="G14" s="71" t="s">
        <v>74</v>
      </c>
      <c r="H14" s="71">
        <f>B14/B10</f>
        <v>2.583612040133779</v>
      </c>
      <c r="I14" s="69"/>
      <c r="J14" s="71" t="s">
        <v>81</v>
      </c>
      <c r="K14" s="71">
        <f>E14/B10</f>
        <v>1.9765886287625416</v>
      </c>
    </row>
    <row r="15" spans="1:11" ht="22" x14ac:dyDescent="0.25">
      <c r="A15" s="71" t="s">
        <v>74</v>
      </c>
      <c r="B15" s="71">
        <f>'Rep2'!E27</f>
        <v>492000</v>
      </c>
      <c r="C15" s="69"/>
      <c r="D15" s="71" t="s">
        <v>81</v>
      </c>
      <c r="E15" s="71">
        <f>'Rep2'!M27</f>
        <v>378000</v>
      </c>
      <c r="F15" s="69"/>
      <c r="G15" s="71" t="s">
        <v>74</v>
      </c>
      <c r="H15" s="71">
        <f>B15/B10</f>
        <v>2.4682274247491636</v>
      </c>
      <c r="I15" s="69"/>
      <c r="J15" s="71" t="s">
        <v>81</v>
      </c>
      <c r="K15" s="71">
        <f>E15/B10</f>
        <v>1.8963210702341136</v>
      </c>
    </row>
    <row r="16" spans="1:11" ht="22" x14ac:dyDescent="0.25">
      <c r="A16" s="71" t="s">
        <v>75</v>
      </c>
      <c r="B16" s="71">
        <f>'Rep2'!E28</f>
        <v>476000</v>
      </c>
      <c r="C16" s="69"/>
      <c r="D16" s="71" t="s">
        <v>82</v>
      </c>
      <c r="E16" s="71">
        <f>'Rep2'!M28</f>
        <v>376000</v>
      </c>
      <c r="F16" s="69"/>
      <c r="G16" s="71" t="s">
        <v>75</v>
      </c>
      <c r="H16" s="71">
        <f>B16/B10</f>
        <v>2.3879598662207355</v>
      </c>
      <c r="I16" s="69"/>
      <c r="J16" s="71" t="s">
        <v>82</v>
      </c>
      <c r="K16" s="71">
        <f>E16/B10</f>
        <v>1.8862876254180601</v>
      </c>
    </row>
    <row r="17" spans="1:12" ht="22" x14ac:dyDescent="0.25">
      <c r="A17" s="71" t="s">
        <v>75</v>
      </c>
      <c r="B17" s="71">
        <f>'Rep2'!E29</f>
        <v>437000</v>
      </c>
      <c r="C17" s="69"/>
      <c r="D17" s="71" t="s">
        <v>82</v>
      </c>
      <c r="E17" s="71">
        <f>'Rep2'!M29</f>
        <v>357000</v>
      </c>
      <c r="F17" s="69"/>
      <c r="G17" s="71" t="s">
        <v>75</v>
      </c>
      <c r="H17" s="71">
        <f>B17/B10</f>
        <v>2.1923076923076921</v>
      </c>
      <c r="I17" s="69"/>
      <c r="J17" s="71" t="s">
        <v>82</v>
      </c>
      <c r="K17" s="71">
        <f>E17/B10</f>
        <v>1.7909698996655516</v>
      </c>
    </row>
    <row r="18" spans="1:12" ht="22" x14ac:dyDescent="0.25">
      <c r="A18" s="71" t="s">
        <v>75</v>
      </c>
      <c r="B18" s="71">
        <f>'Rep2'!E30</f>
        <v>495000</v>
      </c>
      <c r="C18" s="69"/>
      <c r="D18" s="71" t="s">
        <v>82</v>
      </c>
      <c r="E18" s="71">
        <f>'Rep2'!M30</f>
        <v>330000</v>
      </c>
      <c r="F18" s="69"/>
      <c r="G18" s="71" t="s">
        <v>75</v>
      </c>
      <c r="H18" s="71">
        <f>B18/B10</f>
        <v>2.4832775919732439</v>
      </c>
      <c r="I18" s="69"/>
      <c r="J18" s="71" t="s">
        <v>82</v>
      </c>
      <c r="K18" s="71">
        <f>E18/B10</f>
        <v>1.6555183946488294</v>
      </c>
    </row>
    <row r="19" spans="1:12" ht="22" x14ac:dyDescent="0.25">
      <c r="A19" s="71" t="s">
        <v>76</v>
      </c>
      <c r="B19" s="71">
        <f>'Rep2'!E31</f>
        <v>435000</v>
      </c>
      <c r="C19" s="69"/>
      <c r="D19" s="71" t="s">
        <v>83</v>
      </c>
      <c r="E19" s="71">
        <f>'Rep2'!M31</f>
        <v>363000</v>
      </c>
      <c r="F19" s="69"/>
      <c r="G19" s="71" t="s">
        <v>76</v>
      </c>
      <c r="H19" s="71">
        <f>B19/B10</f>
        <v>2.1822742474916388</v>
      </c>
      <c r="I19" s="69"/>
      <c r="J19" s="71" t="s">
        <v>83</v>
      </c>
      <c r="K19" s="71">
        <f>E19/B10</f>
        <v>1.8210702341137124</v>
      </c>
    </row>
    <row r="20" spans="1:12" ht="22" x14ac:dyDescent="0.25">
      <c r="A20" s="71" t="s">
        <v>76</v>
      </c>
      <c r="B20" s="71">
        <f>'Rep2'!E32</f>
        <v>474000</v>
      </c>
      <c r="C20" s="69"/>
      <c r="D20" s="71" t="s">
        <v>83</v>
      </c>
      <c r="E20" s="71">
        <f>'Rep2'!M32</f>
        <v>350000</v>
      </c>
      <c r="F20" s="69"/>
      <c r="G20" s="71" t="s">
        <v>76</v>
      </c>
      <c r="H20" s="71">
        <f>B20/B10</f>
        <v>2.3779264214046822</v>
      </c>
      <c r="I20" s="69"/>
      <c r="J20" s="71" t="s">
        <v>83</v>
      </c>
      <c r="K20" s="71">
        <f>E20/B10</f>
        <v>1.7558528428093645</v>
      </c>
    </row>
    <row r="21" spans="1:12" ht="22" x14ac:dyDescent="0.25">
      <c r="A21" s="71" t="s">
        <v>76</v>
      </c>
      <c r="B21" s="71">
        <f>'Rep2'!E33</f>
        <v>453000</v>
      </c>
      <c r="C21" s="69"/>
      <c r="D21" s="71" t="s">
        <v>83</v>
      </c>
      <c r="E21" s="71">
        <f>'Rep2'!M33</f>
        <v>389000</v>
      </c>
      <c r="F21" s="69"/>
      <c r="G21" s="71" t="s">
        <v>76</v>
      </c>
      <c r="H21" s="71">
        <f>B21/B10</f>
        <v>2.2725752508361201</v>
      </c>
      <c r="I21" s="69"/>
      <c r="J21" s="71" t="s">
        <v>83</v>
      </c>
      <c r="K21" s="71">
        <f>E21/B10</f>
        <v>1.9515050167224079</v>
      </c>
    </row>
    <row r="22" spans="1:12" ht="21" x14ac:dyDescent="0.25">
      <c r="B22" s="68"/>
      <c r="C22" s="69"/>
      <c r="D22" s="67"/>
      <c r="E22" s="68"/>
      <c r="F22" s="69"/>
      <c r="H22" s="68"/>
      <c r="I22" s="69"/>
      <c r="J22" s="67"/>
      <c r="K22" s="68"/>
    </row>
    <row r="23" spans="1:12" ht="21" x14ac:dyDescent="0.25">
      <c r="A23" s="68" t="s">
        <v>79</v>
      </c>
      <c r="B23" s="69"/>
      <c r="C23" s="69"/>
      <c r="D23" s="68" t="s">
        <v>84</v>
      </c>
      <c r="E23" s="69"/>
      <c r="F23" s="69"/>
      <c r="G23" s="68" t="s">
        <v>79</v>
      </c>
      <c r="H23" s="69"/>
      <c r="I23" s="69"/>
      <c r="J23" s="68" t="s">
        <v>84</v>
      </c>
      <c r="K23" s="69"/>
    </row>
    <row r="24" spans="1:12" ht="22" x14ac:dyDescent="0.25">
      <c r="A24" s="71" t="s">
        <v>74</v>
      </c>
      <c r="B24" s="71">
        <f>'Rep2'!E39</f>
        <v>813000</v>
      </c>
      <c r="C24" s="69"/>
      <c r="D24" s="71" t="s">
        <v>81</v>
      </c>
      <c r="E24" s="71">
        <f>'Rep2'!M39</f>
        <v>278000</v>
      </c>
      <c r="F24" s="69"/>
      <c r="G24" s="71" t="s">
        <v>74</v>
      </c>
      <c r="H24" s="71">
        <f>B24/B10</f>
        <v>4.0785953177257523</v>
      </c>
      <c r="I24" s="69"/>
      <c r="J24" s="71" t="s">
        <v>81</v>
      </c>
      <c r="K24" s="71">
        <f>E24/B10</f>
        <v>1.3946488294314381</v>
      </c>
      <c r="L24" s="71">
        <f>AVERAGE(K24:K26)</f>
        <v>1.3612040133779262</v>
      </c>
    </row>
    <row r="25" spans="1:12" ht="22" x14ac:dyDescent="0.25">
      <c r="A25" s="71" t="s">
        <v>74</v>
      </c>
      <c r="B25" s="71">
        <f>'Rep2'!E40</f>
        <v>822000</v>
      </c>
      <c r="C25" s="69"/>
      <c r="D25" s="71" t="s">
        <v>81</v>
      </c>
      <c r="E25" s="71">
        <f>'Rep2'!M40</f>
        <v>273000</v>
      </c>
      <c r="F25" s="69"/>
      <c r="G25" s="71" t="s">
        <v>74</v>
      </c>
      <c r="H25" s="71">
        <f>B25/B10</f>
        <v>4.1237458193979935</v>
      </c>
      <c r="I25" s="69"/>
      <c r="J25" s="71" t="s">
        <v>81</v>
      </c>
      <c r="K25" s="71">
        <f>E25/B10</f>
        <v>1.3695652173913042</v>
      </c>
    </row>
    <row r="26" spans="1:12" ht="22" x14ac:dyDescent="0.25">
      <c r="A26" s="71" t="s">
        <v>74</v>
      </c>
      <c r="B26" s="71">
        <f>'Rep2'!E41</f>
        <v>824000</v>
      </c>
      <c r="C26" s="69"/>
      <c r="D26" s="71" t="s">
        <v>81</v>
      </c>
      <c r="E26" s="71">
        <f>'Rep2'!M41</f>
        <v>263000</v>
      </c>
      <c r="F26" s="69"/>
      <c r="G26" s="71" t="s">
        <v>74</v>
      </c>
      <c r="H26" s="71">
        <f>B26/B10</f>
        <v>4.1337792642140467</v>
      </c>
      <c r="I26" s="69"/>
      <c r="J26" s="71" t="s">
        <v>81</v>
      </c>
      <c r="K26" s="71">
        <f>E26/B10</f>
        <v>1.3193979933110367</v>
      </c>
    </row>
    <row r="27" spans="1:12" ht="22" x14ac:dyDescent="0.25">
      <c r="A27" s="71" t="s">
        <v>75</v>
      </c>
      <c r="B27" s="71">
        <f>'Rep2'!E42</f>
        <v>728000</v>
      </c>
      <c r="C27" s="69"/>
      <c r="D27" s="71" t="s">
        <v>82</v>
      </c>
      <c r="E27" s="71">
        <f>'Rep2'!M42</f>
        <v>284000</v>
      </c>
      <c r="F27" s="69"/>
      <c r="G27" s="71" t="s">
        <v>75</v>
      </c>
      <c r="H27" s="71">
        <f>B27/B10</f>
        <v>3.652173913043478</v>
      </c>
      <c r="I27" s="69"/>
      <c r="J27" s="71" t="s">
        <v>82</v>
      </c>
      <c r="K27" s="71">
        <f>E27/B10</f>
        <v>1.4247491638795986</v>
      </c>
      <c r="L27" s="71">
        <f>AVERAGE(K27:K29)</f>
        <v>1.3812709030100336</v>
      </c>
    </row>
    <row r="28" spans="1:12" ht="22" x14ac:dyDescent="0.25">
      <c r="A28" s="71" t="s">
        <v>75</v>
      </c>
      <c r="B28" s="71">
        <f>'Rep2'!E43</f>
        <v>774000</v>
      </c>
      <c r="C28" s="69"/>
      <c r="D28" s="71" t="s">
        <v>82</v>
      </c>
      <c r="E28" s="71">
        <f>'Rep2'!M43</f>
        <v>274000</v>
      </c>
      <c r="F28" s="69"/>
      <c r="G28" s="71" t="s">
        <v>75</v>
      </c>
      <c r="H28" s="71">
        <f>B28/B10</f>
        <v>3.8829431438127089</v>
      </c>
      <c r="I28" s="69"/>
      <c r="J28" s="71" t="s">
        <v>82</v>
      </c>
      <c r="K28" s="71">
        <f>E28/B10</f>
        <v>1.3745819397993311</v>
      </c>
    </row>
    <row r="29" spans="1:12" ht="22" x14ac:dyDescent="0.25">
      <c r="A29" s="71" t="s">
        <v>75</v>
      </c>
      <c r="B29" s="71">
        <f>'Rep2'!E44</f>
        <v>758000</v>
      </c>
      <c r="C29" s="69"/>
      <c r="D29" s="71" t="s">
        <v>82</v>
      </c>
      <c r="E29" s="71">
        <f>'Rep2'!M44</f>
        <v>268000</v>
      </c>
      <c r="F29" s="69"/>
      <c r="G29" s="71" t="s">
        <v>75</v>
      </c>
      <c r="H29" s="71">
        <f>B29/B10</f>
        <v>3.8026755852842808</v>
      </c>
      <c r="I29" s="69"/>
      <c r="J29" s="71" t="s">
        <v>82</v>
      </c>
      <c r="K29" s="71">
        <f>E29/B10</f>
        <v>1.3444816053511706</v>
      </c>
    </row>
    <row r="30" spans="1:12" ht="22" x14ac:dyDescent="0.25">
      <c r="A30" s="71" t="s">
        <v>76</v>
      </c>
      <c r="B30" s="71">
        <f>'Rep2'!E45</f>
        <v>751000</v>
      </c>
      <c r="C30" s="69"/>
      <c r="D30" s="71" t="s">
        <v>83</v>
      </c>
      <c r="E30" s="71">
        <f>'Rep2'!M45</f>
        <v>263000</v>
      </c>
      <c r="F30" s="69"/>
      <c r="G30" s="71" t="s">
        <v>76</v>
      </c>
      <c r="H30" s="71">
        <f>B30/B10</f>
        <v>3.7675585284280935</v>
      </c>
      <c r="I30" s="69"/>
      <c r="J30" s="71" t="s">
        <v>83</v>
      </c>
      <c r="K30" s="71">
        <f>E30/B10</f>
        <v>1.3193979933110367</v>
      </c>
      <c r="L30" s="71">
        <f>AVERAGE(K30:K32)</f>
        <v>1.3494983277591972</v>
      </c>
    </row>
    <row r="31" spans="1:12" ht="22" x14ac:dyDescent="0.25">
      <c r="A31" s="71" t="s">
        <v>76</v>
      </c>
      <c r="B31" s="71">
        <f>'Rep2'!E46</f>
        <v>857000</v>
      </c>
      <c r="C31" s="69"/>
      <c r="D31" s="71" t="s">
        <v>83</v>
      </c>
      <c r="E31" s="71">
        <f>'Rep2'!M46</f>
        <v>277000</v>
      </c>
      <c r="F31" s="69"/>
      <c r="G31" s="71" t="s">
        <v>76</v>
      </c>
      <c r="H31" s="71">
        <f>B31/B10</f>
        <v>4.2993311036789299</v>
      </c>
      <c r="I31" s="69"/>
      <c r="J31" s="71" t="s">
        <v>83</v>
      </c>
      <c r="K31" s="71">
        <f>E31/B10</f>
        <v>1.3896321070234112</v>
      </c>
    </row>
    <row r="32" spans="1:12" ht="22" x14ac:dyDescent="0.25">
      <c r="A32" s="71" t="s">
        <v>76</v>
      </c>
      <c r="B32" s="71">
        <f>'Rep2'!E47</f>
        <v>872000</v>
      </c>
      <c r="C32" s="69"/>
      <c r="D32" s="71" t="s">
        <v>83</v>
      </c>
      <c r="E32" s="71">
        <f>'Rep2'!M47</f>
        <v>267000</v>
      </c>
      <c r="F32" s="69"/>
      <c r="G32" s="71" t="s">
        <v>76</v>
      </c>
      <c r="H32" s="71">
        <f>B32/B10</f>
        <v>4.3745819397993309</v>
      </c>
      <c r="I32" s="69"/>
      <c r="J32" s="71" t="s">
        <v>83</v>
      </c>
      <c r="K32" s="71">
        <f>E32/B10</f>
        <v>1.3394648829431437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tabSelected="1" topLeftCell="B1" workbookViewId="0">
      <selection activeCell="L24" sqref="L24"/>
    </sheetView>
  </sheetViews>
  <sheetFormatPr baseColWidth="10" defaultRowHeight="15" x14ac:dyDescent="0.2"/>
  <cols>
    <col min="1" max="1" width="41.5" customWidth="1"/>
    <col min="2" max="2" width="24.83203125" customWidth="1"/>
    <col min="3" max="3" width="9.33203125" customWidth="1"/>
    <col min="4" max="4" width="43.83203125" customWidth="1"/>
    <col min="5" max="5" width="55.33203125" customWidth="1"/>
    <col min="7" max="7" width="34.33203125" customWidth="1"/>
    <col min="8" max="8" width="18.5" customWidth="1"/>
    <col min="9" max="9" width="5.6640625" customWidth="1"/>
    <col min="10" max="10" width="54.1640625" customWidth="1"/>
    <col min="11" max="11" width="15.1640625" bestFit="1" customWidth="1"/>
    <col min="12" max="12" width="33" customWidth="1"/>
  </cols>
  <sheetData>
    <row r="1" spans="1:11" ht="21" x14ac:dyDescent="0.25">
      <c r="A1" s="68" t="s">
        <v>70</v>
      </c>
      <c r="B1" s="69"/>
      <c r="C1" s="69"/>
      <c r="D1" s="69"/>
      <c r="E1" s="69"/>
      <c r="F1" s="69"/>
      <c r="G1" s="69"/>
      <c r="H1" s="69"/>
      <c r="I1" s="69"/>
    </row>
    <row r="2" spans="1:11" x14ac:dyDescent="0.2">
      <c r="A2" s="69"/>
      <c r="B2" s="69"/>
      <c r="C2" s="69"/>
      <c r="D2" s="69"/>
      <c r="E2" s="69"/>
      <c r="F2" s="69"/>
      <c r="G2" s="69"/>
      <c r="H2" s="69"/>
      <c r="I2" s="69"/>
    </row>
    <row r="3" spans="1:11" ht="22" x14ac:dyDescent="0.25">
      <c r="A3" s="70" t="s">
        <v>0</v>
      </c>
      <c r="B3" s="71" t="s">
        <v>1</v>
      </c>
      <c r="C3" s="69"/>
      <c r="E3" s="68" t="s">
        <v>73</v>
      </c>
      <c r="F3" s="68">
        <v>1</v>
      </c>
      <c r="G3" s="68">
        <f>AVERAGE(H13:H21)</f>
        <v>2.0884270578647106</v>
      </c>
      <c r="H3" s="69"/>
      <c r="I3" s="69"/>
    </row>
    <row r="4" spans="1:11" ht="21" x14ac:dyDescent="0.25">
      <c r="A4" s="66" t="s">
        <v>71</v>
      </c>
      <c r="B4" s="68">
        <f>'Rep3'!E12</f>
        <v>270000</v>
      </c>
      <c r="C4" s="69"/>
      <c r="E4" s="68" t="s">
        <v>79</v>
      </c>
      <c r="F4" s="68">
        <v>1</v>
      </c>
      <c r="G4" s="68">
        <f>AVERAGE(H24:H32)</f>
        <v>3.533822330888345</v>
      </c>
    </row>
    <row r="5" spans="1:11" ht="21" x14ac:dyDescent="0.25">
      <c r="A5" s="66" t="s">
        <v>77</v>
      </c>
      <c r="B5" s="68">
        <f>'Rep3'!E13</f>
        <v>253000</v>
      </c>
      <c r="C5" s="69"/>
      <c r="E5" s="68" t="s">
        <v>80</v>
      </c>
      <c r="F5" s="68">
        <v>1</v>
      </c>
      <c r="G5" s="68">
        <f>AVERAGE(K13:K21)</f>
        <v>1.5493072534637327</v>
      </c>
    </row>
    <row r="6" spans="1:11" ht="21" x14ac:dyDescent="0.25">
      <c r="A6" s="67" t="s">
        <v>77</v>
      </c>
      <c r="B6" s="68">
        <f>'Rep3'!E14</f>
        <v>286000</v>
      </c>
      <c r="C6" s="69"/>
      <c r="D6" s="69"/>
      <c r="E6" s="68" t="s">
        <v>84</v>
      </c>
      <c r="F6" s="68">
        <v>1</v>
      </c>
      <c r="G6" s="68">
        <f>AVERAGE(K24:K32)</f>
        <v>0.9726976365118174</v>
      </c>
    </row>
    <row r="7" spans="1:11" ht="21" x14ac:dyDescent="0.25">
      <c r="A7" s="66" t="s">
        <v>78</v>
      </c>
      <c r="B7" s="68">
        <f>'Rep3'!E15</f>
        <v>281000</v>
      </c>
      <c r="C7" s="69"/>
      <c r="D7" s="69"/>
      <c r="E7" s="69"/>
      <c r="F7" s="69"/>
      <c r="G7" s="68"/>
      <c r="H7" s="68"/>
      <c r="I7" s="68"/>
    </row>
    <row r="8" spans="1:11" ht="21" x14ac:dyDescent="0.25">
      <c r="A8" s="66" t="s">
        <v>72</v>
      </c>
      <c r="B8" s="68">
        <f>'Rep3'!E16</f>
        <v>284000</v>
      </c>
      <c r="C8" s="69"/>
      <c r="D8" s="69"/>
      <c r="E8" s="69"/>
      <c r="F8" s="69"/>
      <c r="G8" s="68"/>
      <c r="H8" s="68"/>
      <c r="I8" s="68"/>
    </row>
    <row r="9" spans="1:11" ht="21" x14ac:dyDescent="0.25">
      <c r="A9" s="67" t="s">
        <v>72</v>
      </c>
      <c r="B9" s="68">
        <f>'Rep3'!E17</f>
        <v>262000</v>
      </c>
      <c r="C9" s="69"/>
      <c r="D9" s="69"/>
      <c r="E9" s="69"/>
      <c r="F9" s="69"/>
      <c r="G9" s="68"/>
      <c r="H9" s="68"/>
      <c r="I9" s="68"/>
    </row>
    <row r="10" spans="1:11" ht="21" x14ac:dyDescent="0.25">
      <c r="A10" s="67"/>
      <c r="B10" s="68">
        <f>AVERAGE(B4:B9)</f>
        <v>272666.66666666669</v>
      </c>
      <c r="C10" s="69"/>
      <c r="D10" s="69"/>
      <c r="E10" s="69"/>
      <c r="F10" s="69"/>
      <c r="G10" s="69"/>
      <c r="H10" s="69"/>
      <c r="I10" s="69"/>
    </row>
    <row r="11" spans="1:11" x14ac:dyDescent="0.2">
      <c r="A11" s="69"/>
      <c r="B11" s="69"/>
      <c r="C11" s="69"/>
      <c r="D11" s="69"/>
      <c r="E11" s="69"/>
      <c r="F11" s="69"/>
      <c r="G11" s="69"/>
      <c r="H11" s="69"/>
      <c r="I11" s="69"/>
    </row>
    <row r="12" spans="1:11" ht="21" x14ac:dyDescent="0.25">
      <c r="A12" s="68" t="s">
        <v>73</v>
      </c>
      <c r="B12" s="69"/>
      <c r="C12" s="69"/>
      <c r="D12" s="68" t="s">
        <v>80</v>
      </c>
      <c r="E12" s="69"/>
      <c r="F12" s="69"/>
      <c r="G12" s="68" t="s">
        <v>73</v>
      </c>
      <c r="H12" s="69"/>
      <c r="I12" s="69"/>
      <c r="J12" s="68" t="s">
        <v>80</v>
      </c>
      <c r="K12" s="69"/>
    </row>
    <row r="13" spans="1:11" ht="22" x14ac:dyDescent="0.25">
      <c r="A13" s="71" t="s">
        <v>74</v>
      </c>
      <c r="B13" s="71">
        <f>'Rep3'!E23</f>
        <v>600000</v>
      </c>
      <c r="C13" s="69"/>
      <c r="D13" s="71" t="s">
        <v>81</v>
      </c>
      <c r="E13" s="71">
        <f>'Rep3'!M23</f>
        <v>388000</v>
      </c>
      <c r="F13" s="69"/>
      <c r="G13" s="71" t="s">
        <v>74</v>
      </c>
      <c r="H13" s="71">
        <f>B13/B10</f>
        <v>2.2004889975550119</v>
      </c>
      <c r="I13" s="69"/>
      <c r="J13" s="71" t="s">
        <v>81</v>
      </c>
      <c r="K13" s="71">
        <f>E13/B10</f>
        <v>1.4229828850855746</v>
      </c>
    </row>
    <row r="14" spans="1:11" ht="22" x14ac:dyDescent="0.25">
      <c r="A14" s="71" t="s">
        <v>74</v>
      </c>
      <c r="B14" s="71">
        <f>'Rep3'!E24</f>
        <v>618000</v>
      </c>
      <c r="C14" s="69"/>
      <c r="D14" s="71" t="s">
        <v>81</v>
      </c>
      <c r="E14" s="71">
        <f>'Rep3'!M24</f>
        <v>416000</v>
      </c>
      <c r="F14" s="69"/>
      <c r="G14" s="71" t="s">
        <v>74</v>
      </c>
      <c r="H14" s="71">
        <f>B14/B10</f>
        <v>2.2665036674816625</v>
      </c>
      <c r="I14" s="69"/>
      <c r="J14" s="71" t="s">
        <v>81</v>
      </c>
      <c r="K14" s="71">
        <f>E14/B10</f>
        <v>1.5256723716381417</v>
      </c>
    </row>
    <row r="15" spans="1:11" ht="22" x14ac:dyDescent="0.25">
      <c r="A15" s="71" t="s">
        <v>74</v>
      </c>
      <c r="B15" s="71">
        <f>'Rep3'!E25</f>
        <v>594000</v>
      </c>
      <c r="C15" s="69"/>
      <c r="D15" s="71" t="s">
        <v>81</v>
      </c>
      <c r="E15" s="71">
        <f>'Rep3'!M25</f>
        <v>382000</v>
      </c>
      <c r="F15" s="69"/>
      <c r="G15" s="71" t="s">
        <v>74</v>
      </c>
      <c r="H15" s="71">
        <f>B15/B10</f>
        <v>2.1784841075794619</v>
      </c>
      <c r="I15" s="69"/>
      <c r="J15" s="71" t="s">
        <v>81</v>
      </c>
      <c r="K15" s="71">
        <f>E15/B10</f>
        <v>1.4009779951100243</v>
      </c>
    </row>
    <row r="16" spans="1:11" ht="22" x14ac:dyDescent="0.25">
      <c r="A16" s="71" t="s">
        <v>75</v>
      </c>
      <c r="B16" s="71">
        <f>'Rep3'!E26</f>
        <v>543000</v>
      </c>
      <c r="C16" s="69"/>
      <c r="D16" s="71" t="s">
        <v>82</v>
      </c>
      <c r="E16" s="71">
        <f>'Rep3'!M26</f>
        <v>426000</v>
      </c>
      <c r="F16" s="69"/>
      <c r="G16" s="71" t="s">
        <v>75</v>
      </c>
      <c r="H16" s="71">
        <f>B16/B10</f>
        <v>1.9914425427872859</v>
      </c>
      <c r="I16" s="69"/>
      <c r="J16" s="71" t="s">
        <v>82</v>
      </c>
      <c r="K16" s="71">
        <f>E16/B10</f>
        <v>1.5623471882640585</v>
      </c>
    </row>
    <row r="17" spans="1:12" ht="22" x14ac:dyDescent="0.25">
      <c r="A17" s="71" t="s">
        <v>75</v>
      </c>
      <c r="B17" s="71">
        <f>'Rep3'!E27</f>
        <v>588000</v>
      </c>
      <c r="C17" s="69"/>
      <c r="D17" s="71" t="s">
        <v>82</v>
      </c>
      <c r="E17" s="71">
        <f>'Rep3'!M27</f>
        <v>466000</v>
      </c>
      <c r="F17" s="69"/>
      <c r="G17" s="71" t="s">
        <v>75</v>
      </c>
      <c r="H17" s="71">
        <f>B17/B10</f>
        <v>2.1564792176039118</v>
      </c>
      <c r="I17" s="69"/>
      <c r="J17" s="71" t="s">
        <v>82</v>
      </c>
      <c r="K17" s="71">
        <f>E17/B10</f>
        <v>1.709046454767726</v>
      </c>
    </row>
    <row r="18" spans="1:12" ht="22" x14ac:dyDescent="0.25">
      <c r="A18" s="71" t="s">
        <v>75</v>
      </c>
      <c r="B18" s="71">
        <f>'Rep3'!E28</f>
        <v>556000</v>
      </c>
      <c r="C18" s="69"/>
      <c r="D18" s="71" t="s">
        <v>82</v>
      </c>
      <c r="E18" s="71">
        <f>'Rep3'!M28</f>
        <v>446000</v>
      </c>
      <c r="F18" s="69"/>
      <c r="G18" s="71" t="s">
        <v>75</v>
      </c>
      <c r="H18" s="71">
        <f>B18/B10</f>
        <v>2.0391198044009777</v>
      </c>
      <c r="I18" s="69"/>
      <c r="J18" s="71" t="s">
        <v>82</v>
      </c>
      <c r="K18" s="71">
        <f>E18/B10</f>
        <v>1.6356968215158922</v>
      </c>
    </row>
    <row r="19" spans="1:12" ht="22" x14ac:dyDescent="0.25">
      <c r="A19" s="71" t="s">
        <v>76</v>
      </c>
      <c r="B19" s="71">
        <f>'Rep3'!E29</f>
        <v>517000</v>
      </c>
      <c r="C19" s="69"/>
      <c r="D19" s="71" t="s">
        <v>83</v>
      </c>
      <c r="E19" s="71">
        <f>'Rep3'!M29</f>
        <v>413000</v>
      </c>
      <c r="F19" s="69"/>
      <c r="G19" s="71" t="s">
        <v>76</v>
      </c>
      <c r="H19" s="71">
        <f>B19/B10</f>
        <v>1.8960880195599021</v>
      </c>
      <c r="I19" s="69"/>
      <c r="J19" s="71" t="s">
        <v>83</v>
      </c>
      <c r="K19" s="71">
        <f>E19/B10</f>
        <v>1.5146699266503667</v>
      </c>
    </row>
    <row r="20" spans="1:12" ht="22" x14ac:dyDescent="0.25">
      <c r="A20" s="71" t="s">
        <v>76</v>
      </c>
      <c r="B20" s="71">
        <f>'Rep3'!E30</f>
        <v>523000</v>
      </c>
      <c r="C20" s="69"/>
      <c r="D20" s="71" t="s">
        <v>83</v>
      </c>
      <c r="E20" s="71">
        <f>'Rep3'!M30</f>
        <v>440000</v>
      </c>
      <c r="F20" s="69"/>
      <c r="G20" s="71" t="s">
        <v>76</v>
      </c>
      <c r="H20" s="71">
        <f>B20/B10</f>
        <v>1.9180929095354522</v>
      </c>
      <c r="I20" s="69"/>
      <c r="J20" s="71" t="s">
        <v>83</v>
      </c>
      <c r="K20" s="71">
        <f>E20/B10</f>
        <v>1.6136919315403422</v>
      </c>
    </row>
    <row r="21" spans="1:12" ht="22" x14ac:dyDescent="0.25">
      <c r="A21" s="71" t="s">
        <v>76</v>
      </c>
      <c r="B21" s="71">
        <f>'Rep3'!E31</f>
        <v>586000</v>
      </c>
      <c r="C21" s="69"/>
      <c r="D21" s="71" t="s">
        <v>83</v>
      </c>
      <c r="E21" s="71">
        <f>'Rep3'!M31</f>
        <v>425000</v>
      </c>
      <c r="F21" s="69"/>
      <c r="G21" s="71" t="s">
        <v>76</v>
      </c>
      <c r="H21" s="71">
        <f>B21/B10</f>
        <v>2.1491442542787285</v>
      </c>
      <c r="I21" s="69"/>
      <c r="J21" s="71" t="s">
        <v>83</v>
      </c>
      <c r="K21" s="71">
        <f>E21/B10</f>
        <v>1.5586797066014668</v>
      </c>
    </row>
    <row r="22" spans="1:12" ht="21" x14ac:dyDescent="0.25">
      <c r="B22" s="68"/>
      <c r="C22" s="69"/>
      <c r="D22" s="67"/>
      <c r="E22" s="68"/>
      <c r="F22" s="69"/>
      <c r="H22" s="68"/>
      <c r="I22" s="69"/>
      <c r="J22" s="67"/>
      <c r="K22" s="68"/>
    </row>
    <row r="23" spans="1:12" ht="21" x14ac:dyDescent="0.25">
      <c r="A23" s="68" t="s">
        <v>79</v>
      </c>
      <c r="B23" s="69"/>
      <c r="C23" s="69"/>
      <c r="D23" s="68" t="s">
        <v>84</v>
      </c>
      <c r="E23" s="69"/>
      <c r="F23" s="69"/>
      <c r="G23" s="68" t="s">
        <v>79</v>
      </c>
      <c r="H23" s="69"/>
      <c r="I23" s="69"/>
      <c r="J23" s="68" t="s">
        <v>84</v>
      </c>
      <c r="K23" s="69"/>
    </row>
    <row r="24" spans="1:12" ht="22" x14ac:dyDescent="0.25">
      <c r="A24" s="71" t="s">
        <v>74</v>
      </c>
      <c r="B24" s="71">
        <f>'Rep3'!E37</f>
        <v>956000</v>
      </c>
      <c r="C24" s="69"/>
      <c r="D24" s="71" t="s">
        <v>81</v>
      </c>
      <c r="E24" s="71">
        <f>'Rep3'!M37</f>
        <v>268000</v>
      </c>
      <c r="F24" s="69"/>
      <c r="G24" s="71" t="s">
        <v>74</v>
      </c>
      <c r="H24" s="71">
        <f>B24/B10</f>
        <v>3.5061124694376526</v>
      </c>
      <c r="I24" s="69"/>
      <c r="J24" s="71" t="s">
        <v>81</v>
      </c>
      <c r="K24" s="71">
        <f>E24/B10</f>
        <v>0.9828850855745721</v>
      </c>
      <c r="L24" s="71">
        <f>AVERAGE(K24:K26)</f>
        <v>0.95721271393643026</v>
      </c>
    </row>
    <row r="25" spans="1:12" ht="22" x14ac:dyDescent="0.25">
      <c r="A25" s="71" t="s">
        <v>74</v>
      </c>
      <c r="B25" s="71">
        <f>'Rep3'!E38</f>
        <v>957000</v>
      </c>
      <c r="C25" s="69"/>
      <c r="D25" s="71" t="s">
        <v>81</v>
      </c>
      <c r="E25" s="71">
        <f>'Rep3'!M38</f>
        <v>254000</v>
      </c>
      <c r="F25" s="69"/>
      <c r="G25" s="71" t="s">
        <v>74</v>
      </c>
      <c r="H25" s="71">
        <f>B25/B10</f>
        <v>3.5097799511002443</v>
      </c>
      <c r="I25" s="69"/>
      <c r="J25" s="71" t="s">
        <v>81</v>
      </c>
      <c r="K25" s="71">
        <f>E25/B10</f>
        <v>0.93154034229828842</v>
      </c>
    </row>
    <row r="26" spans="1:12" ht="22" x14ac:dyDescent="0.25">
      <c r="A26" s="71" t="s">
        <v>74</v>
      </c>
      <c r="B26" s="71">
        <f>'Rep3'!E39</f>
        <v>983000</v>
      </c>
      <c r="C26" s="69"/>
      <c r="D26" s="71" t="s">
        <v>81</v>
      </c>
      <c r="E26" s="71">
        <f>'Rep3'!M39</f>
        <v>261000</v>
      </c>
      <c r="F26" s="69"/>
      <c r="G26" s="71" t="s">
        <v>74</v>
      </c>
      <c r="H26" s="71">
        <f>B26/B10</f>
        <v>3.6051344743276279</v>
      </c>
      <c r="I26" s="69"/>
      <c r="J26" s="71" t="s">
        <v>81</v>
      </c>
      <c r="K26" s="71">
        <f>E26/B10</f>
        <v>0.95721271393643026</v>
      </c>
    </row>
    <row r="27" spans="1:12" ht="22" x14ac:dyDescent="0.25">
      <c r="A27" s="71" t="s">
        <v>75</v>
      </c>
      <c r="B27" s="71">
        <f>'Rep3'!E40</f>
        <v>929000</v>
      </c>
      <c r="C27" s="69"/>
      <c r="D27" s="71" t="s">
        <v>82</v>
      </c>
      <c r="E27" s="71">
        <f>'Rep3'!M40</f>
        <v>265000</v>
      </c>
      <c r="F27" s="69"/>
      <c r="G27" s="71" t="s">
        <v>75</v>
      </c>
      <c r="H27" s="71">
        <f>B27/B10</f>
        <v>3.4070904645476769</v>
      </c>
      <c r="I27" s="69"/>
      <c r="J27" s="71" t="s">
        <v>82</v>
      </c>
      <c r="K27" s="71">
        <f>E27/B10</f>
        <v>0.97188264058679696</v>
      </c>
      <c r="L27" s="71">
        <f>AVERAGE(K27:K29)</f>
        <v>0.98777506112469426</v>
      </c>
    </row>
    <row r="28" spans="1:12" ht="22" x14ac:dyDescent="0.25">
      <c r="A28" s="71" t="s">
        <v>75</v>
      </c>
      <c r="B28" s="71">
        <f>'Rep3'!E41</f>
        <v>963000</v>
      </c>
      <c r="C28" s="69"/>
      <c r="D28" s="71" t="s">
        <v>82</v>
      </c>
      <c r="E28" s="71">
        <f>'Rep3'!M41</f>
        <v>256000</v>
      </c>
      <c r="F28" s="69"/>
      <c r="G28" s="71" t="s">
        <v>75</v>
      </c>
      <c r="H28" s="71">
        <f>B28/B10</f>
        <v>3.5317848410757944</v>
      </c>
      <c r="I28" s="69"/>
      <c r="J28" s="71" t="s">
        <v>82</v>
      </c>
      <c r="K28" s="71">
        <f>E28/B10</f>
        <v>0.93887530562347177</v>
      </c>
    </row>
    <row r="29" spans="1:12" ht="22" x14ac:dyDescent="0.25">
      <c r="A29" s="71" t="s">
        <v>75</v>
      </c>
      <c r="B29" s="71">
        <f>'Rep3'!E42</f>
        <v>982000</v>
      </c>
      <c r="C29" s="69"/>
      <c r="D29" s="71" t="s">
        <v>82</v>
      </c>
      <c r="E29" s="71">
        <f>'Rep3'!M42</f>
        <v>287000</v>
      </c>
      <c r="F29" s="69"/>
      <c r="G29" s="71" t="s">
        <v>75</v>
      </c>
      <c r="H29" s="71">
        <f>B29/B10</f>
        <v>3.6014669926650362</v>
      </c>
      <c r="I29" s="69"/>
      <c r="J29" s="71" t="s">
        <v>82</v>
      </c>
      <c r="K29" s="71">
        <f>E29/B10</f>
        <v>1.0525672371638142</v>
      </c>
    </row>
    <row r="30" spans="1:12" ht="22" x14ac:dyDescent="0.25">
      <c r="A30" s="71" t="s">
        <v>76</v>
      </c>
      <c r="B30" s="71">
        <f>'Rep3'!E43</f>
        <v>976000</v>
      </c>
      <c r="C30" s="69"/>
      <c r="D30" s="71" t="s">
        <v>83</v>
      </c>
      <c r="E30" s="71">
        <f>'Rep3'!M43</f>
        <v>278000</v>
      </c>
      <c r="F30" s="69"/>
      <c r="G30" s="71" t="s">
        <v>76</v>
      </c>
      <c r="H30" s="71">
        <f>B30/B10</f>
        <v>3.5794621026894862</v>
      </c>
      <c r="I30" s="69"/>
      <c r="J30" s="71" t="s">
        <v>83</v>
      </c>
      <c r="K30" s="71">
        <f>E30/B10</f>
        <v>1.0195599022004889</v>
      </c>
      <c r="L30" s="71">
        <f>AVERAGE(K30:K32)</f>
        <v>0.97310513447432756</v>
      </c>
    </row>
    <row r="31" spans="1:12" ht="22" x14ac:dyDescent="0.25">
      <c r="A31" s="71" t="s">
        <v>76</v>
      </c>
      <c r="B31" s="71">
        <f>'Rep3'!E44</f>
        <v>937000</v>
      </c>
      <c r="C31" s="69"/>
      <c r="D31" s="71" t="s">
        <v>83</v>
      </c>
      <c r="E31" s="71">
        <f>'Rep3'!M44</f>
        <v>252000</v>
      </c>
      <c r="F31" s="69"/>
      <c r="G31" s="71" t="s">
        <v>76</v>
      </c>
      <c r="H31" s="71">
        <f>B31/B10</f>
        <v>3.4364303178484104</v>
      </c>
      <c r="I31" s="69"/>
      <c r="J31" s="71" t="s">
        <v>83</v>
      </c>
      <c r="K31" s="71">
        <f>E31/B10</f>
        <v>0.92420537897310506</v>
      </c>
    </row>
    <row r="32" spans="1:12" ht="22" x14ac:dyDescent="0.25">
      <c r="A32" s="71" t="s">
        <v>76</v>
      </c>
      <c r="B32" s="71">
        <f>'Rep3'!E45</f>
        <v>989000</v>
      </c>
      <c r="C32" s="69"/>
      <c r="D32" s="71" t="s">
        <v>83</v>
      </c>
      <c r="E32" s="71">
        <f>'Rep3'!M45</f>
        <v>266000</v>
      </c>
      <c r="F32" s="69"/>
      <c r="G32" s="71" t="s">
        <v>76</v>
      </c>
      <c r="H32" s="71">
        <f>B32/B10</f>
        <v>3.6271393643031784</v>
      </c>
      <c r="I32" s="69"/>
      <c r="J32" s="71" t="s">
        <v>83</v>
      </c>
      <c r="K32" s="71">
        <f>E32/B10</f>
        <v>0.97555012224938864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Rep1 </vt:lpstr>
      <vt:lpstr>Rep2</vt:lpstr>
      <vt:lpstr>Rep3</vt:lpstr>
      <vt:lpstr>Rep1 17days</vt:lpstr>
      <vt:lpstr>Rep2 17days</vt:lpstr>
      <vt:lpstr>Rep3 17days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2018-09-24T18:58:03Z</dcterms:created>
  <dcterms:modified xsi:type="dcterms:W3CDTF">2025-08-06T19:29:56Z</dcterms:modified>
</cp:coreProperties>
</file>