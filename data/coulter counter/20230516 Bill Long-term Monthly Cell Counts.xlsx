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weihe/Documents/VT/R01/Data/"/>
    </mc:Choice>
  </mc:AlternateContent>
  <xr:revisionPtr revIDLastSave="0" documentId="13_ncr:1_{1BCF3D9C-DBB7-EF44-9076-F70E7B96048E}" xr6:coauthVersionLast="47" xr6:coauthVersionMax="47" xr10:uidLastSave="{00000000-0000-0000-0000-000000000000}"/>
  <bookViews>
    <workbookView xWindow="20360" yWindow="500" windowWidth="34560" windowHeight="19520" activeTab="1" xr2:uid="{00000000-000D-0000-FFFF-FFFF00000000}"/>
  </bookViews>
  <sheets>
    <sheet name="Sheet1" sheetId="1" r:id="rId1"/>
    <sheet name="Sheet2"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43" i="2" l="1"/>
  <c r="B153" i="2" l="1"/>
  <c r="B152" i="2"/>
  <c r="B151" i="2"/>
  <c r="A153" i="2"/>
  <c r="A152" i="2"/>
  <c r="A151" i="2"/>
  <c r="B147" i="2"/>
  <c r="B146" i="2"/>
  <c r="B145" i="2"/>
  <c r="A147" i="2"/>
  <c r="A146" i="2"/>
  <c r="A145" i="2"/>
  <c r="B141" i="2"/>
  <c r="B140" i="2"/>
  <c r="B139" i="2"/>
  <c r="A141" i="2"/>
  <c r="A140" i="2"/>
  <c r="A139" i="2"/>
  <c r="B135" i="2"/>
  <c r="B134" i="2"/>
  <c r="B133" i="2"/>
  <c r="A135" i="2"/>
  <c r="A134" i="2"/>
  <c r="A133" i="2"/>
  <c r="B129" i="2"/>
  <c r="B128" i="2"/>
  <c r="B127" i="2"/>
  <c r="B124" i="2"/>
  <c r="B123" i="2"/>
  <c r="B122" i="2"/>
  <c r="A129" i="2"/>
  <c r="A128" i="2"/>
  <c r="A127" i="2"/>
  <c r="A124" i="2"/>
  <c r="A123" i="2"/>
  <c r="A122" i="2"/>
  <c r="K146" i="1"/>
  <c r="M146" i="1" s="1"/>
  <c r="C146" i="1"/>
  <c r="E146" i="1" s="1"/>
  <c r="K145" i="1"/>
  <c r="M145" i="1" s="1"/>
  <c r="N144" i="1" s="1"/>
  <c r="E145" i="1"/>
  <c r="C145" i="1"/>
  <c r="M144" i="1"/>
  <c r="K144" i="1"/>
  <c r="C144" i="1"/>
  <c r="E144" i="1" s="1"/>
  <c r="M141" i="1"/>
  <c r="K141" i="1"/>
  <c r="C141" i="1"/>
  <c r="E141" i="1" s="1"/>
  <c r="M140" i="1"/>
  <c r="K140" i="1"/>
  <c r="C140" i="1"/>
  <c r="E140" i="1" s="1"/>
  <c r="O139" i="1"/>
  <c r="M139" i="1"/>
  <c r="N139" i="1" s="1"/>
  <c r="K139" i="1"/>
  <c r="E139" i="1"/>
  <c r="C139" i="1"/>
  <c r="K136" i="1"/>
  <c r="M136" i="1" s="1"/>
  <c r="C136" i="1"/>
  <c r="E136" i="1" s="1"/>
  <c r="M135" i="1"/>
  <c r="K135" i="1"/>
  <c r="C135" i="1"/>
  <c r="E135" i="1" s="1"/>
  <c r="K134" i="1"/>
  <c r="O134" i="1" s="1"/>
  <c r="E134" i="1"/>
  <c r="F134" i="1" s="1"/>
  <c r="C134" i="1"/>
  <c r="K127" i="1"/>
  <c r="M127" i="1" s="1"/>
  <c r="C127" i="1"/>
  <c r="E127" i="1" s="1"/>
  <c r="K126" i="1"/>
  <c r="M126" i="1" s="1"/>
  <c r="E126" i="1"/>
  <c r="C126" i="1"/>
  <c r="O125" i="1"/>
  <c r="K125" i="1"/>
  <c r="M125" i="1" s="1"/>
  <c r="N125" i="1" s="1"/>
  <c r="C125" i="1"/>
  <c r="E125" i="1" s="1"/>
  <c r="M122" i="1"/>
  <c r="K122" i="1"/>
  <c r="C122" i="1"/>
  <c r="E122" i="1" s="1"/>
  <c r="K121" i="1"/>
  <c r="M121" i="1" s="1"/>
  <c r="C121" i="1"/>
  <c r="E121" i="1" s="1"/>
  <c r="O120" i="1"/>
  <c r="M120" i="1"/>
  <c r="N120" i="1" s="1"/>
  <c r="K120" i="1"/>
  <c r="C120" i="1"/>
  <c r="E120" i="1" s="1"/>
  <c r="K117" i="1"/>
  <c r="M117" i="1" s="1"/>
  <c r="C117" i="1"/>
  <c r="E117" i="1" s="1"/>
  <c r="M116" i="1"/>
  <c r="K116" i="1"/>
  <c r="C116" i="1"/>
  <c r="E116" i="1" s="1"/>
  <c r="K115" i="1"/>
  <c r="O115" i="1" s="1"/>
  <c r="E115" i="1"/>
  <c r="C115" i="1"/>
  <c r="A109" i="2"/>
  <c r="A108" i="2"/>
  <c r="B104" i="2"/>
  <c r="B67" i="2"/>
  <c r="K110" i="1"/>
  <c r="M110" i="1" s="1"/>
  <c r="B116" i="2" s="1"/>
  <c r="C110" i="1"/>
  <c r="E110" i="1" s="1"/>
  <c r="A116" i="2" s="1"/>
  <c r="K109" i="1"/>
  <c r="M109" i="1" s="1"/>
  <c r="B115" i="2" s="1"/>
  <c r="C109" i="1"/>
  <c r="E109" i="1" s="1"/>
  <c r="A115" i="2" s="1"/>
  <c r="K108" i="1"/>
  <c r="M108" i="1" s="1"/>
  <c r="B114" i="2" s="1"/>
  <c r="C108" i="1"/>
  <c r="E108" i="1" s="1"/>
  <c r="A114" i="2" s="1"/>
  <c r="K105" i="1"/>
  <c r="M105" i="1" s="1"/>
  <c r="B110" i="2" s="1"/>
  <c r="C105" i="1"/>
  <c r="E105" i="1" s="1"/>
  <c r="A110" i="2" s="1"/>
  <c r="K104" i="1"/>
  <c r="M104" i="1" s="1"/>
  <c r="B109" i="2" s="1"/>
  <c r="C104" i="1"/>
  <c r="E104" i="1" s="1"/>
  <c r="K103" i="1"/>
  <c r="M103" i="1" s="1"/>
  <c r="B108" i="2" s="1"/>
  <c r="C103" i="1"/>
  <c r="E103" i="1" s="1"/>
  <c r="K100" i="1"/>
  <c r="M100" i="1" s="1"/>
  <c r="C100" i="1"/>
  <c r="E100" i="1" s="1"/>
  <c r="A104" i="2" s="1"/>
  <c r="K99" i="1"/>
  <c r="M99" i="1" s="1"/>
  <c r="B103" i="2" s="1"/>
  <c r="C99" i="1"/>
  <c r="E99" i="1" s="1"/>
  <c r="A103" i="2" s="1"/>
  <c r="K98" i="1"/>
  <c r="C98" i="1"/>
  <c r="E98" i="1" s="1"/>
  <c r="A102" i="2" s="1"/>
  <c r="K91" i="1"/>
  <c r="M91" i="1" s="1"/>
  <c r="B97" i="2" s="1"/>
  <c r="C91" i="1"/>
  <c r="E91" i="1" s="1"/>
  <c r="A97" i="2" s="1"/>
  <c r="K90" i="1"/>
  <c r="M90" i="1" s="1"/>
  <c r="B96" i="2" s="1"/>
  <c r="C90" i="1"/>
  <c r="E90" i="1" s="1"/>
  <c r="A96" i="2" s="1"/>
  <c r="K89" i="1"/>
  <c r="C89" i="1"/>
  <c r="E89" i="1" s="1"/>
  <c r="A95" i="2" s="1"/>
  <c r="K86" i="1"/>
  <c r="M86" i="1" s="1"/>
  <c r="B92" i="2" s="1"/>
  <c r="C86" i="1"/>
  <c r="E86" i="1" s="1"/>
  <c r="A92" i="2" s="1"/>
  <c r="K85" i="1"/>
  <c r="M85" i="1" s="1"/>
  <c r="B91" i="2" s="1"/>
  <c r="E85" i="1"/>
  <c r="A91" i="2" s="1"/>
  <c r="C85" i="1"/>
  <c r="K84" i="1"/>
  <c r="C84" i="1"/>
  <c r="E84" i="1" s="1"/>
  <c r="A90" i="2" s="1"/>
  <c r="K81" i="1"/>
  <c r="M81" i="1" s="1"/>
  <c r="B87" i="2" s="1"/>
  <c r="C81" i="1"/>
  <c r="E81" i="1" s="1"/>
  <c r="A87" i="2" s="1"/>
  <c r="K80" i="1"/>
  <c r="M80" i="1" s="1"/>
  <c r="B86" i="2" s="1"/>
  <c r="C80" i="1"/>
  <c r="E80" i="1" s="1"/>
  <c r="A86" i="2" s="1"/>
  <c r="M79" i="1"/>
  <c r="B85" i="2" s="1"/>
  <c r="K79" i="1"/>
  <c r="C79" i="1"/>
  <c r="E79" i="1" s="1"/>
  <c r="A85" i="2" s="1"/>
  <c r="K69" i="1"/>
  <c r="M69" i="1" s="1"/>
  <c r="B73" i="2" s="1"/>
  <c r="C69" i="1"/>
  <c r="E69" i="1" s="1"/>
  <c r="A73" i="2" s="1"/>
  <c r="K68" i="1"/>
  <c r="M68" i="1" s="1"/>
  <c r="B72" i="2" s="1"/>
  <c r="C68" i="1"/>
  <c r="E68" i="1" s="1"/>
  <c r="A72" i="2" s="1"/>
  <c r="K67" i="1"/>
  <c r="C67" i="1"/>
  <c r="E67" i="1" s="1"/>
  <c r="A71" i="2" s="1"/>
  <c r="K64" i="1"/>
  <c r="M64" i="1" s="1"/>
  <c r="K63" i="1"/>
  <c r="M63" i="1" s="1"/>
  <c r="B66" i="2" s="1"/>
  <c r="K62" i="1"/>
  <c r="M62" i="1" s="1"/>
  <c r="B65" i="2" s="1"/>
  <c r="B337" i="2"/>
  <c r="A337" i="2"/>
  <c r="B336" i="2"/>
  <c r="A336" i="2"/>
  <c r="B335" i="2"/>
  <c r="A335" i="2"/>
  <c r="B332" i="2"/>
  <c r="A332" i="2"/>
  <c r="B331" i="2"/>
  <c r="A331" i="2"/>
  <c r="B330" i="2"/>
  <c r="E330" i="2" s="1"/>
  <c r="A330" i="2"/>
  <c r="B324" i="2"/>
  <c r="A324" i="2"/>
  <c r="B323" i="2"/>
  <c r="A323" i="2"/>
  <c r="B322" i="2"/>
  <c r="A322" i="2"/>
  <c r="B319" i="2"/>
  <c r="A319" i="2"/>
  <c r="B318" i="2"/>
  <c r="A318" i="2"/>
  <c r="B317" i="2"/>
  <c r="A317" i="2"/>
  <c r="B313" i="2"/>
  <c r="A313" i="2"/>
  <c r="B312" i="2"/>
  <c r="A312" i="2"/>
  <c r="B311" i="2"/>
  <c r="A311" i="2"/>
  <c r="B308" i="2"/>
  <c r="A308" i="2"/>
  <c r="B307" i="2"/>
  <c r="A307" i="2"/>
  <c r="B306" i="2"/>
  <c r="A306" i="2"/>
  <c r="B301" i="2"/>
  <c r="A301" i="2"/>
  <c r="B300" i="2"/>
  <c r="A300" i="2"/>
  <c r="B299" i="2"/>
  <c r="A299" i="2"/>
  <c r="B296" i="2"/>
  <c r="A296" i="2"/>
  <c r="B295" i="2"/>
  <c r="A295" i="2"/>
  <c r="B294" i="2"/>
  <c r="A294" i="2"/>
  <c r="B290" i="2"/>
  <c r="A290" i="2"/>
  <c r="B289" i="2"/>
  <c r="A289" i="2"/>
  <c r="B288" i="2"/>
  <c r="A288" i="2"/>
  <c r="B285" i="2"/>
  <c r="A285" i="2"/>
  <c r="B284" i="2"/>
  <c r="A284" i="2"/>
  <c r="B283" i="2"/>
  <c r="A283" i="2"/>
  <c r="B278" i="2"/>
  <c r="A278" i="2"/>
  <c r="B277" i="2"/>
  <c r="A277" i="2"/>
  <c r="B276" i="2"/>
  <c r="A276" i="2"/>
  <c r="B273" i="2"/>
  <c r="A273" i="2"/>
  <c r="B272" i="2"/>
  <c r="A272" i="2"/>
  <c r="B271" i="2"/>
  <c r="A271" i="2"/>
  <c r="B267" i="2"/>
  <c r="A267" i="2"/>
  <c r="B266" i="2"/>
  <c r="A266" i="2"/>
  <c r="B265" i="2"/>
  <c r="A265" i="2"/>
  <c r="B262" i="2"/>
  <c r="A262" i="2"/>
  <c r="B261" i="2"/>
  <c r="A261" i="2"/>
  <c r="B260" i="2"/>
  <c r="A260" i="2"/>
  <c r="B255" i="2"/>
  <c r="A255" i="2"/>
  <c r="B254" i="2"/>
  <c r="A254" i="2"/>
  <c r="B253" i="2"/>
  <c r="A253" i="2"/>
  <c r="B249" i="2"/>
  <c r="A249" i="2"/>
  <c r="B248" i="2"/>
  <c r="A248" i="2"/>
  <c r="B247" i="2"/>
  <c r="A247" i="2"/>
  <c r="B243" i="2"/>
  <c r="A243" i="2"/>
  <c r="B242" i="2"/>
  <c r="A242" i="2"/>
  <c r="B241" i="2"/>
  <c r="A241" i="2"/>
  <c r="B238" i="2"/>
  <c r="A238" i="2"/>
  <c r="B237" i="2"/>
  <c r="A237" i="2"/>
  <c r="B236" i="2"/>
  <c r="A236" i="2"/>
  <c r="B231" i="2"/>
  <c r="A231" i="2"/>
  <c r="B230" i="2"/>
  <c r="A230" i="2"/>
  <c r="B229" i="2"/>
  <c r="A229" i="2"/>
  <c r="B225" i="2"/>
  <c r="A225" i="2"/>
  <c r="B224" i="2"/>
  <c r="A224" i="2"/>
  <c r="B223" i="2"/>
  <c r="A223" i="2"/>
  <c r="B219" i="2"/>
  <c r="A219" i="2"/>
  <c r="B218" i="2"/>
  <c r="A218" i="2"/>
  <c r="B217" i="2"/>
  <c r="A217" i="2"/>
  <c r="B214" i="2"/>
  <c r="A214" i="2"/>
  <c r="B213" i="2"/>
  <c r="A213" i="2"/>
  <c r="B212" i="2"/>
  <c r="A212" i="2"/>
  <c r="B207" i="2"/>
  <c r="A207" i="2"/>
  <c r="B206" i="2"/>
  <c r="A206" i="2"/>
  <c r="B205" i="2"/>
  <c r="A205" i="2"/>
  <c r="B201" i="2"/>
  <c r="A201" i="2"/>
  <c r="B200" i="2"/>
  <c r="A200" i="2"/>
  <c r="B199" i="2"/>
  <c r="A199" i="2"/>
  <c r="B195" i="2"/>
  <c r="A195" i="2"/>
  <c r="B194" i="2"/>
  <c r="A194" i="2"/>
  <c r="B193" i="2"/>
  <c r="A193" i="2"/>
  <c r="B190" i="2"/>
  <c r="A190" i="2"/>
  <c r="B189" i="2"/>
  <c r="A189" i="2"/>
  <c r="B188" i="2"/>
  <c r="A188" i="2"/>
  <c r="B183" i="2"/>
  <c r="A183" i="2"/>
  <c r="B182" i="2"/>
  <c r="A182" i="2"/>
  <c r="B181" i="2"/>
  <c r="A181" i="2"/>
  <c r="B177" i="2"/>
  <c r="A177" i="2"/>
  <c r="B176" i="2"/>
  <c r="A176" i="2"/>
  <c r="B175" i="2"/>
  <c r="A175" i="2"/>
  <c r="B171" i="2"/>
  <c r="A171" i="2"/>
  <c r="B170" i="2"/>
  <c r="A170" i="2"/>
  <c r="B169" i="2"/>
  <c r="A169" i="2"/>
  <c r="B160" i="2"/>
  <c r="A160" i="2"/>
  <c r="B159" i="2"/>
  <c r="A159" i="2"/>
  <c r="B158" i="2"/>
  <c r="A158" i="2"/>
  <c r="B148" i="2" l="1"/>
  <c r="A142" i="2"/>
  <c r="D160" i="2" s="1"/>
  <c r="A148" i="2"/>
  <c r="B117" i="2"/>
  <c r="E133" i="2" s="1"/>
  <c r="G144" i="1"/>
  <c r="F144" i="1"/>
  <c r="F139" i="1"/>
  <c r="G139" i="1"/>
  <c r="O144" i="1"/>
  <c r="G134" i="1"/>
  <c r="M134" i="1"/>
  <c r="N134" i="1" s="1"/>
  <c r="G125" i="1"/>
  <c r="F125" i="1"/>
  <c r="F115" i="1"/>
  <c r="G120" i="1"/>
  <c r="F120" i="1"/>
  <c r="G115" i="1"/>
  <c r="M115" i="1"/>
  <c r="N115" i="1" s="1"/>
  <c r="O79" i="1"/>
  <c r="O98" i="1"/>
  <c r="A117" i="2"/>
  <c r="O84" i="1"/>
  <c r="N79" i="1"/>
  <c r="N108" i="1"/>
  <c r="O67" i="1"/>
  <c r="O108" i="1"/>
  <c r="O89" i="1"/>
  <c r="G108" i="1"/>
  <c r="F108" i="1"/>
  <c r="G67" i="1"/>
  <c r="F67" i="1"/>
  <c r="G103" i="1"/>
  <c r="F103" i="1"/>
  <c r="F98" i="1"/>
  <c r="G98" i="1"/>
  <c r="N62" i="1"/>
  <c r="G84" i="1"/>
  <c r="F84" i="1"/>
  <c r="N103" i="1"/>
  <c r="G89" i="1"/>
  <c r="F89" i="1"/>
  <c r="G79" i="1"/>
  <c r="F79" i="1"/>
  <c r="M67" i="1"/>
  <c r="M84" i="1"/>
  <c r="M89" i="1"/>
  <c r="O62" i="1"/>
  <c r="M98" i="1"/>
  <c r="O103" i="1"/>
  <c r="B68" i="2"/>
  <c r="E85" i="2" s="1"/>
  <c r="B142" i="2"/>
  <c r="E160" i="2" s="1"/>
  <c r="B178" i="2"/>
  <c r="E189" i="2" s="1"/>
  <c r="B202" i="2"/>
  <c r="E213" i="2" s="1"/>
  <c r="B226" i="2"/>
  <c r="E238" i="2" s="1"/>
  <c r="B250" i="2"/>
  <c r="E262" i="2" s="1"/>
  <c r="B274" i="2"/>
  <c r="E284" i="2" s="1"/>
  <c r="B297" i="2"/>
  <c r="E306" i="2" s="1"/>
  <c r="B320" i="2"/>
  <c r="E331" i="2" s="1"/>
  <c r="A74" i="2"/>
  <c r="D90" i="2" s="1"/>
  <c r="A154" i="2"/>
  <c r="D170" i="2" s="1"/>
  <c r="A208" i="2"/>
  <c r="D218" i="2" s="1"/>
  <c r="A256" i="2"/>
  <c r="D266" i="2" s="1"/>
  <c r="A202" i="2"/>
  <c r="D212" i="2" s="1"/>
  <c r="A250" i="2"/>
  <c r="D262" i="2" s="1"/>
  <c r="A184" i="2"/>
  <c r="D194" i="2" s="1"/>
  <c r="A232" i="2"/>
  <c r="D243" i="2" s="1"/>
  <c r="A279" i="2"/>
  <c r="D289" i="2" s="1"/>
  <c r="A302" i="2"/>
  <c r="D312" i="2" s="1"/>
  <c r="A325" i="2"/>
  <c r="D336" i="2" s="1"/>
  <c r="A111" i="2"/>
  <c r="D129" i="2" s="1"/>
  <c r="B111" i="2"/>
  <c r="E127" i="2" s="1"/>
  <c r="B154" i="2"/>
  <c r="E169" i="2" s="1"/>
  <c r="B184" i="2"/>
  <c r="E195" i="2" s="1"/>
  <c r="B208" i="2"/>
  <c r="E219" i="2" s="1"/>
  <c r="B232" i="2"/>
  <c r="E241" i="2" s="1"/>
  <c r="B256" i="2"/>
  <c r="E267" i="2" s="1"/>
  <c r="B279" i="2"/>
  <c r="E289" i="2" s="1"/>
  <c r="B302" i="2"/>
  <c r="E313" i="2" s="1"/>
  <c r="B325" i="2"/>
  <c r="E337" i="2" s="1"/>
  <c r="A105" i="2"/>
  <c r="A178" i="2"/>
  <c r="D190" i="2" s="1"/>
  <c r="A226" i="2"/>
  <c r="D236" i="2" s="1"/>
  <c r="A274" i="2"/>
  <c r="D283" i="2" s="1"/>
  <c r="A297" i="2"/>
  <c r="D307" i="2" s="1"/>
  <c r="A320" i="2"/>
  <c r="D332" i="2" s="1"/>
  <c r="E135" i="2" l="1"/>
  <c r="D128" i="2"/>
  <c r="E134" i="2"/>
  <c r="D134" i="2"/>
  <c r="D133" i="2"/>
  <c r="D124" i="2"/>
  <c r="D122" i="2"/>
  <c r="D127" i="2"/>
  <c r="D135" i="2"/>
  <c r="E129" i="2"/>
  <c r="D123" i="2"/>
  <c r="E128" i="2"/>
  <c r="N67" i="1"/>
  <c r="B71" i="2"/>
  <c r="B74" i="2" s="1"/>
  <c r="E91" i="2" s="1"/>
  <c r="N98" i="1"/>
  <c r="B102" i="2"/>
  <c r="B105" i="2" s="1"/>
  <c r="N89" i="1"/>
  <c r="B95" i="2"/>
  <c r="N84" i="1"/>
  <c r="B90" i="2"/>
  <c r="E86" i="2"/>
  <c r="E87" i="2"/>
  <c r="D91" i="2"/>
  <c r="D92" i="2"/>
  <c r="D159" i="2"/>
  <c r="E243" i="2"/>
  <c r="D260" i="2"/>
  <c r="D261" i="2"/>
  <c r="E332" i="2"/>
  <c r="E285" i="2"/>
  <c r="E214" i="2"/>
  <c r="D267" i="2"/>
  <c r="E171" i="2"/>
  <c r="E158" i="2"/>
  <c r="D284" i="2"/>
  <c r="E159" i="2"/>
  <c r="E261" i="2"/>
  <c r="E288" i="2"/>
  <c r="D213" i="2"/>
  <c r="D285" i="2"/>
  <c r="D195" i="2"/>
  <c r="E290" i="2"/>
  <c r="D193" i="2"/>
  <c r="D158" i="2"/>
  <c r="E242" i="2"/>
  <c r="D331" i="2"/>
  <c r="D188" i="2"/>
  <c r="E336" i="2"/>
  <c r="E335" i="2"/>
  <c r="D337" i="2"/>
  <c r="D311" i="2"/>
  <c r="D171" i="2"/>
  <c r="E283" i="2"/>
  <c r="E308" i="2"/>
  <c r="D313" i="2"/>
  <c r="E190" i="2"/>
  <c r="E212" i="2"/>
  <c r="D330" i="2"/>
  <c r="D214" i="2"/>
  <c r="E188" i="2"/>
  <c r="E193" i="2"/>
  <c r="D335" i="2"/>
  <c r="D238" i="2"/>
  <c r="D237" i="2"/>
  <c r="D169" i="2"/>
  <c r="D189" i="2"/>
  <c r="E307" i="2"/>
  <c r="E236" i="2"/>
  <c r="E237" i="2"/>
  <c r="D242" i="2"/>
  <c r="E260" i="2"/>
  <c r="D241" i="2"/>
  <c r="D219" i="2"/>
  <c r="D265" i="2"/>
  <c r="D290" i="2"/>
  <c r="D217" i="2"/>
  <c r="E217" i="2"/>
  <c r="E266" i="2"/>
  <c r="E218" i="2"/>
  <c r="E170" i="2"/>
  <c r="E194" i="2"/>
  <c r="E265" i="2"/>
  <c r="D308" i="2"/>
  <c r="D288" i="2"/>
  <c r="E312" i="2"/>
  <c r="E311" i="2"/>
  <c r="D306" i="2"/>
  <c r="E92" i="2" l="1"/>
  <c r="E122" i="2"/>
  <c r="E124" i="2"/>
  <c r="E123" i="2"/>
  <c r="E90" i="2"/>
  <c r="E88" i="2"/>
  <c r="D93" i="2"/>
  <c r="E215" i="2"/>
  <c r="E172" i="2"/>
  <c r="E263" i="2"/>
  <c r="D161" i="2"/>
  <c r="D172" i="2"/>
  <c r="E244" i="2"/>
  <c r="D196" i="2"/>
  <c r="E161" i="2"/>
  <c r="D263" i="2"/>
  <c r="E136" i="2"/>
  <c r="D191" i="2"/>
  <c r="D268" i="2"/>
  <c r="E239" i="2"/>
  <c r="E191" i="2"/>
  <c r="D215" i="2"/>
  <c r="D239" i="2"/>
  <c r="E196" i="2"/>
  <c r="D244" i="2"/>
  <c r="E268" i="2"/>
  <c r="E220" i="2"/>
  <c r="D136" i="2"/>
  <c r="D220" i="2"/>
  <c r="D125" i="2"/>
  <c r="E93" i="2" l="1"/>
  <c r="E125" i="2"/>
  <c r="K55" i="1"/>
  <c r="M55" i="1" s="1"/>
  <c r="B60" i="2" s="1"/>
  <c r="C55" i="1"/>
  <c r="E55" i="1" s="1"/>
  <c r="A60" i="2" s="1"/>
  <c r="K54" i="1"/>
  <c r="M54" i="1" s="1"/>
  <c r="B59" i="2" s="1"/>
  <c r="C54" i="1"/>
  <c r="E54" i="1" s="1"/>
  <c r="A59" i="2" s="1"/>
  <c r="K53" i="1"/>
  <c r="M53" i="1" s="1"/>
  <c r="C53" i="1"/>
  <c r="E53" i="1" s="1"/>
  <c r="A58" i="2" s="1"/>
  <c r="K50" i="1"/>
  <c r="M50" i="1" s="1"/>
  <c r="B55" i="2" s="1"/>
  <c r="C50" i="1"/>
  <c r="E50" i="1" s="1"/>
  <c r="A55" i="2" s="1"/>
  <c r="K49" i="1"/>
  <c r="M49" i="1" s="1"/>
  <c r="B54" i="2" s="1"/>
  <c r="C49" i="1"/>
  <c r="E49" i="1" s="1"/>
  <c r="A54" i="2" s="1"/>
  <c r="K48" i="1"/>
  <c r="M48" i="1" s="1"/>
  <c r="B53" i="2" s="1"/>
  <c r="C48" i="1"/>
  <c r="E48" i="1" s="1"/>
  <c r="A53" i="2" s="1"/>
  <c r="K45" i="1"/>
  <c r="M45" i="1" s="1"/>
  <c r="B50" i="2" s="1"/>
  <c r="C45" i="1"/>
  <c r="E45" i="1" s="1"/>
  <c r="A50" i="2" s="1"/>
  <c r="K44" i="1"/>
  <c r="M44" i="1" s="1"/>
  <c r="B49" i="2" s="1"/>
  <c r="C44" i="1"/>
  <c r="E44" i="1" s="1"/>
  <c r="A49" i="2" s="1"/>
  <c r="K43" i="1"/>
  <c r="M43" i="1" s="1"/>
  <c r="B48" i="2" s="1"/>
  <c r="C43" i="1"/>
  <c r="E43" i="1" s="1"/>
  <c r="A48" i="2" s="1"/>
  <c r="K32" i="1"/>
  <c r="M32" i="1" s="1"/>
  <c r="B36" i="2" s="1"/>
  <c r="C32" i="1"/>
  <c r="E32" i="1" s="1"/>
  <c r="A36" i="2" s="1"/>
  <c r="K31" i="1"/>
  <c r="M31" i="1"/>
  <c r="B35" i="2" s="1"/>
  <c r="C31" i="1"/>
  <c r="E31" i="1" s="1"/>
  <c r="A35" i="2" s="1"/>
  <c r="K30" i="1"/>
  <c r="O30" i="1" s="1"/>
  <c r="C30" i="1"/>
  <c r="E30" i="1"/>
  <c r="A34" i="2" s="1"/>
  <c r="K37" i="1"/>
  <c r="M37" i="1" s="1"/>
  <c r="C37" i="1"/>
  <c r="E37" i="1" s="1"/>
  <c r="K36" i="1"/>
  <c r="M36" i="1"/>
  <c r="C36" i="1"/>
  <c r="E36" i="1"/>
  <c r="K35" i="1"/>
  <c r="C35" i="1"/>
  <c r="E35" i="1" s="1"/>
  <c r="K27" i="1"/>
  <c r="M27" i="1" s="1"/>
  <c r="B30" i="2" s="1"/>
  <c r="C27" i="1"/>
  <c r="E27" i="1" s="1"/>
  <c r="K26" i="1"/>
  <c r="M26" i="1" s="1"/>
  <c r="B29" i="2" s="1"/>
  <c r="C26" i="1"/>
  <c r="E26" i="1"/>
  <c r="K25" i="1"/>
  <c r="M25" i="1"/>
  <c r="C25" i="1"/>
  <c r="E25" i="1"/>
  <c r="K11" i="1"/>
  <c r="M11" i="1" s="1"/>
  <c r="B10" i="2" s="1"/>
  <c r="C4" i="1"/>
  <c r="E4" i="1" s="1"/>
  <c r="K18" i="1"/>
  <c r="M18" i="1"/>
  <c r="B17" i="2" s="1"/>
  <c r="C18" i="1"/>
  <c r="E18" i="1" s="1"/>
  <c r="A17" i="2" s="1"/>
  <c r="K17" i="1"/>
  <c r="M17" i="1"/>
  <c r="C17" i="1"/>
  <c r="E17" i="1"/>
  <c r="A16" i="2" s="1"/>
  <c r="K16" i="1"/>
  <c r="O16" i="1" s="1"/>
  <c r="M16" i="1"/>
  <c r="B15" i="2" s="1"/>
  <c r="C16" i="1"/>
  <c r="E16" i="1" s="1"/>
  <c r="A15" i="2" s="1"/>
  <c r="K13" i="1"/>
  <c r="M13" i="1" s="1"/>
  <c r="B12" i="2" s="1"/>
  <c r="C13" i="1"/>
  <c r="E13" i="1"/>
  <c r="A12" i="2" s="1"/>
  <c r="K12" i="1"/>
  <c r="M12" i="1" s="1"/>
  <c r="B11" i="2" s="1"/>
  <c r="C12" i="1"/>
  <c r="E12" i="1"/>
  <c r="C11" i="1"/>
  <c r="E11" i="1"/>
  <c r="A10" i="2" s="1"/>
  <c r="C6" i="1"/>
  <c r="E6" i="1" s="1"/>
  <c r="B5" i="2" s="1"/>
  <c r="C5" i="1"/>
  <c r="E5" i="1" s="1"/>
  <c r="A37" i="2" l="1"/>
  <c r="D54" i="2" s="1"/>
  <c r="O25" i="1"/>
  <c r="M30" i="1"/>
  <c r="B34" i="2" s="1"/>
  <c r="B37" i="2" s="1"/>
  <c r="E55" i="2" s="1"/>
  <c r="O35" i="1"/>
  <c r="M35" i="1"/>
  <c r="B77" i="2" s="1"/>
  <c r="A28" i="2"/>
  <c r="A65" i="2"/>
  <c r="F11" i="1"/>
  <c r="A11" i="2"/>
  <c r="A77" i="2"/>
  <c r="A40" i="2"/>
  <c r="A22" i="2"/>
  <c r="B22" i="2"/>
  <c r="O43" i="1"/>
  <c r="N25" i="1"/>
  <c r="B28" i="2"/>
  <c r="B31" i="2" s="1"/>
  <c r="E50" i="2" s="1"/>
  <c r="N53" i="1"/>
  <c r="B58" i="2"/>
  <c r="A42" i="2"/>
  <c r="A79" i="2"/>
  <c r="D53" i="2"/>
  <c r="N16" i="1"/>
  <c r="B16" i="2"/>
  <c r="A29" i="2"/>
  <c r="A66" i="2"/>
  <c r="F4" i="1"/>
  <c r="B3" i="2"/>
  <c r="B20" i="2"/>
  <c r="A20" i="2"/>
  <c r="A67" i="2"/>
  <c r="A30" i="2"/>
  <c r="A78" i="2"/>
  <c r="A41" i="2"/>
  <c r="G4" i="1"/>
  <c r="B4" i="2"/>
  <c r="B78" i="2"/>
  <c r="B41" i="2"/>
  <c r="O53" i="1"/>
  <c r="N35" i="1"/>
  <c r="B79" i="2"/>
  <c r="B42" i="2"/>
  <c r="O48" i="1"/>
  <c r="G16" i="1"/>
  <c r="F16" i="1"/>
  <c r="F35" i="1"/>
  <c r="G35" i="1"/>
  <c r="F53" i="1"/>
  <c r="G53" i="1"/>
  <c r="G43" i="1"/>
  <c r="F43" i="1"/>
  <c r="N43" i="1"/>
  <c r="G48" i="1"/>
  <c r="F48" i="1"/>
  <c r="N30" i="1"/>
  <c r="N48" i="1"/>
  <c r="N11" i="1"/>
  <c r="G25" i="1"/>
  <c r="F25" i="1"/>
  <c r="F30" i="1"/>
  <c r="G30" i="1"/>
  <c r="O11" i="1"/>
  <c r="G11" i="1"/>
  <c r="E54" i="2" l="1"/>
  <c r="D55" i="2"/>
  <c r="D56" i="2" s="1"/>
  <c r="E53" i="2"/>
  <c r="E48" i="2"/>
  <c r="B6" i="2"/>
  <c r="D16" i="2" s="1"/>
  <c r="B40" i="2"/>
  <c r="B43" i="2" s="1"/>
  <c r="E58" i="2" s="1"/>
  <c r="B80" i="2"/>
  <c r="E49" i="2"/>
  <c r="A68" i="2"/>
  <c r="A80" i="2"/>
  <c r="B21" i="2"/>
  <c r="A21" i="2"/>
  <c r="A31" i="2"/>
  <c r="E11" i="2" l="1"/>
  <c r="E56" i="2"/>
  <c r="E51" i="2"/>
  <c r="E17" i="2"/>
  <c r="D17" i="2"/>
  <c r="D22" i="2"/>
  <c r="D12" i="2"/>
  <c r="D15" i="2"/>
  <c r="E20" i="2"/>
  <c r="D10" i="2"/>
  <c r="E15" i="2"/>
  <c r="D11" i="2"/>
  <c r="E12" i="2"/>
  <c r="E22" i="2"/>
  <c r="D21" i="2"/>
  <c r="E16" i="2"/>
  <c r="E21" i="2"/>
  <c r="E10" i="2"/>
  <c r="D20" i="2"/>
  <c r="D48" i="2"/>
  <c r="D50" i="2"/>
  <c r="D49" i="2"/>
  <c r="D60" i="2"/>
  <c r="D58" i="2"/>
  <c r="D59" i="2"/>
  <c r="D97" i="2"/>
  <c r="D96" i="2"/>
  <c r="D98" i="2"/>
  <c r="E96" i="2"/>
  <c r="E98" i="2"/>
  <c r="E97" i="2"/>
  <c r="D86" i="2"/>
  <c r="D85" i="2"/>
  <c r="D87" i="2"/>
  <c r="E60" i="2"/>
  <c r="E59" i="2"/>
  <c r="D13" i="2" l="1"/>
  <c r="D18" i="2"/>
  <c r="E13" i="2"/>
  <c r="E18" i="2"/>
  <c r="D88" i="2"/>
  <c r="D99" i="2"/>
  <c r="E61" i="2"/>
  <c r="E99" i="2"/>
  <c r="D61" i="2"/>
  <c r="D51" i="2"/>
</calcChain>
</file>

<file path=xl/sharedStrings.xml><?xml version="1.0" encoding="utf-8"?>
<sst xmlns="http://schemas.openxmlformats.org/spreadsheetml/2006/main" count="738" uniqueCount="134">
  <si>
    <t xml:space="preserve"> (same for all treatments)</t>
  </si>
  <si>
    <t>Sample</t>
  </si>
  <si>
    <t>Counter Read</t>
  </si>
  <si>
    <t>Cells/mL</t>
  </si>
  <si>
    <t>mL of cells</t>
  </si>
  <si>
    <t>Total cell number</t>
  </si>
  <si>
    <t>Average total cell #</t>
  </si>
  <si>
    <t>Stdev</t>
  </si>
  <si>
    <t xml:space="preserve"> T=0 #1</t>
  </si>
  <si>
    <t xml:space="preserve"> T=0 #2</t>
  </si>
  <si>
    <t>T=0  #3</t>
  </si>
  <si>
    <t>Constant Palbo 750nM</t>
  </si>
  <si>
    <t>Constant ICI 750nM</t>
  </si>
  <si>
    <t>1 month Palbo #1</t>
  </si>
  <si>
    <t>1 month ICI #1</t>
  </si>
  <si>
    <t>1 month Palbo #2</t>
  </si>
  <si>
    <t>1 month ICI #2</t>
  </si>
  <si>
    <t>1 month Palbo #3</t>
  </si>
  <si>
    <t>1 month ICI  #3</t>
  </si>
  <si>
    <t>T=0 for Month 1 (5/16/23)</t>
  </si>
  <si>
    <t>Month 1 (6/12/23)</t>
  </si>
  <si>
    <t xml:space="preserve">750nM Palbo </t>
  </si>
  <si>
    <t>AZD1775+ICI</t>
  </si>
  <si>
    <t>1 month AZD+ICI #1</t>
  </si>
  <si>
    <t>1 month AZD+ICI #3</t>
  </si>
  <si>
    <t>1 month AZD+ICI #2</t>
  </si>
  <si>
    <t>250nM AZD1775</t>
  </si>
  <si>
    <t>1 month AZD #1</t>
  </si>
  <si>
    <t>1 month AZD #2</t>
  </si>
  <si>
    <t>1 month AZD #3</t>
  </si>
  <si>
    <r>
      <rPr>
        <b/>
        <sz val="12"/>
        <rFont val="Calibri"/>
        <family val="2"/>
      </rPr>
      <t>End of month 1 notes:</t>
    </r>
    <r>
      <rPr>
        <b/>
        <sz val="12"/>
        <color indexed="10"/>
        <rFont val="Calibri"/>
        <family val="2"/>
      </rPr>
      <t xml:space="preserve"> </t>
    </r>
    <r>
      <rPr>
        <sz val="12"/>
        <color indexed="10"/>
        <rFont val="Calibri"/>
        <family val="2"/>
      </rPr>
      <t>Palbo plates very sparce.</t>
    </r>
    <r>
      <rPr>
        <sz val="12"/>
        <color indexed="53"/>
        <rFont val="Calibri"/>
        <family val="2"/>
      </rPr>
      <t xml:space="preserve"> AZD+ICI plates also very sparce but not as sparce as Palbo.</t>
    </r>
    <r>
      <rPr>
        <sz val="12"/>
        <color indexed="10"/>
        <rFont val="Calibri"/>
        <family val="2"/>
      </rPr>
      <t xml:space="preserve"> </t>
    </r>
    <r>
      <rPr>
        <sz val="12"/>
        <color indexed="30"/>
        <rFont val="Calibri"/>
        <family val="2"/>
      </rPr>
      <t>ICI plates ~85% confluent, cells flattened and spread out in large colonies.</t>
    </r>
    <r>
      <rPr>
        <sz val="12"/>
        <color indexed="51"/>
        <rFont val="Calibri"/>
        <family val="2"/>
      </rPr>
      <t xml:space="preserve"> AZD plates VERY confluent, cells growing ontop of eachother, very clumpy, lots of floaters, possibly due to overgrowth (when lysing, did not collect floaters for these). </t>
    </r>
  </si>
  <si>
    <t>New T=0 for Month 2</t>
  </si>
  <si>
    <t xml:space="preserve">New T=0 for Month 2 (6/13/23) Plated 70k </t>
  </si>
  <si>
    <r>
      <rPr>
        <b/>
        <sz val="12"/>
        <color indexed="57"/>
        <rFont val="Calibri"/>
        <family val="2"/>
      </rPr>
      <t>Alternating: 750nM Palbo/750nM ICI+250nM AZD1775:</t>
    </r>
    <r>
      <rPr>
        <b/>
        <sz val="12"/>
        <rFont val="Calibri"/>
        <family val="2"/>
      </rPr>
      <t xml:space="preserve"> </t>
    </r>
    <r>
      <rPr>
        <b/>
        <sz val="12"/>
        <color indexed="10"/>
        <rFont val="Calibri"/>
        <family val="2"/>
      </rPr>
      <t xml:space="preserve">1 month Palbo --&gt; </t>
    </r>
  </si>
  <si>
    <r>
      <rPr>
        <b/>
        <sz val="12"/>
        <color indexed="36"/>
        <rFont val="Calibri"/>
        <family val="2"/>
      </rPr>
      <t>Alternating: 750nM Palbo/400nM ICI+200nM Palbo:</t>
    </r>
    <r>
      <rPr>
        <b/>
        <sz val="12"/>
        <rFont val="Calibri"/>
        <family val="2"/>
      </rPr>
      <t xml:space="preserve"> </t>
    </r>
    <r>
      <rPr>
        <b/>
        <sz val="12"/>
        <color indexed="10"/>
        <rFont val="Calibri"/>
        <family val="2"/>
      </rPr>
      <t>1 month Palbo--&gt;</t>
    </r>
  </si>
  <si>
    <t>Re-plated each condition into 5-6 plates with drugs in media with 70k cells. Palbo cells and AZD+ICI cells didn't all re-attach, new plates very very sparce.</t>
  </si>
  <si>
    <t>Alternating Month 2</t>
  </si>
  <si>
    <t>2 month ICI</t>
  </si>
  <si>
    <t>2 month Palbo</t>
  </si>
  <si>
    <t xml:space="preserve">2 month Palbo </t>
  </si>
  <si>
    <t xml:space="preserve">2 month AZD </t>
  </si>
  <si>
    <t xml:space="preserve">2 month AZD+ICI </t>
  </si>
  <si>
    <r>
      <rPr>
        <b/>
        <sz val="12"/>
        <color indexed="36"/>
        <rFont val="Calibri"/>
        <family val="2"/>
      </rPr>
      <t>Alternating: 750nM Palbo/400nM ICI+200nM Palbo:</t>
    </r>
    <r>
      <rPr>
        <b/>
        <sz val="12"/>
        <rFont val="Calibri"/>
        <family val="2"/>
      </rPr>
      <t xml:space="preserve"> </t>
    </r>
    <r>
      <rPr>
        <b/>
        <sz val="12"/>
        <color indexed="10"/>
        <rFont val="Calibri"/>
        <family val="2"/>
      </rPr>
      <t>1 month Palbo--&gt;</t>
    </r>
    <r>
      <rPr>
        <b/>
        <sz val="12"/>
        <color indexed="36"/>
        <rFont val="Calibri"/>
        <family val="2"/>
      </rPr>
      <t>1 month Palbo+ICI</t>
    </r>
  </si>
  <si>
    <r>
      <rPr>
        <b/>
        <sz val="12"/>
        <color indexed="57"/>
        <rFont val="Calibri"/>
        <family val="2"/>
      </rPr>
      <t>Alternating: 750nM Palbo/750nM ICI+250nM AZD1775:</t>
    </r>
    <r>
      <rPr>
        <b/>
        <sz val="12"/>
        <rFont val="Calibri"/>
        <family val="2"/>
      </rPr>
      <t xml:space="preserve"> </t>
    </r>
    <r>
      <rPr>
        <b/>
        <sz val="12"/>
        <color indexed="10"/>
        <rFont val="Calibri"/>
        <family val="2"/>
      </rPr>
      <t xml:space="preserve">1 month Palbo --&gt; </t>
    </r>
    <r>
      <rPr>
        <b/>
        <sz val="12"/>
        <color indexed="57"/>
        <rFont val="Calibri"/>
        <family val="2"/>
      </rPr>
      <t>1 month AZD+ICI</t>
    </r>
  </si>
  <si>
    <t>Month 2 (7/10/23)</t>
  </si>
  <si>
    <t>Day 0</t>
  </si>
  <si>
    <t>Month 1</t>
  </si>
  <si>
    <t xml:space="preserve">New T=0 for Month 2 </t>
  </si>
  <si>
    <t>Month 2</t>
  </si>
  <si>
    <t>New T=0 for Month 3</t>
  </si>
  <si>
    <t>Alternating Therapy Palbo/ICI+AZD1775: 1 month 750nM Palbo --&gt;1 month ICI+250nM AZD1775--&gt; 
1 month Palbo</t>
  </si>
  <si>
    <t>New T=0 for Month 4</t>
  </si>
  <si>
    <t>Alternating Therapy Palbo/ICI: 1 month 750nM Palbo--&gt;
1 month 750nM ICI--&gt;1 month Palbo</t>
  </si>
  <si>
    <t>Month 4 (11/22/21)</t>
  </si>
  <si>
    <t>New T=0 for Month 5</t>
  </si>
  <si>
    <t>Month 5 (12/20/21)</t>
  </si>
  <si>
    <t>New T=0 for Month 6</t>
  </si>
  <si>
    <t>Month 6 (1/18/22)</t>
  </si>
  <si>
    <t>Month 6 (01/18/22)</t>
  </si>
  <si>
    <t>Alternating Therapy Palbo/ICI: 1 month 750nM Palbo--&gt;1 month 750nM ICI--&gt;1 month Palbo--&gt;1 month 750nM ICI--&gt;1 month Palbo--&gt;1 month 750nM ICI--&gt;</t>
  </si>
  <si>
    <t>Alternating Therapy Palbo/ICI+AZD1775: 1 month 750nM Palbo --&gt;1 month ICI+250nM AZD1775--&gt;1 month Palbo --&gt;1 month ICI+250nM AZD1775--&gt;1 month Palbo --&gt;1 month ICI+250nM AZD1775--&gt;</t>
  </si>
  <si>
    <t>New T=0 for Month 7</t>
  </si>
  <si>
    <t>Month 7(2/15/22)</t>
  </si>
  <si>
    <t>Month 7 (02/15/22)</t>
  </si>
  <si>
    <t>Alternating Therapy Palbo/ICI: 1 month 750nM Palbo--&gt;1 month 750nM ICI--&gt;1 month Palbo--&gt;1 month 750nM ICI--&gt;1 month Palbo--&gt;1 month 750nM ICI--&gt;1 month Palbo--&gt;</t>
  </si>
  <si>
    <t>Alternating Therapy Palbo/ICI+AZD1775: 1 month 750nM Palbo --&gt;1 month ICI+250nM AZD1775--&gt;1 month Palbo --&gt;1 month ICI+250nM AZD1775--&gt;1 month Palbo --&gt;1 month ICI+250nM AZD1775--&gt;1 month Palbo --&gt;</t>
  </si>
  <si>
    <t>New T=0 for Month 8</t>
  </si>
  <si>
    <t>Month 8 (3/8/22)</t>
  </si>
  <si>
    <t>Alternating Therapy Palbo/ICI: 1 month 750nM Palbo--&gt;1 month 750nM ICI--&gt;1 month Palbo--&gt;1 month 750nM ICI--&gt;1 month Palbo--&gt;1 month 750nM ICI--&gt;1 month Palbo--&gt;1 month 750nM ICI--&gt;</t>
  </si>
  <si>
    <t>Alternating Therapy Palbo/ICI+AZD1775: 1 month 750nM Palbo --&gt;1 month ICI+250nM AZD1775--&gt;1 month Palbo --&gt;1 month ICI+250nM AZD1775--&gt;1 month Palbo --&gt;1 month ICI+250nM AZD1775--&gt;1 month Palbo --&gt;1 month ICI+250nM AZD1775--&gt;</t>
  </si>
  <si>
    <t>New T=0 for Month 9</t>
  </si>
  <si>
    <t>Month 9 (4/7/22)</t>
  </si>
  <si>
    <t>Alternating Therapy Palbo/ICI: 1 month 750nM Palbo--&gt;1 month 750nM ICI--&gt;1 month Palbo--&gt;1 month 750nM ICI--&gt;1 month Palbo--&gt;1 month 750nM ICI--&gt;1 month Palbo--&gt;1 month 750nM ICI--&gt;1 month Palbo--&gt;</t>
  </si>
  <si>
    <t>Alternating Therapy Palbo/ICI+AZD1775: 1 month 750nM Palbo --&gt;1 month ICI+250nM AZD1775--&gt;1 month Palbo --&gt;1 month ICI+250nM AZD1775--&gt;1 month Palbo --&gt;1 month ICI+250nM AZD1775--&gt;1 month Palbo --&gt;1 month ICI+250nM AZD1775--&gt;1 month Palbo --&gt;</t>
  </si>
  <si>
    <t>New Month 10 (4/8/22)</t>
  </si>
  <si>
    <t>Month 10(5/2/22)</t>
  </si>
  <si>
    <t>Month 10 (5/2/22)</t>
  </si>
  <si>
    <t>Alternating Therapy Palbo/ICI: 1 month 750nM Palbo--&gt;1 month 750nM ICI--&gt;1 month Palbo--&gt;1 month 750nM ICI--&gt;1 month Palbo--&gt;1 month 750nM ICI--&gt;1 month Palbo--&gt;1 month 750nM ICI--&gt;1 month Palbo--&gt;1 month ICI</t>
  </si>
  <si>
    <t>Alternating Therapy Palbo/ICI+AZD1775: 1 month 750nM Palbo --&gt;1 month ICI+250nM AZD1775--&gt;1 month Palbo --&gt;1 month ICI+250nM AZD1775--&gt;1 month Palbo --&gt;1 month ICI+250nM AZD1775--&gt;1 month Palbo --&gt;1 month ICI+250nM AZD1775--&gt;1 month Palbo --&gt;1 month ICI+250nM AZD1775</t>
  </si>
  <si>
    <t>New Month 11 (5/3/22)</t>
  </si>
  <si>
    <t>Month 11(5/26/22)</t>
  </si>
  <si>
    <t>Alternating Therapy Palbo/ICI: 1 month 750nM Palbo--&gt;1 month 750nM ICI--&gt;1 month Palbo--&gt;1 month 750nM ICI--&gt;1 month Palbo--&gt;1 month 750nM ICI--&gt;1 month Palbo--&gt;1 month 750nM ICI--&gt;1 month Palbo--&gt;1 month 750nM ICI--&gt;1 month Palbo--&gt;</t>
  </si>
  <si>
    <t>Alternating Therapy Palbo/ICI+AZD1775: 1 month 750nM Palbo --&gt;1 month ICI+250nM AZD1775--&gt;1 month Palbo --&gt;1 month ICI+250nM AZD1775--&gt;1 month Palbo --&gt;1 month ICI+250nM AZD1775--&gt;1 month Palbo --&gt;1 month ICI+250nM AZD1775--&gt;1 month Palbo--&gt;1 month ICI+250nM AZD1775--&gt;1 month Palbo--&gt;</t>
  </si>
  <si>
    <t>New Month 12 (5/27/22)</t>
  </si>
  <si>
    <t xml:space="preserve">Month 12 (6/16/22) **Counted 4 days early** </t>
  </si>
  <si>
    <t>Alternating Therapy Palbo/ICI: 1 month 750nM Palbo--&gt;1 month 750nM ICI--&gt;1 month Palbo--&gt;1 month 750nM ICI--&gt;1 month Palbo--&gt;1 month 750nM ICI--&gt;1 month Palbo--&gt;1 month 750nM ICI--&gt;1 month Palbo--&gt;1 month 750nM ICI--&gt;1 month Palbo--&gt;1 month 750nM ICI--&gt;</t>
  </si>
  <si>
    <t>Alternating Therapy Palbo/ICI+AZD1775: 1 month 750nM Palbo --&gt;1 month ICI+250nM AZD1775--&gt;1 month Palbo --&gt;1 month ICI+250nM AZD1775--&gt;1 month Palbo --&gt;1 month ICI+250nM AZD1775--&gt;1 month Palbo --&gt;1 month ICI+250nM AZD1775--&gt;1 month Palbo--&gt;1 month ICI+250nM AZD1775--&gt;1 month Palbo--&gt;1 month ICI+250nM AZD1775--&gt;</t>
  </si>
  <si>
    <t xml:space="preserve"> Palbo 750nM</t>
  </si>
  <si>
    <t>ICI 750nM</t>
  </si>
  <si>
    <r>
      <t xml:space="preserve">Alternating: </t>
    </r>
    <r>
      <rPr>
        <b/>
        <sz val="16"/>
        <color rgb="FFFF0000"/>
        <rFont val="Calibri (Body)"/>
      </rPr>
      <t>750nM Palbo</t>
    </r>
    <r>
      <rPr>
        <sz val="16"/>
        <color theme="1"/>
        <rFont val="Calibri"/>
        <family val="2"/>
        <scheme val="minor"/>
      </rPr>
      <t>/400nM ICI+200nM Palbo</t>
    </r>
  </si>
  <si>
    <r>
      <t xml:space="preserve">Alternating: </t>
    </r>
    <r>
      <rPr>
        <b/>
        <sz val="16"/>
        <color rgb="FFFF0000"/>
        <rFont val="Calibri (Body)"/>
      </rPr>
      <t>750nM Palbo</t>
    </r>
    <r>
      <rPr>
        <sz val="16"/>
        <color theme="1"/>
        <rFont val="Calibri"/>
        <family val="2"/>
        <scheme val="minor"/>
      </rPr>
      <t>/750nM ICI+250nM AZD1775</t>
    </r>
  </si>
  <si>
    <r>
      <t>Alternating: 750nM Palbo/</t>
    </r>
    <r>
      <rPr>
        <b/>
        <sz val="16"/>
        <color rgb="FFFF0000"/>
        <rFont val="Calibri (Body)"/>
      </rPr>
      <t>400nM ICI+200nM Palbo</t>
    </r>
  </si>
  <si>
    <r>
      <t>Alternating: 750nM Palbo/</t>
    </r>
    <r>
      <rPr>
        <b/>
        <sz val="16"/>
        <color rgb="FFFF0000"/>
        <rFont val="Calibri (Body)"/>
      </rPr>
      <t>750nM ICI+250nM AZD1775</t>
    </r>
  </si>
  <si>
    <t>Palbo 750nM</t>
  </si>
  <si>
    <r>
      <t xml:space="preserve">Alternating: </t>
    </r>
    <r>
      <rPr>
        <b/>
        <sz val="16"/>
        <color rgb="FFFF0000"/>
        <rFont val="Calibri (Body)"/>
      </rPr>
      <t>750nM Palbo</t>
    </r>
    <r>
      <rPr>
        <sz val="16"/>
        <color theme="1"/>
        <rFont val="Calibri"/>
        <family val="2"/>
        <scheme val="minor"/>
      </rPr>
      <t>/</t>
    </r>
    <r>
      <rPr>
        <sz val="16"/>
        <color theme="1"/>
        <rFont val="Calibri (Body)"/>
      </rPr>
      <t>400nM ICI+200nM Palbo</t>
    </r>
  </si>
  <si>
    <r>
      <t xml:space="preserve">Alternating: </t>
    </r>
    <r>
      <rPr>
        <b/>
        <sz val="16"/>
        <color rgb="FFFF0000"/>
        <rFont val="Calibri (Body)"/>
      </rPr>
      <t>750nM Palbo</t>
    </r>
    <r>
      <rPr>
        <sz val="16"/>
        <color theme="1"/>
        <rFont val="Calibri"/>
        <family val="2"/>
        <scheme val="minor"/>
      </rPr>
      <t>/</t>
    </r>
    <r>
      <rPr>
        <sz val="16"/>
        <color theme="1"/>
        <rFont val="Calibri (Body)"/>
      </rPr>
      <t>750nM ICI+250nM AZD1775</t>
    </r>
  </si>
  <si>
    <t>Month 3</t>
  </si>
  <si>
    <r>
      <rPr>
        <b/>
        <sz val="11"/>
        <color indexed="36"/>
        <rFont val="Calibri"/>
        <family val="2"/>
      </rPr>
      <t>End of Month 2 notes:</t>
    </r>
    <r>
      <rPr>
        <sz val="11"/>
        <color indexed="36"/>
        <rFont val="Calibri"/>
        <family val="2"/>
      </rPr>
      <t xml:space="preserve"> </t>
    </r>
    <r>
      <rPr>
        <sz val="11"/>
        <rFont val="Calibri"/>
        <family val="2"/>
      </rPr>
      <t>Mono Palbo and both Alternating plates VERY few cells. Did not lyse this month (too few in those plates) and did not re-plate those 3 treatments (too few cells, would lose them all) washed alternating plates 1x with PBS and changed drug for alternating plates to Palbo. Mono AZD very confluent, cells growing ontop of eachother. Re-plated Mono AZD and Mono ICI from (1) plate into (3) plates for month 3 with 70k. Combined (5) Mono AZD+ICI plates and re-plated into (6) plates for month 3 with 70k cells.</t>
    </r>
  </si>
  <si>
    <t xml:space="preserve">New T=0 for Month 3 (7/11/23) Plated 70k </t>
  </si>
  <si>
    <t>Mono Palbo 750nM</t>
  </si>
  <si>
    <t>Mono ICI 750nM</t>
  </si>
  <si>
    <t>N/A</t>
  </si>
  <si>
    <t>Mono 250nM AZD1775</t>
  </si>
  <si>
    <t>Mono AZD1775+ICI</t>
  </si>
  <si>
    <r>
      <rPr>
        <b/>
        <sz val="12"/>
        <color indexed="36"/>
        <rFont val="Calibri"/>
        <family val="2"/>
      </rPr>
      <t xml:space="preserve">Alternating: 750nM Palbo/400nM ICI+200nM Palbo: </t>
    </r>
    <r>
      <rPr>
        <b/>
        <sz val="12"/>
        <color indexed="10"/>
        <rFont val="Calibri"/>
        <family val="2"/>
      </rPr>
      <t>1 month Palbo--&gt;</t>
    </r>
    <r>
      <rPr>
        <b/>
        <sz val="12"/>
        <color indexed="36"/>
        <rFont val="Calibri"/>
        <family val="2"/>
      </rPr>
      <t>1 month Palbo+ICI</t>
    </r>
  </si>
  <si>
    <r>
      <rPr>
        <b/>
        <sz val="12"/>
        <color indexed="57"/>
        <rFont val="Calibri"/>
        <family val="2"/>
      </rPr>
      <t xml:space="preserve">Alternating: 750nM Palbo/750nM ICI+250nM AZD1775: </t>
    </r>
    <r>
      <rPr>
        <b/>
        <sz val="12"/>
        <color indexed="10"/>
        <rFont val="Calibri"/>
        <family val="2"/>
      </rPr>
      <t>1 month Palbo --&gt;</t>
    </r>
    <r>
      <rPr>
        <b/>
        <sz val="12"/>
        <color indexed="57"/>
        <rFont val="Calibri"/>
        <family val="2"/>
      </rPr>
      <t xml:space="preserve"> 1 month AZD+ICI</t>
    </r>
  </si>
  <si>
    <t xml:space="preserve">New T=0 for Month 3  </t>
  </si>
  <si>
    <t>Month 3 (8/7/23)</t>
  </si>
  <si>
    <t xml:space="preserve">Mono 750nM Palbo </t>
  </si>
  <si>
    <t>3 month Palbo</t>
  </si>
  <si>
    <t>3 month ICI</t>
  </si>
  <si>
    <t xml:space="preserve">3 month Palbo </t>
  </si>
  <si>
    <t xml:space="preserve">3 month AZD </t>
  </si>
  <si>
    <t xml:space="preserve">3 month AZD+ICI </t>
  </si>
  <si>
    <r>
      <rPr>
        <b/>
        <sz val="12"/>
        <color indexed="36"/>
        <rFont val="Calibri"/>
        <family val="2"/>
      </rPr>
      <t>Alternating: 750nM Palbo/400nM ICI+200nM Palbo:</t>
    </r>
    <r>
      <rPr>
        <b/>
        <sz val="12"/>
        <rFont val="Calibri"/>
        <family val="2"/>
      </rPr>
      <t xml:space="preserve"> </t>
    </r>
    <r>
      <rPr>
        <b/>
        <sz val="12"/>
        <color indexed="10"/>
        <rFont val="Calibri"/>
        <family val="2"/>
      </rPr>
      <t>1 month Palbo--&gt;</t>
    </r>
    <r>
      <rPr>
        <b/>
        <sz val="12"/>
        <color indexed="36"/>
        <rFont val="Calibri"/>
        <family val="2"/>
      </rPr>
      <t>1 month Palbo+ICI---&gt;</t>
    </r>
    <r>
      <rPr>
        <b/>
        <sz val="12"/>
        <color indexed="10"/>
        <rFont val="Calibri"/>
        <family val="2"/>
      </rPr>
      <t>1 month Palbo--&gt;</t>
    </r>
  </si>
  <si>
    <r>
      <rPr>
        <b/>
        <sz val="12"/>
        <color indexed="57"/>
        <rFont val="Calibri"/>
        <family val="2"/>
      </rPr>
      <t>Alternating: 750nM Palbo/750nM ICI+250nM AZD1775:</t>
    </r>
    <r>
      <rPr>
        <b/>
        <sz val="12"/>
        <rFont val="Calibri"/>
        <family val="2"/>
      </rPr>
      <t xml:space="preserve"> </t>
    </r>
    <r>
      <rPr>
        <b/>
        <sz val="12"/>
        <color indexed="10"/>
        <rFont val="Calibri"/>
        <family val="2"/>
      </rPr>
      <t xml:space="preserve">1 month Palbo --&gt; </t>
    </r>
    <r>
      <rPr>
        <b/>
        <sz val="12"/>
        <color indexed="57"/>
        <rFont val="Calibri"/>
        <family val="2"/>
      </rPr>
      <t>1 month AZD+ICI</t>
    </r>
    <r>
      <rPr>
        <b/>
        <sz val="12"/>
        <color indexed="17"/>
        <rFont val="Calibri"/>
        <family val="2"/>
      </rPr>
      <t>----&gt;</t>
    </r>
    <r>
      <rPr>
        <b/>
        <sz val="12"/>
        <color indexed="10"/>
        <rFont val="Calibri"/>
        <family val="2"/>
      </rPr>
      <t>1 month Palbo--&gt;</t>
    </r>
  </si>
  <si>
    <t>Alternating Month 3</t>
  </si>
  <si>
    <r>
      <rPr>
        <b/>
        <sz val="11"/>
        <rFont val="Calibri"/>
        <family val="2"/>
      </rPr>
      <t xml:space="preserve">End of Month 3 Notes: </t>
    </r>
    <r>
      <rPr>
        <sz val="11"/>
        <rFont val="Calibri"/>
        <family val="2"/>
      </rPr>
      <t>All Mono Palbo plates and both Alternating conditions plates (4 plates of each) have been on same plates since end of month 1. Each plate has one or two small colonies of cells. Trypsinized and combined all 4 plates/cells, counted, and re-plated ALL cells onto ONE 60mm dish for month 4. This cell number for end of month 3 will also be the "T=0 for Month 4" cell number.</t>
    </r>
  </si>
  <si>
    <t xml:space="preserve">New T=0 for Month 4 (8/8/23) Plated 70k </t>
  </si>
  <si>
    <t xml:space="preserve">New T=0 for Month 4  </t>
  </si>
  <si>
    <r>
      <t xml:space="preserve">Alternating: </t>
    </r>
    <r>
      <rPr>
        <sz val="16"/>
        <color theme="1"/>
        <rFont val="Calibri (Body)"/>
      </rPr>
      <t>750nM Palbo</t>
    </r>
    <r>
      <rPr>
        <sz val="16"/>
        <color theme="1"/>
        <rFont val="Calibri"/>
        <family val="2"/>
        <scheme val="minor"/>
      </rPr>
      <t>/</t>
    </r>
    <r>
      <rPr>
        <b/>
        <sz val="16"/>
        <color rgb="FFFF0000"/>
        <rFont val="Calibri (Body)"/>
      </rPr>
      <t>400nM ICI+200nM Palbo</t>
    </r>
  </si>
  <si>
    <r>
      <t xml:space="preserve">Alternating: </t>
    </r>
    <r>
      <rPr>
        <sz val="16"/>
        <color theme="1"/>
        <rFont val="Calibri (Body)"/>
      </rPr>
      <t>750nM Palbo</t>
    </r>
    <r>
      <rPr>
        <sz val="16"/>
        <color theme="1"/>
        <rFont val="Calibri"/>
        <family val="2"/>
        <scheme val="minor"/>
      </rPr>
      <t>/</t>
    </r>
    <r>
      <rPr>
        <b/>
        <sz val="16"/>
        <color rgb="FFFF0000"/>
        <rFont val="Calibri (Body)"/>
      </rPr>
      <t>750nM ICI+250nM AZD1775</t>
    </r>
  </si>
  <si>
    <t>4 month Palbo</t>
  </si>
  <si>
    <t>4 month ICI</t>
  </si>
  <si>
    <t xml:space="preserve">4 month Palbo </t>
  </si>
  <si>
    <t xml:space="preserve">4 month AZD </t>
  </si>
  <si>
    <t xml:space="preserve">4 month AZD+ICI </t>
  </si>
  <si>
    <r>
      <rPr>
        <b/>
        <sz val="12"/>
        <color indexed="36"/>
        <rFont val="Calibri"/>
        <family val="2"/>
      </rPr>
      <t>Alternating: 750nM Palbo/400nM ICI+200nM Palbo:</t>
    </r>
    <r>
      <rPr>
        <b/>
        <sz val="12"/>
        <rFont val="Calibri"/>
        <family val="2"/>
      </rPr>
      <t xml:space="preserve"> </t>
    </r>
    <r>
      <rPr>
        <b/>
        <sz val="12"/>
        <color indexed="10"/>
        <rFont val="Calibri"/>
        <family val="2"/>
      </rPr>
      <t>1 month Palbo--&gt;</t>
    </r>
    <r>
      <rPr>
        <b/>
        <sz val="12"/>
        <color indexed="36"/>
        <rFont val="Calibri"/>
        <family val="2"/>
      </rPr>
      <t>1 month Palbo+ICI---&gt;</t>
    </r>
    <r>
      <rPr>
        <b/>
        <sz val="12"/>
        <color indexed="10"/>
        <rFont val="Calibri"/>
        <family val="2"/>
      </rPr>
      <t>1 month Palbo--&gt;</t>
    </r>
    <r>
      <rPr>
        <b/>
        <sz val="12"/>
        <color indexed="36"/>
        <rFont val="Calibri"/>
        <family val="2"/>
      </rPr>
      <t>1 month Palbo+ICI---&gt;</t>
    </r>
  </si>
  <si>
    <r>
      <rPr>
        <b/>
        <sz val="12"/>
        <color indexed="57"/>
        <rFont val="Calibri"/>
        <family val="2"/>
      </rPr>
      <t>Alternating: 750nM Palbo/750nM ICI+250nM AZD1775:</t>
    </r>
    <r>
      <rPr>
        <b/>
        <sz val="12"/>
        <rFont val="Calibri"/>
        <family val="2"/>
      </rPr>
      <t xml:space="preserve"> </t>
    </r>
    <r>
      <rPr>
        <b/>
        <sz val="12"/>
        <color indexed="10"/>
        <rFont val="Calibri"/>
        <family val="2"/>
      </rPr>
      <t xml:space="preserve">1 month Palbo --&gt; </t>
    </r>
    <r>
      <rPr>
        <b/>
        <sz val="12"/>
        <color indexed="57"/>
        <rFont val="Calibri"/>
        <family val="2"/>
      </rPr>
      <t>1 month AZD+ICI</t>
    </r>
    <r>
      <rPr>
        <b/>
        <sz val="12"/>
        <color indexed="17"/>
        <rFont val="Calibri"/>
        <family val="2"/>
      </rPr>
      <t>----&gt;</t>
    </r>
    <r>
      <rPr>
        <b/>
        <sz val="12"/>
        <color indexed="10"/>
        <rFont val="Calibri"/>
        <family val="2"/>
      </rPr>
      <t>1 month Palbo--&gt;</t>
    </r>
    <r>
      <rPr>
        <b/>
        <sz val="12"/>
        <color indexed="57"/>
        <rFont val="Calibri"/>
        <family val="2"/>
      </rPr>
      <t xml:space="preserve"> </t>
    </r>
    <r>
      <rPr>
        <b/>
        <sz val="12"/>
        <color indexed="57"/>
        <rFont val="Calibri"/>
        <family val="2"/>
      </rPr>
      <t>1 month AZD+ICI----&gt;</t>
    </r>
  </si>
  <si>
    <t>Alternating Month 4</t>
  </si>
  <si>
    <r>
      <rPr>
        <b/>
        <sz val="11"/>
        <rFont val="Calibri"/>
        <family val="2"/>
      </rPr>
      <t xml:space="preserve">End of Month 4 Notes: </t>
    </r>
    <r>
      <rPr>
        <sz val="11"/>
        <rFont val="Calibri"/>
        <family val="2"/>
      </rPr>
      <t>Mono Palbo plates and both Alternating conditions plates (1 of each) are still very sparce. Trysinized and counted each plate then put all cells (2.5ml total) back onto new plate with Palbo in media for month 5. This cell number for end of month 5 will also be the "T=0 for Month 5" cell number.</t>
    </r>
  </si>
  <si>
    <t xml:space="preserve">New T=0 for Month 5 (9/6/23) Plated 50k </t>
  </si>
  <si>
    <t xml:space="preserve">New T=0 for Month 5 </t>
  </si>
  <si>
    <t>Month 4 (9/5/23)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</si>
</sst>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43" x14ac:knownFonts="1">
    <font>
      <sz val="11"/>
      <color theme="1"/>
      <name val="Calibri"/>
      <family val="2"/>
      <scheme val="minor"/>
    </font>
    <font>
      <b/>
      <sz val="12"/>
      <name val="Calibri"/>
      <family val="2"/>
    </font>
    <font>
      <b/>
      <sz val="12"/>
      <color indexed="10"/>
      <name val="Calibri"/>
      <family val="2"/>
    </font>
    <font>
      <b/>
      <sz val="12"/>
      <color indexed="36"/>
      <name val="Calibri"/>
      <family val="2"/>
    </font>
    <font>
      <b/>
      <sz val="12"/>
      <color indexed="57"/>
      <name val="Calibri"/>
      <family val="2"/>
    </font>
    <font>
      <sz val="12"/>
      <color indexed="10"/>
      <name val="Calibri"/>
      <family val="2"/>
    </font>
    <font>
      <sz val="12"/>
      <color indexed="53"/>
      <name val="Calibri"/>
      <family val="2"/>
    </font>
    <font>
      <sz val="12"/>
      <color indexed="30"/>
      <name val="Calibri"/>
      <family val="2"/>
    </font>
    <font>
      <sz val="12"/>
      <color indexed="51"/>
      <name val="Calibri"/>
      <family val="2"/>
    </font>
    <font>
      <sz val="11"/>
      <name val="Calibri"/>
      <family val="2"/>
    </font>
    <font>
      <b/>
      <sz val="11"/>
      <color indexed="36"/>
      <name val="Calibri"/>
      <family val="2"/>
    </font>
    <font>
      <sz val="11"/>
      <color indexed="36"/>
      <name val="Calibri"/>
      <family val="2"/>
    </font>
    <font>
      <b/>
      <sz val="11"/>
      <color theme="1"/>
      <name val="Calibri"/>
      <family val="2"/>
      <scheme val="minor"/>
    </font>
    <font>
      <sz val="11"/>
      <color rgb="FFFF0000"/>
      <name val="Calibri"/>
      <family val="2"/>
      <scheme val="minor"/>
    </font>
    <font>
      <sz val="11"/>
      <name val="Calibri"/>
      <family val="2"/>
      <scheme val="minor"/>
    </font>
    <font>
      <b/>
      <sz val="11"/>
      <color rgb="FFFF0000"/>
      <name val="Calibri"/>
      <family val="2"/>
      <scheme val="minor"/>
    </font>
    <font>
      <sz val="11"/>
      <color rgb="FF0070C0"/>
      <name val="Calibri"/>
      <family val="2"/>
      <scheme val="minor"/>
    </font>
    <font>
      <b/>
      <sz val="11"/>
      <color rgb="FF0070C0"/>
      <name val="Calibri"/>
      <family val="2"/>
      <scheme val="minor"/>
    </font>
    <font>
      <b/>
      <sz val="11"/>
      <color rgb="FF7030A0"/>
      <name val="Calibri"/>
      <family val="2"/>
      <scheme val="minor"/>
    </font>
    <font>
      <sz val="11"/>
      <color theme="9" tint="-0.249977111117893"/>
      <name val="Calibri"/>
      <family val="2"/>
      <scheme val="minor"/>
    </font>
    <font>
      <b/>
      <sz val="11"/>
      <color theme="9" tint="-0.249977111117893"/>
      <name val="Calibri"/>
      <family val="2"/>
      <scheme val="minor"/>
    </font>
    <font>
      <sz val="11"/>
      <color rgb="FF7030A0"/>
      <name val="Calibri"/>
      <family val="2"/>
      <scheme val="minor"/>
    </font>
    <font>
      <sz val="11"/>
      <color theme="5"/>
      <name val="Calibri"/>
      <family val="2"/>
      <scheme val="minor"/>
    </font>
    <font>
      <b/>
      <sz val="11"/>
      <color theme="5"/>
      <name val="Calibri"/>
      <family val="2"/>
      <scheme val="minor"/>
    </font>
    <font>
      <sz val="11"/>
      <color theme="7"/>
      <name val="Calibri"/>
      <family val="2"/>
      <scheme val="minor"/>
    </font>
    <font>
      <b/>
      <sz val="11"/>
      <color theme="7"/>
      <name val="Calibri"/>
      <family val="2"/>
      <scheme val="minor"/>
    </font>
    <font>
      <sz val="11"/>
      <color theme="9"/>
      <name val="Calibri"/>
      <family val="2"/>
      <scheme val="minor"/>
    </font>
    <font>
      <b/>
      <sz val="11"/>
      <name val="Calibri"/>
      <family val="2"/>
      <scheme val="minor"/>
    </font>
    <font>
      <b/>
      <sz val="14"/>
      <color theme="1"/>
      <name val="Calibri"/>
      <family val="2"/>
      <scheme val="minor"/>
    </font>
    <font>
      <b/>
      <sz val="12"/>
      <name val="Calibri"/>
      <family val="2"/>
      <scheme val="minor"/>
    </font>
    <font>
      <b/>
      <sz val="12"/>
      <color rgb="FFFF0000"/>
      <name val="Calibri"/>
      <family val="2"/>
      <scheme val="minor"/>
    </font>
    <font>
      <b/>
      <sz val="12"/>
      <color rgb="FF0070C0"/>
      <name val="Calibri"/>
      <family val="2"/>
      <scheme val="minor"/>
    </font>
    <font>
      <b/>
      <sz val="12"/>
      <color theme="7"/>
      <name val="Calibri"/>
      <family val="2"/>
    </font>
    <font>
      <b/>
      <sz val="12"/>
      <color theme="7"/>
      <name val="Calibri"/>
      <family val="2"/>
      <scheme val="minor"/>
    </font>
    <font>
      <b/>
      <sz val="12"/>
      <color theme="5"/>
      <name val="Calibri"/>
      <family val="2"/>
    </font>
    <font>
      <b/>
      <sz val="12"/>
      <color rgb="FFFF0000"/>
      <name val="Calibri"/>
      <family val="2"/>
    </font>
    <font>
      <sz val="16"/>
      <color rgb="FFFF0000"/>
      <name val="Calibri"/>
      <family val="2"/>
      <scheme val="minor"/>
    </font>
    <font>
      <sz val="16"/>
      <color theme="1"/>
      <name val="Calibri"/>
      <family val="2"/>
      <scheme val="minor"/>
    </font>
    <font>
      <b/>
      <sz val="16"/>
      <color rgb="FFFF0000"/>
      <name val="Calibri (Body)"/>
    </font>
    <font>
      <sz val="16"/>
      <color theme="1"/>
      <name val="Calibri (Body)"/>
    </font>
    <font>
      <sz val="11"/>
      <color rgb="FF7030A0"/>
      <name val="Calibri"/>
      <family val="2"/>
    </font>
    <font>
      <b/>
      <sz val="12"/>
      <color indexed="17"/>
      <name val="Calibri"/>
      <family val="2"/>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4"/>
        <bgColor indexed="64"/>
      </patternFill>
    </fill>
  </fills>
  <borders count="37">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s>
  <cellStyleXfs count="1">
    <xf numFmtId="0" fontId="0" fillId="0" borderId="0"/>
  </cellStyleXfs>
  <cellXfs count="159">
    <xf numFmtId="0" fontId="0" fillId="0" borderId="0" xfId="0"/>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12" fillId="0" borderId="0" xfId="0" applyFont="1" applyAlignment="1">
      <alignment horizontal="center" wrapText="1"/>
    </xf>
    <xf numFmtId="0" fontId="0" fillId="0" borderId="2" xfId="0" applyBorder="1" applyAlignment="1">
      <alignment horizontal="center" wrapText="1"/>
    </xf>
    <xf numFmtId="0" fontId="14" fillId="0" borderId="1" xfId="0" applyFont="1" applyBorder="1" applyAlignment="1">
      <alignment horizontal="center"/>
    </xf>
    <xf numFmtId="164" fontId="0" fillId="0" borderId="0" xfId="0" applyNumberFormat="1" applyAlignment="1">
      <alignment horizontal="center"/>
    </xf>
    <xf numFmtId="164" fontId="15" fillId="0" borderId="0" xfId="0" applyNumberFormat="1" applyFont="1" applyAlignment="1">
      <alignment horizontal="center"/>
    </xf>
    <xf numFmtId="164" fontId="14" fillId="0" borderId="2" xfId="0" applyNumberFormat="1" applyFont="1" applyBorder="1" applyAlignment="1">
      <alignment horizontal="center"/>
    </xf>
    <xf numFmtId="164" fontId="0" fillId="0" borderId="2" xfId="0" applyNumberFormat="1" applyBorder="1" applyAlignment="1">
      <alignment horizontal="center"/>
    </xf>
    <xf numFmtId="0" fontId="14" fillId="0" borderId="3" xfId="0" applyFont="1" applyBorder="1" applyAlignment="1">
      <alignment horizontal="center"/>
    </xf>
    <xf numFmtId="0" fontId="0" fillId="0" borderId="4" xfId="0" applyBorder="1" applyAlignment="1">
      <alignment horizontal="center"/>
    </xf>
    <xf numFmtId="164" fontId="0" fillId="0" borderId="4" xfId="0" applyNumberFormat="1" applyBorder="1" applyAlignment="1">
      <alignment horizontal="center"/>
    </xf>
    <xf numFmtId="164" fontId="0" fillId="0" borderId="5" xfId="0" applyNumberFormat="1" applyBorder="1" applyAlignment="1">
      <alignment horizontal="center"/>
    </xf>
    <xf numFmtId="0" fontId="0" fillId="0" borderId="6" xfId="0" applyBorder="1" applyAlignment="1">
      <alignment horizontal="center" wrapText="1"/>
    </xf>
    <xf numFmtId="0" fontId="0" fillId="0" borderId="7" xfId="0" applyBorder="1" applyAlignment="1">
      <alignment horizontal="center" wrapText="1"/>
    </xf>
    <xf numFmtId="0" fontId="12" fillId="0" borderId="7" xfId="0" applyFont="1" applyBorder="1" applyAlignment="1">
      <alignment horizontal="center" wrapText="1"/>
    </xf>
    <xf numFmtId="0" fontId="0" fillId="0" borderId="8" xfId="0" applyBorder="1" applyAlignment="1">
      <alignment horizontal="center" wrapText="1"/>
    </xf>
    <xf numFmtId="0" fontId="16" fillId="0" borderId="1" xfId="0" applyFont="1" applyBorder="1" applyAlignment="1">
      <alignment horizontal="center"/>
    </xf>
    <xf numFmtId="164" fontId="17" fillId="0" borderId="0" xfId="0" applyNumberFormat="1" applyFont="1" applyAlignment="1">
      <alignment horizontal="center"/>
    </xf>
    <xf numFmtId="0" fontId="16" fillId="0" borderId="3" xfId="0" applyFont="1" applyBorder="1" applyAlignment="1">
      <alignment horizontal="center"/>
    </xf>
    <xf numFmtId="164" fontId="18" fillId="0" borderId="0" xfId="0" applyNumberFormat="1" applyFont="1" applyAlignment="1">
      <alignment horizontal="center"/>
    </xf>
    <xf numFmtId="0" fontId="19" fillId="0" borderId="1" xfId="0" applyFont="1" applyBorder="1" applyAlignment="1">
      <alignment horizontal="center"/>
    </xf>
    <xf numFmtId="164" fontId="20" fillId="0" borderId="0" xfId="0" applyNumberFormat="1" applyFont="1" applyAlignment="1">
      <alignment horizontal="center"/>
    </xf>
    <xf numFmtId="0" fontId="13" fillId="0" borderId="0" xfId="0" applyFont="1" applyAlignment="1">
      <alignment horizontal="center"/>
    </xf>
    <xf numFmtId="0" fontId="16" fillId="0" borderId="0" xfId="0" applyFont="1" applyAlignment="1">
      <alignment horizontal="center"/>
    </xf>
    <xf numFmtId="0" fontId="0" fillId="0" borderId="9" xfId="0" applyBorder="1" applyAlignment="1">
      <alignment horizontal="center"/>
    </xf>
    <xf numFmtId="0" fontId="0" fillId="0" borderId="10" xfId="0" applyBorder="1" applyAlignment="1">
      <alignment horizontal="center" wrapText="1"/>
    </xf>
    <xf numFmtId="0" fontId="0" fillId="0" borderId="11" xfId="0" applyBorder="1" applyAlignment="1">
      <alignment horizontal="center" wrapText="1"/>
    </xf>
    <xf numFmtId="0" fontId="13" fillId="0" borderId="12" xfId="0" applyFont="1" applyBorder="1" applyAlignment="1">
      <alignment horizontal="center"/>
    </xf>
    <xf numFmtId="164" fontId="14" fillId="0" borderId="13" xfId="0" applyNumberFormat="1" applyFont="1" applyBorder="1" applyAlignment="1">
      <alignment horizontal="center"/>
    </xf>
    <xf numFmtId="164" fontId="0" fillId="0" borderId="13" xfId="0" applyNumberFormat="1" applyBorder="1" applyAlignment="1">
      <alignment horizontal="center"/>
    </xf>
    <xf numFmtId="164" fontId="0" fillId="0" borderId="14" xfId="0" applyNumberFormat="1" applyBorder="1" applyAlignment="1">
      <alignment horizontal="center"/>
    </xf>
    <xf numFmtId="0" fontId="21" fillId="0" borderId="12" xfId="0" applyFont="1" applyBorder="1" applyAlignment="1">
      <alignment horizontal="center"/>
    </xf>
    <xf numFmtId="0" fontId="21" fillId="0" borderId="15" xfId="0" applyFont="1" applyBorder="1" applyAlignment="1">
      <alignment horizontal="center"/>
    </xf>
    <xf numFmtId="0" fontId="0" fillId="0" borderId="16" xfId="0" applyBorder="1" applyAlignment="1">
      <alignment horizontal="center"/>
    </xf>
    <xf numFmtId="164" fontId="0" fillId="0" borderId="16" xfId="0" applyNumberFormat="1" applyBorder="1" applyAlignment="1">
      <alignment horizontal="center"/>
    </xf>
    <xf numFmtId="164" fontId="0" fillId="0" borderId="17" xfId="0" applyNumberFormat="1" applyBorder="1" applyAlignment="1">
      <alignment horizontal="center"/>
    </xf>
    <xf numFmtId="0" fontId="19" fillId="0" borderId="18" xfId="0" applyFont="1" applyBorder="1" applyAlignment="1">
      <alignment horizontal="center"/>
    </xf>
    <xf numFmtId="164" fontId="0" fillId="0" borderId="19" xfId="0" applyNumberFormat="1" applyBorder="1" applyAlignment="1">
      <alignment horizontal="center"/>
    </xf>
    <xf numFmtId="0" fontId="22" fillId="0" borderId="1" xfId="0" applyFont="1" applyBorder="1" applyAlignment="1">
      <alignment horizontal="center"/>
    </xf>
    <xf numFmtId="0" fontId="22" fillId="0" borderId="18" xfId="0" applyFont="1" applyBorder="1" applyAlignment="1">
      <alignment horizontal="center"/>
    </xf>
    <xf numFmtId="0" fontId="22" fillId="0" borderId="0" xfId="0" applyFont="1" applyAlignment="1">
      <alignment horizontal="center"/>
    </xf>
    <xf numFmtId="0" fontId="22" fillId="0" borderId="16" xfId="0" applyFont="1" applyBorder="1" applyAlignment="1">
      <alignment horizontal="center"/>
    </xf>
    <xf numFmtId="164" fontId="23" fillId="0" borderId="0" xfId="0" applyNumberFormat="1" applyFont="1" applyAlignment="1">
      <alignment horizontal="center"/>
    </xf>
    <xf numFmtId="164" fontId="22" fillId="0" borderId="0" xfId="0" applyNumberFormat="1" applyFont="1" applyAlignment="1">
      <alignment horizontal="center"/>
    </xf>
    <xf numFmtId="164" fontId="22" fillId="0" borderId="16" xfId="0" applyNumberFormat="1" applyFont="1" applyBorder="1" applyAlignment="1">
      <alignment horizontal="center"/>
    </xf>
    <xf numFmtId="164" fontId="13" fillId="0" borderId="0" xfId="0" applyNumberFormat="1" applyFont="1" applyAlignment="1">
      <alignment horizontal="center"/>
    </xf>
    <xf numFmtId="164" fontId="16" fillId="0" borderId="0" xfId="0" applyNumberFormat="1" applyFont="1" applyAlignment="1">
      <alignment horizontal="center"/>
    </xf>
    <xf numFmtId="0" fontId="16" fillId="0" borderId="4" xfId="0" applyFont="1" applyBorder="1" applyAlignment="1">
      <alignment horizontal="center"/>
    </xf>
    <xf numFmtId="164" fontId="16" fillId="0" borderId="4" xfId="0" applyNumberFormat="1" applyFont="1" applyBorder="1" applyAlignment="1">
      <alignment horizontal="center"/>
    </xf>
    <xf numFmtId="0" fontId="24" fillId="0" borderId="12" xfId="0" applyFont="1" applyBorder="1" applyAlignment="1">
      <alignment horizontal="center"/>
    </xf>
    <xf numFmtId="0" fontId="24" fillId="0" borderId="0" xfId="0" applyFont="1" applyAlignment="1">
      <alignment horizontal="center"/>
    </xf>
    <xf numFmtId="164" fontId="24" fillId="0" borderId="0" xfId="0" applyNumberFormat="1" applyFont="1" applyAlignment="1">
      <alignment horizontal="center"/>
    </xf>
    <xf numFmtId="0" fontId="24" fillId="0" borderId="15" xfId="0" applyFont="1" applyBorder="1" applyAlignment="1">
      <alignment horizontal="center"/>
    </xf>
    <xf numFmtId="0" fontId="24" fillId="0" borderId="16" xfId="0" applyFont="1" applyBorder="1" applyAlignment="1">
      <alignment horizontal="center"/>
    </xf>
    <xf numFmtId="164" fontId="24" fillId="0" borderId="16" xfId="0" applyNumberFormat="1" applyFont="1" applyBorder="1" applyAlignment="1">
      <alignment horizontal="center"/>
    </xf>
    <xf numFmtId="164" fontId="25" fillId="0" borderId="0" xfId="0" applyNumberFormat="1" applyFont="1" applyAlignment="1">
      <alignment horizontal="center"/>
    </xf>
    <xf numFmtId="0" fontId="21" fillId="0" borderId="0" xfId="0" applyFont="1" applyAlignment="1">
      <alignment horizontal="center"/>
    </xf>
    <xf numFmtId="164" fontId="21" fillId="0" borderId="0" xfId="0" applyNumberFormat="1" applyFont="1" applyAlignment="1">
      <alignment horizontal="center"/>
    </xf>
    <xf numFmtId="0" fontId="26" fillId="0" borderId="0" xfId="0" applyFont="1" applyAlignment="1">
      <alignment horizontal="center"/>
    </xf>
    <xf numFmtId="164" fontId="26" fillId="0" borderId="0" xfId="0" applyNumberFormat="1" applyFont="1" applyAlignment="1">
      <alignment horizontal="center"/>
    </xf>
    <xf numFmtId="0" fontId="13" fillId="0" borderId="20" xfId="0" applyFont="1" applyBorder="1" applyAlignment="1">
      <alignment horizontal="center"/>
    </xf>
    <xf numFmtId="0" fontId="24" fillId="0" borderId="20" xfId="0" applyFont="1" applyBorder="1" applyAlignment="1">
      <alignment horizontal="center"/>
    </xf>
    <xf numFmtId="0" fontId="21" fillId="0" borderId="16" xfId="0" applyFont="1" applyBorder="1" applyAlignment="1">
      <alignment horizontal="center"/>
    </xf>
    <xf numFmtId="164" fontId="21" fillId="0" borderId="16" xfId="0" applyNumberFormat="1" applyFont="1" applyBorder="1" applyAlignment="1">
      <alignment horizontal="center"/>
    </xf>
    <xf numFmtId="0" fontId="26" fillId="0" borderId="16" xfId="0" applyFont="1" applyBorder="1" applyAlignment="1">
      <alignment horizontal="center"/>
    </xf>
    <xf numFmtId="164" fontId="26" fillId="0" borderId="16" xfId="0" applyNumberFormat="1" applyFont="1" applyBorder="1" applyAlignment="1">
      <alignment horizontal="center"/>
    </xf>
    <xf numFmtId="0" fontId="0" fillId="0" borderId="21" xfId="0" applyBorder="1" applyAlignment="1">
      <alignment horizontal="center"/>
    </xf>
    <xf numFmtId="0" fontId="24" fillId="0" borderId="4" xfId="0" applyFont="1" applyBorder="1" applyAlignment="1">
      <alignment horizontal="center"/>
    </xf>
    <xf numFmtId="164" fontId="24" fillId="0" borderId="4" xfId="0" applyNumberFormat="1" applyFont="1" applyBorder="1" applyAlignment="1">
      <alignment horizontal="center"/>
    </xf>
    <xf numFmtId="0" fontId="22" fillId="0" borderId="4" xfId="0" applyFont="1" applyBorder="1" applyAlignment="1">
      <alignment horizontal="center"/>
    </xf>
    <xf numFmtId="164" fontId="22" fillId="0" borderId="4" xfId="0" applyNumberFormat="1" applyFont="1" applyBorder="1" applyAlignment="1">
      <alignment horizontal="center"/>
    </xf>
    <xf numFmtId="0" fontId="22" fillId="0" borderId="3" xfId="0" applyFont="1" applyBorder="1" applyAlignment="1">
      <alignment horizontal="center"/>
    </xf>
    <xf numFmtId="0" fontId="27" fillId="0" borderId="22" xfId="0" applyFont="1" applyBorder="1" applyAlignment="1">
      <alignment horizontal="left"/>
    </xf>
    <xf numFmtId="0" fontId="27" fillId="0" borderId="9" xfId="0" applyFont="1" applyBorder="1" applyAlignment="1">
      <alignment horizontal="left"/>
    </xf>
    <xf numFmtId="0" fontId="36" fillId="0" borderId="22" xfId="0" applyFont="1" applyBorder="1" applyAlignment="1">
      <alignment horizontal="center"/>
    </xf>
    <xf numFmtId="0" fontId="0" fillId="0" borderId="36" xfId="0" applyBorder="1" applyAlignment="1">
      <alignment horizontal="center"/>
    </xf>
    <xf numFmtId="0" fontId="37" fillId="0" borderId="12" xfId="0" applyFont="1" applyBorder="1" applyAlignment="1">
      <alignment horizontal="center"/>
    </xf>
    <xf numFmtId="0" fontId="0" fillId="0" borderId="13" xfId="0" applyBorder="1" applyAlignment="1">
      <alignment horizontal="center"/>
    </xf>
    <xf numFmtId="0" fontId="37" fillId="0" borderId="13" xfId="0" applyFont="1" applyBorder="1" applyAlignment="1">
      <alignment horizontal="center"/>
    </xf>
    <xf numFmtId="0" fontId="37" fillId="0" borderId="15" xfId="0" applyFont="1" applyBorder="1" applyAlignment="1">
      <alignment horizontal="center"/>
    </xf>
    <xf numFmtId="0" fontId="37" fillId="0" borderId="19" xfId="0" applyFont="1" applyBorder="1" applyAlignment="1">
      <alignment horizontal="center"/>
    </xf>
    <xf numFmtId="0" fontId="37" fillId="0" borderId="0" xfId="0" applyFont="1" applyAlignment="1">
      <alignment horizontal="center"/>
    </xf>
    <xf numFmtId="0" fontId="37" fillId="0" borderId="36" xfId="0" applyFont="1" applyBorder="1" applyAlignment="1">
      <alignment horizontal="center"/>
    </xf>
    <xf numFmtId="0" fontId="36" fillId="0" borderId="0" xfId="0" applyFont="1" applyAlignment="1">
      <alignment horizontal="center"/>
    </xf>
    <xf numFmtId="0" fontId="0" fillId="0" borderId="12" xfId="0" applyBorder="1" applyAlignment="1">
      <alignment horizontal="center"/>
    </xf>
    <xf numFmtId="0" fontId="37" fillId="0" borderId="12" xfId="0" applyFont="1" applyBorder="1" applyAlignment="1">
      <alignment horizontal="center" wrapText="1"/>
    </xf>
    <xf numFmtId="0" fontId="37" fillId="0" borderId="13" xfId="0" applyFont="1" applyBorder="1" applyAlignment="1">
      <alignment horizontal="center" wrapText="1"/>
    </xf>
    <xf numFmtId="0" fontId="37" fillId="0" borderId="0" xfId="0" applyFont="1" applyAlignment="1">
      <alignment horizontal="center" wrapText="1"/>
    </xf>
    <xf numFmtId="0" fontId="37" fillId="0" borderId="15" xfId="0" applyFont="1" applyBorder="1" applyAlignment="1">
      <alignment horizontal="center" wrapText="1"/>
    </xf>
    <xf numFmtId="0" fontId="37" fillId="0" borderId="19" xfId="0" applyFont="1" applyBorder="1" applyAlignment="1">
      <alignment horizontal="center" wrapText="1"/>
    </xf>
    <xf numFmtId="0" fontId="36" fillId="0" borderId="0" xfId="0" applyFont="1" applyAlignment="1">
      <alignment horizontal="center" wrapText="1"/>
    </xf>
    <xf numFmtId="0" fontId="37" fillId="0" borderId="36" xfId="0" applyFont="1" applyBorder="1" applyAlignment="1">
      <alignment horizontal="center" wrapText="1"/>
    </xf>
    <xf numFmtId="0" fontId="36" fillId="0" borderId="9" xfId="0" applyFont="1" applyBorder="1" applyAlignment="1">
      <alignment horizontal="center"/>
    </xf>
    <xf numFmtId="0" fontId="36" fillId="0" borderId="36" xfId="0" applyFont="1" applyBorder="1" applyAlignment="1">
      <alignment horizontal="center"/>
    </xf>
    <xf numFmtId="0" fontId="37" fillId="0" borderId="16" xfId="0" applyFont="1" applyBorder="1" applyAlignment="1">
      <alignment horizontal="center" wrapText="1"/>
    </xf>
    <xf numFmtId="0" fontId="37" fillId="0" borderId="16" xfId="0" applyFont="1" applyBorder="1" applyAlignment="1">
      <alignment horizontal="center"/>
    </xf>
    <xf numFmtId="0" fontId="37" fillId="0" borderId="9" xfId="0" applyFont="1" applyBorder="1" applyAlignment="1">
      <alignment horizontal="center"/>
    </xf>
    <xf numFmtId="0" fontId="37" fillId="0" borderId="26" xfId="0" applyFont="1" applyBorder="1" applyAlignment="1">
      <alignment horizontal="center"/>
    </xf>
    <xf numFmtId="0" fontId="37" fillId="0" borderId="28" xfId="0" applyFont="1" applyBorder="1" applyAlignment="1">
      <alignment horizontal="center"/>
    </xf>
    <xf numFmtId="0" fontId="37" fillId="2" borderId="12" xfId="0" applyFont="1" applyFill="1" applyBorder="1" applyAlignment="1">
      <alignment horizontal="center"/>
    </xf>
    <xf numFmtId="0" fontId="37" fillId="2" borderId="13" xfId="0" applyFont="1" applyFill="1" applyBorder="1" applyAlignment="1">
      <alignment horizontal="center"/>
    </xf>
    <xf numFmtId="0" fontId="40" fillId="0" borderId="9" xfId="0" applyFont="1" applyBorder="1" applyAlignment="1">
      <alignment horizontal="left" vertical="top" wrapText="1"/>
    </xf>
    <xf numFmtId="0" fontId="21" fillId="0" borderId="9" xfId="0" applyFont="1" applyBorder="1" applyAlignment="1">
      <alignment horizontal="left" vertical="top" wrapText="1"/>
    </xf>
    <xf numFmtId="0" fontId="21" fillId="0" borderId="0" xfId="0" applyFont="1" applyAlignment="1">
      <alignment horizontal="left" vertical="top" wrapText="1"/>
    </xf>
    <xf numFmtId="0" fontId="28" fillId="0" borderId="26" xfId="0" applyFont="1" applyBorder="1" applyAlignment="1">
      <alignment horizontal="center" vertical="center"/>
    </xf>
    <xf numFmtId="0" fontId="28" fillId="0" borderId="27" xfId="0" applyFont="1" applyBorder="1" applyAlignment="1">
      <alignment horizontal="center" vertical="center"/>
    </xf>
    <xf numFmtId="0" fontId="28" fillId="0" borderId="28" xfId="0" applyFont="1" applyBorder="1" applyAlignment="1">
      <alignment horizontal="center" vertical="center"/>
    </xf>
    <xf numFmtId="0" fontId="30" fillId="0" borderId="29" xfId="0" applyFont="1" applyBorder="1" applyAlignment="1">
      <alignment horizontal="center" wrapText="1"/>
    </xf>
    <xf numFmtId="0" fontId="30" fillId="0" borderId="30" xfId="0" applyFont="1" applyBorder="1" applyAlignment="1">
      <alignment horizontal="center" wrapText="1"/>
    </xf>
    <xf numFmtId="0" fontId="30" fillId="0" borderId="31" xfId="0" applyFont="1" applyBorder="1" applyAlignment="1">
      <alignment horizontal="center" wrapText="1"/>
    </xf>
    <xf numFmtId="0" fontId="31" fillId="0" borderId="32" xfId="0" applyFont="1" applyBorder="1" applyAlignment="1">
      <alignment horizontal="center" wrapText="1"/>
    </xf>
    <xf numFmtId="0" fontId="31" fillId="0" borderId="30" xfId="0" applyFont="1" applyBorder="1" applyAlignment="1">
      <alignment horizontal="center" wrapText="1"/>
    </xf>
    <xf numFmtId="0" fontId="31" fillId="0" borderId="33" xfId="0" applyFont="1" applyBorder="1" applyAlignment="1">
      <alignment horizontal="center" wrapText="1"/>
    </xf>
    <xf numFmtId="0" fontId="32" fillId="0" borderId="34" xfId="0" applyFont="1" applyBorder="1" applyAlignment="1">
      <alignment horizontal="center" wrapText="1"/>
    </xf>
    <xf numFmtId="0" fontId="33" fillId="0" borderId="24" xfId="0" applyFont="1" applyBorder="1" applyAlignment="1">
      <alignment horizontal="center" wrapText="1"/>
    </xf>
    <xf numFmtId="0" fontId="33" fillId="0" borderId="25" xfId="0" applyFont="1" applyBorder="1" applyAlignment="1">
      <alignment horizontal="center" wrapText="1"/>
    </xf>
    <xf numFmtId="0" fontId="34" fillId="0" borderId="23" xfId="0" applyFont="1" applyBorder="1" applyAlignment="1">
      <alignment horizontal="center" wrapText="1"/>
    </xf>
    <xf numFmtId="0" fontId="34" fillId="0" borderId="24" xfId="0" applyFont="1" applyBorder="1" applyAlignment="1">
      <alignment horizontal="center" wrapText="1"/>
    </xf>
    <xf numFmtId="0" fontId="34" fillId="0" borderId="35" xfId="0" applyFont="1" applyBorder="1" applyAlignment="1">
      <alignment horizontal="center" wrapText="1"/>
    </xf>
    <xf numFmtId="0" fontId="35" fillId="0" borderId="20" xfId="0" applyFont="1" applyBorder="1" applyAlignment="1">
      <alignment horizontal="center" wrapText="1"/>
    </xf>
    <xf numFmtId="0" fontId="31" fillId="0" borderId="4" xfId="0" applyFont="1" applyBorder="1" applyAlignment="1">
      <alignment horizontal="center" wrapText="1"/>
    </xf>
    <xf numFmtId="0" fontId="31" fillId="0" borderId="5" xfId="0" applyFont="1" applyBorder="1" applyAlignment="1">
      <alignment horizontal="center" wrapText="1"/>
    </xf>
    <xf numFmtId="0" fontId="35" fillId="0" borderId="23" xfId="0" applyFont="1" applyBorder="1" applyAlignment="1">
      <alignment horizontal="center" wrapText="1"/>
    </xf>
    <xf numFmtId="0" fontId="35" fillId="0" borderId="4" xfId="0" applyFont="1" applyBorder="1" applyAlignment="1">
      <alignment horizontal="center" wrapText="1"/>
    </xf>
    <xf numFmtId="0" fontId="35" fillId="0" borderId="14" xfId="0" applyFont="1" applyBorder="1" applyAlignment="1">
      <alignment horizontal="center" wrapText="1"/>
    </xf>
    <xf numFmtId="0" fontId="27" fillId="0" borderId="22" xfId="0" applyFont="1" applyBorder="1" applyAlignment="1">
      <alignment horizontal="left"/>
    </xf>
    <xf numFmtId="0" fontId="27" fillId="0" borderId="9" xfId="0" applyFont="1" applyBorder="1" applyAlignment="1">
      <alignment horizontal="left"/>
    </xf>
    <xf numFmtId="0" fontId="30" fillId="0" borderId="9" xfId="0" applyFont="1" applyBorder="1" applyAlignment="1">
      <alignment horizontal="left" wrapText="1"/>
    </xf>
    <xf numFmtId="0" fontId="30" fillId="0" borderId="0" xfId="0" applyFont="1" applyAlignment="1">
      <alignment horizontal="left" wrapText="1"/>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33" xfId="0" applyFont="1" applyBorder="1" applyAlignment="1">
      <alignment horizontal="center" vertical="center"/>
    </xf>
    <xf numFmtId="0" fontId="30" fillId="0" borderId="34" xfId="0" applyFont="1" applyBorder="1" applyAlignment="1">
      <alignment horizontal="center" wrapText="1"/>
    </xf>
    <xf numFmtId="0" fontId="30" fillId="0" borderId="24" xfId="0" applyFont="1" applyBorder="1" applyAlignment="1">
      <alignment horizontal="center" wrapText="1"/>
    </xf>
    <xf numFmtId="0" fontId="30" fillId="0" borderId="25" xfId="0" applyFont="1" applyBorder="1" applyAlignment="1">
      <alignment horizontal="center" wrapText="1"/>
    </xf>
    <xf numFmtId="0" fontId="31" fillId="0" borderId="23" xfId="0" applyFont="1" applyBorder="1" applyAlignment="1">
      <alignment horizontal="center" wrapText="1"/>
    </xf>
    <xf numFmtId="0" fontId="31" fillId="0" borderId="24" xfId="0" applyFont="1" applyBorder="1" applyAlignment="1">
      <alignment horizontal="center" wrapText="1"/>
    </xf>
    <xf numFmtId="0" fontId="31" fillId="0" borderId="35" xfId="0" applyFont="1" applyBorder="1" applyAlignment="1">
      <alignment horizontal="center" wrapText="1"/>
    </xf>
    <xf numFmtId="0" fontId="28" fillId="0" borderId="6" xfId="0" applyFont="1" applyBorder="1" applyAlignment="1">
      <alignment horizontal="center"/>
    </xf>
    <xf numFmtId="0" fontId="28" fillId="0" borderId="7" xfId="0" applyFont="1" applyBorder="1" applyAlignment="1">
      <alignment horizontal="center"/>
    </xf>
    <xf numFmtId="0" fontId="28" fillId="0" borderId="8" xfId="0" applyFont="1" applyBorder="1" applyAlignment="1">
      <alignment horizontal="center"/>
    </xf>
    <xf numFmtId="0" fontId="29" fillId="0" borderId="23" xfId="0" applyFont="1" applyBorder="1" applyAlignment="1">
      <alignment horizontal="center" wrapText="1"/>
    </xf>
    <xf numFmtId="0" fontId="29" fillId="0" borderId="24" xfId="0" applyFont="1" applyBorder="1" applyAlignment="1">
      <alignment horizontal="center" wrapText="1"/>
    </xf>
    <xf numFmtId="0" fontId="29" fillId="0" borderId="25" xfId="0" applyFont="1" applyBorder="1" applyAlignment="1">
      <alignment horizontal="center" wrapText="1"/>
    </xf>
    <xf numFmtId="0" fontId="35" fillId="0" borderId="29" xfId="0" applyFont="1" applyBorder="1" applyAlignment="1">
      <alignment horizontal="center" wrapText="1"/>
    </xf>
    <xf numFmtId="0" fontId="35" fillId="0" borderId="30" xfId="0" applyFont="1" applyBorder="1" applyAlignment="1">
      <alignment horizontal="center" wrapText="1"/>
    </xf>
    <xf numFmtId="0" fontId="35" fillId="0" borderId="31" xfId="0" applyFont="1" applyBorder="1" applyAlignment="1">
      <alignment horizontal="center" wrapText="1"/>
    </xf>
    <xf numFmtId="0" fontId="14" fillId="0" borderId="9" xfId="0" applyFont="1" applyBorder="1" applyAlignment="1">
      <alignment horizontal="left" vertical="top" wrapText="1"/>
    </xf>
    <xf numFmtId="0" fontId="21" fillId="0" borderId="16" xfId="0" applyFont="1" applyBorder="1" applyAlignment="1">
      <alignment horizontal="left" vertical="top" wrapText="1"/>
    </xf>
    <xf numFmtId="0" fontId="35" fillId="0" borderId="5" xfId="0" applyFont="1" applyBorder="1" applyAlignment="1">
      <alignment horizontal="center" wrapText="1"/>
    </xf>
    <xf numFmtId="0" fontId="35" fillId="0" borderId="3" xfId="0" applyFont="1" applyBorder="1" applyAlignment="1">
      <alignment horizontal="center" wrapText="1"/>
    </xf>
    <xf numFmtId="0" fontId="9" fillId="0" borderId="9" xfId="0" applyFont="1" applyBorder="1" applyAlignment="1">
      <alignment horizontal="left" vertical="top" wrapText="1"/>
    </xf>
    <xf numFmtId="0" fontId="9" fillId="0" borderId="0" xfId="0" applyFont="1" applyAlignment="1">
      <alignment horizontal="left" vertical="top" wrapText="1"/>
    </xf>
    <xf numFmtId="0" fontId="36" fillId="3" borderId="22" xfId="0" applyFont="1" applyFill="1" applyBorder="1" applyAlignment="1">
      <alignment horizontal="center"/>
    </xf>
    <xf numFmtId="0" fontId="0" fillId="3" borderId="36" xfId="0" applyFill="1" applyBorder="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10803%20MCF7%20Long-Term%20Monthly%20counts%20and%20alternating_Palbo,ICI,AZD17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F7 10w MonoPalbo-AltICI #3"/>
      <sheetName val="Sheet1"/>
    </sheetNames>
    <sheetDataSet>
      <sheetData sheetId="0">
        <row r="143">
          <cell r="E143">
            <v>1523200</v>
          </cell>
          <cell r="M143">
            <v>300000</v>
          </cell>
        </row>
        <row r="144">
          <cell r="E144">
            <v>1635200</v>
          </cell>
          <cell r="M144">
            <v>308000</v>
          </cell>
        </row>
        <row r="145">
          <cell r="E145">
            <v>1604400</v>
          </cell>
          <cell r="M145">
            <v>342000</v>
          </cell>
        </row>
        <row r="148">
          <cell r="E148">
            <v>898800</v>
          </cell>
          <cell r="M148">
            <v>154000</v>
          </cell>
        </row>
        <row r="149">
          <cell r="E149">
            <v>981400</v>
          </cell>
          <cell r="M149">
            <v>165000</v>
          </cell>
        </row>
        <row r="150">
          <cell r="E150">
            <v>947800</v>
          </cell>
          <cell r="M150">
            <v>190000</v>
          </cell>
        </row>
        <row r="155">
          <cell r="E155">
            <v>57000</v>
          </cell>
          <cell r="M155">
            <v>65000</v>
          </cell>
        </row>
        <row r="156">
          <cell r="E156">
            <v>48000</v>
          </cell>
          <cell r="M156">
            <v>64000</v>
          </cell>
        </row>
        <row r="157">
          <cell r="E157">
            <v>47000</v>
          </cell>
          <cell r="M157">
            <v>56000</v>
          </cell>
        </row>
        <row r="160">
          <cell r="E160">
            <v>40000</v>
          </cell>
          <cell r="M160">
            <v>38000</v>
          </cell>
        </row>
        <row r="161">
          <cell r="E161">
            <v>39000</v>
          </cell>
          <cell r="M161">
            <v>44000</v>
          </cell>
        </row>
        <row r="162">
          <cell r="E162">
            <v>43000</v>
          </cell>
          <cell r="M162">
            <v>46000</v>
          </cell>
        </row>
        <row r="167">
          <cell r="E167">
            <v>2955000</v>
          </cell>
          <cell r="M167">
            <v>1735000</v>
          </cell>
        </row>
        <row r="168">
          <cell r="E168">
            <v>2660000</v>
          </cell>
          <cell r="M168">
            <v>1762000</v>
          </cell>
        </row>
        <row r="169">
          <cell r="E169">
            <v>2902000</v>
          </cell>
          <cell r="M169">
            <v>1798000</v>
          </cell>
        </row>
        <row r="172">
          <cell r="E172">
            <v>2100000</v>
          </cell>
          <cell r="M172">
            <v>174000</v>
          </cell>
        </row>
        <row r="173">
          <cell r="E173">
            <v>1931000</v>
          </cell>
          <cell r="M173">
            <v>184000</v>
          </cell>
        </row>
        <row r="174">
          <cell r="E174">
            <v>2063000</v>
          </cell>
          <cell r="M174">
            <v>200000</v>
          </cell>
        </row>
        <row r="183">
          <cell r="E183">
            <v>40000</v>
          </cell>
          <cell r="M183">
            <v>47000</v>
          </cell>
        </row>
        <row r="184">
          <cell r="E184">
            <v>45000</v>
          </cell>
          <cell r="M184">
            <v>42000</v>
          </cell>
        </row>
        <row r="185">
          <cell r="E185">
            <v>47000</v>
          </cell>
          <cell r="M185">
            <v>44000</v>
          </cell>
        </row>
        <row r="188">
          <cell r="E188">
            <v>35000</v>
          </cell>
          <cell r="M188">
            <v>42000</v>
          </cell>
        </row>
        <row r="189">
          <cell r="E189">
            <v>42000</v>
          </cell>
          <cell r="M189">
            <v>37000</v>
          </cell>
        </row>
        <row r="190">
          <cell r="E190">
            <v>43000</v>
          </cell>
          <cell r="M190">
            <v>39000</v>
          </cell>
        </row>
        <row r="197">
          <cell r="E197">
            <v>3535000</v>
          </cell>
          <cell r="M197">
            <v>1292000</v>
          </cell>
        </row>
        <row r="198">
          <cell r="E198">
            <v>3771000</v>
          </cell>
          <cell r="M198">
            <v>1290000</v>
          </cell>
        </row>
        <row r="199">
          <cell r="E199">
            <v>3574000</v>
          </cell>
          <cell r="M199">
            <v>1033000</v>
          </cell>
        </row>
        <row r="202">
          <cell r="E202">
            <v>1389000</v>
          </cell>
          <cell r="M202">
            <v>73000</v>
          </cell>
        </row>
        <row r="203">
          <cell r="E203">
            <v>1258000</v>
          </cell>
          <cell r="M203">
            <v>92000</v>
          </cell>
        </row>
        <row r="204">
          <cell r="E204">
            <v>1283000</v>
          </cell>
          <cell r="M204">
            <v>97000</v>
          </cell>
        </row>
        <row r="211">
          <cell r="E211">
            <v>47000</v>
          </cell>
          <cell r="M211">
            <v>42000</v>
          </cell>
        </row>
        <row r="212">
          <cell r="E212">
            <v>48000</v>
          </cell>
          <cell r="M212">
            <v>48000</v>
          </cell>
        </row>
        <row r="213">
          <cell r="E213">
            <v>38000</v>
          </cell>
          <cell r="M213">
            <v>40000</v>
          </cell>
        </row>
        <row r="216">
          <cell r="E216">
            <v>49000</v>
          </cell>
          <cell r="M216">
            <v>42000</v>
          </cell>
        </row>
        <row r="217">
          <cell r="E217">
            <v>56000</v>
          </cell>
          <cell r="M217">
            <v>49000</v>
          </cell>
        </row>
        <row r="218">
          <cell r="E218">
            <v>39000</v>
          </cell>
          <cell r="M218">
            <v>44000</v>
          </cell>
        </row>
        <row r="222">
          <cell r="E222">
            <v>1927000</v>
          </cell>
          <cell r="M222">
            <v>373000</v>
          </cell>
        </row>
        <row r="223">
          <cell r="E223">
            <v>1971000</v>
          </cell>
          <cell r="M223">
            <v>393000</v>
          </cell>
        </row>
        <row r="224">
          <cell r="E224">
            <v>2097000</v>
          </cell>
          <cell r="M224">
            <v>377000</v>
          </cell>
        </row>
        <row r="227">
          <cell r="E227">
            <v>1960000</v>
          </cell>
          <cell r="M227">
            <v>81000</v>
          </cell>
        </row>
        <row r="228">
          <cell r="E228">
            <v>2004000</v>
          </cell>
          <cell r="M228">
            <v>79000</v>
          </cell>
        </row>
        <row r="229">
          <cell r="E229">
            <v>2070000</v>
          </cell>
          <cell r="M229">
            <v>92000</v>
          </cell>
        </row>
        <row r="237">
          <cell r="E237">
            <v>41000</v>
          </cell>
          <cell r="M237">
            <v>47000</v>
          </cell>
        </row>
        <row r="238">
          <cell r="E238">
            <v>36000</v>
          </cell>
          <cell r="M238">
            <v>35000</v>
          </cell>
        </row>
        <row r="239">
          <cell r="E239">
            <v>38000</v>
          </cell>
          <cell r="M239">
            <v>34000</v>
          </cell>
        </row>
        <row r="242">
          <cell r="E242">
            <v>46000</v>
          </cell>
          <cell r="M242">
            <v>45000</v>
          </cell>
        </row>
        <row r="243">
          <cell r="E243">
            <v>46000</v>
          </cell>
          <cell r="M243">
            <v>44000</v>
          </cell>
        </row>
        <row r="244">
          <cell r="E244">
            <v>37000</v>
          </cell>
          <cell r="M244">
            <v>47000</v>
          </cell>
        </row>
        <row r="252">
          <cell r="E252">
            <v>2919000</v>
          </cell>
          <cell r="M252">
            <v>1281600</v>
          </cell>
        </row>
        <row r="253">
          <cell r="E253">
            <v>2742600</v>
          </cell>
          <cell r="M253">
            <v>1210800</v>
          </cell>
        </row>
        <row r="254">
          <cell r="E254">
            <v>2696400</v>
          </cell>
          <cell r="M254">
            <v>1087200</v>
          </cell>
        </row>
        <row r="257">
          <cell r="E257">
            <v>1611400</v>
          </cell>
          <cell r="M257">
            <v>90000</v>
          </cell>
        </row>
        <row r="258">
          <cell r="E258">
            <v>1719200</v>
          </cell>
          <cell r="M258">
            <v>114000</v>
          </cell>
        </row>
        <row r="259">
          <cell r="E259">
            <v>1575000</v>
          </cell>
          <cell r="M259">
            <v>123000</v>
          </cell>
        </row>
        <row r="267">
          <cell r="E267">
            <v>39000</v>
          </cell>
          <cell r="M267">
            <v>31000</v>
          </cell>
        </row>
        <row r="268">
          <cell r="E268">
            <v>36000</v>
          </cell>
          <cell r="M268">
            <v>43000</v>
          </cell>
        </row>
        <row r="269">
          <cell r="E269">
            <v>42000</v>
          </cell>
          <cell r="M269">
            <v>45000</v>
          </cell>
        </row>
        <row r="272">
          <cell r="E272">
            <v>41000</v>
          </cell>
          <cell r="M272">
            <v>32000</v>
          </cell>
        </row>
        <row r="273">
          <cell r="E273">
            <v>38000</v>
          </cell>
          <cell r="M273">
            <v>34000</v>
          </cell>
        </row>
        <row r="274">
          <cell r="E274">
            <v>36000</v>
          </cell>
          <cell r="M274">
            <v>28000</v>
          </cell>
        </row>
        <row r="280">
          <cell r="E280">
            <v>4776000</v>
          </cell>
          <cell r="M280">
            <v>2366000</v>
          </cell>
        </row>
        <row r="281">
          <cell r="E281">
            <v>4584000</v>
          </cell>
          <cell r="M281">
            <v>2434000</v>
          </cell>
        </row>
        <row r="282">
          <cell r="E282">
            <v>4504000</v>
          </cell>
          <cell r="M282">
            <v>2418000</v>
          </cell>
        </row>
        <row r="285">
          <cell r="E285">
            <v>3557000</v>
          </cell>
          <cell r="M285">
            <v>170000</v>
          </cell>
        </row>
        <row r="286">
          <cell r="E286">
            <v>3420000</v>
          </cell>
          <cell r="M286">
            <v>152000</v>
          </cell>
        </row>
        <row r="287">
          <cell r="E287">
            <v>3941000</v>
          </cell>
          <cell r="M287">
            <v>161000</v>
          </cell>
        </row>
        <row r="294">
          <cell r="E294">
            <v>47000</v>
          </cell>
          <cell r="M294">
            <v>41000</v>
          </cell>
        </row>
        <row r="295">
          <cell r="E295">
            <v>42000</v>
          </cell>
          <cell r="M295">
            <v>46000</v>
          </cell>
        </row>
        <row r="296">
          <cell r="E296">
            <v>36000</v>
          </cell>
          <cell r="M296">
            <v>46000</v>
          </cell>
        </row>
        <row r="299">
          <cell r="E299">
            <v>44000</v>
          </cell>
          <cell r="M299">
            <v>44000</v>
          </cell>
        </row>
        <row r="300">
          <cell r="E300">
            <v>45000</v>
          </cell>
          <cell r="M300">
            <v>37000</v>
          </cell>
        </row>
        <row r="301">
          <cell r="E301">
            <v>53000</v>
          </cell>
          <cell r="M301">
            <v>41000</v>
          </cell>
        </row>
        <row r="306">
          <cell r="E306">
            <v>5473000</v>
          </cell>
          <cell r="M306">
            <v>2750000</v>
          </cell>
        </row>
        <row r="307">
          <cell r="E307">
            <v>5979000</v>
          </cell>
          <cell r="M307">
            <v>2511000</v>
          </cell>
        </row>
        <row r="308">
          <cell r="E308">
            <v>6036000</v>
          </cell>
          <cell r="M308">
            <v>2559000</v>
          </cell>
        </row>
        <row r="311">
          <cell r="E311">
            <v>2182000</v>
          </cell>
          <cell r="M311">
            <v>183000</v>
          </cell>
        </row>
        <row r="312">
          <cell r="M312">
            <v>167000</v>
          </cell>
        </row>
        <row r="313">
          <cell r="E313">
            <v>2113000</v>
          </cell>
          <cell r="M313">
            <v>185000</v>
          </cell>
        </row>
        <row r="321">
          <cell r="E321">
            <v>59000</v>
          </cell>
          <cell r="M321">
            <v>67000</v>
          </cell>
        </row>
        <row r="322">
          <cell r="E322">
            <v>70000</v>
          </cell>
          <cell r="M322">
            <v>73000</v>
          </cell>
        </row>
        <row r="323">
          <cell r="E323">
            <v>69000</v>
          </cell>
          <cell r="M323">
            <v>78000</v>
          </cell>
        </row>
        <row r="326">
          <cell r="E326">
            <v>58000</v>
          </cell>
          <cell r="M326">
            <v>58000</v>
          </cell>
        </row>
        <row r="327">
          <cell r="E327">
            <v>63000</v>
          </cell>
          <cell r="M327">
            <v>60000</v>
          </cell>
        </row>
        <row r="328">
          <cell r="E328">
            <v>73000</v>
          </cell>
          <cell r="M328">
            <v>62000</v>
          </cell>
        </row>
        <row r="333">
          <cell r="E333">
            <v>5544000</v>
          </cell>
          <cell r="M333">
            <v>2560000</v>
          </cell>
        </row>
        <row r="334">
          <cell r="E334">
            <v>4958000</v>
          </cell>
          <cell r="M334">
            <v>2437000</v>
          </cell>
        </row>
        <row r="335">
          <cell r="E335">
            <v>4983000</v>
          </cell>
          <cell r="M335">
            <v>2553000</v>
          </cell>
        </row>
        <row r="338">
          <cell r="E338">
            <v>2534000</v>
          </cell>
          <cell r="M338">
            <v>344000</v>
          </cell>
        </row>
        <row r="339">
          <cell r="E339">
            <v>2712000</v>
          </cell>
          <cell r="M339">
            <v>420000</v>
          </cell>
        </row>
        <row r="340">
          <cell r="E340">
            <v>2540000</v>
          </cell>
          <cell r="M340">
            <v>299000</v>
          </cell>
        </row>
      </sheetData>
      <sheetData sheetId="1">
        <row r="264">
          <cell r="B264">
            <v>72666.666666666672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6"/>
  <sheetViews>
    <sheetView topLeftCell="A17" workbookViewId="0">
      <selection activeCell="T132" sqref="T132"/>
    </sheetView>
  </sheetViews>
  <sheetFormatPr baseColWidth="10" defaultRowHeight="15" x14ac:dyDescent="0.2"/>
  <cols>
    <col min="1" max="1" width="18.6640625" bestFit="1" customWidth="1"/>
    <col min="2" max="2" width="8.83203125" customWidth="1"/>
    <col min="3" max="3" width="9.5" bestFit="1" customWidth="1"/>
    <col min="4" max="4" width="8.83203125" customWidth="1"/>
    <col min="5" max="7" width="9.5" bestFit="1" customWidth="1"/>
    <col min="8" max="8" width="8.83203125" customWidth="1"/>
    <col min="9" max="9" width="18.6640625" bestFit="1" customWidth="1"/>
    <col min="10" max="10" width="8.83203125" customWidth="1"/>
    <col min="11" max="11" width="9.5" bestFit="1" customWidth="1"/>
    <col min="12" max="12" width="8.83203125" customWidth="1"/>
    <col min="13" max="15" width="9.5" bestFit="1" customWidth="1"/>
    <col min="16" max="256" width="8.83203125" customWidth="1"/>
  </cols>
  <sheetData>
    <row r="1" spans="1:17" ht="19" x14ac:dyDescent="0.25">
      <c r="A1" s="141" t="s">
        <v>19</v>
      </c>
      <c r="B1" s="142"/>
      <c r="C1" s="142"/>
      <c r="D1" s="142"/>
      <c r="E1" s="142"/>
      <c r="F1" s="142"/>
      <c r="G1" s="143"/>
      <c r="O1" s="1"/>
    </row>
    <row r="2" spans="1:17" ht="16" x14ac:dyDescent="0.2">
      <c r="A2" s="144" t="s">
        <v>0</v>
      </c>
      <c r="B2" s="145"/>
      <c r="C2" s="145"/>
      <c r="D2" s="145"/>
      <c r="E2" s="145"/>
      <c r="F2" s="145"/>
      <c r="G2" s="146"/>
      <c r="O2" s="1"/>
    </row>
    <row r="3" spans="1:17" ht="32" x14ac:dyDescent="0.2">
      <c r="A3" s="2" t="s">
        <v>1</v>
      </c>
      <c r="B3" s="3" t="s">
        <v>2</v>
      </c>
      <c r="C3" s="3" t="s">
        <v>3</v>
      </c>
      <c r="D3" s="3" t="s">
        <v>4</v>
      </c>
      <c r="E3" s="3" t="s">
        <v>5</v>
      </c>
      <c r="F3" s="4" t="s">
        <v>6</v>
      </c>
      <c r="G3" s="5" t="s">
        <v>7</v>
      </c>
      <c r="H3" s="1"/>
      <c r="I3" s="1"/>
      <c r="J3" s="1"/>
      <c r="K3" s="1"/>
      <c r="L3" s="1"/>
      <c r="M3" s="1"/>
      <c r="N3" s="1"/>
      <c r="O3" s="1"/>
    </row>
    <row r="4" spans="1:17" x14ac:dyDescent="0.2">
      <c r="A4" s="6" t="s">
        <v>8</v>
      </c>
      <c r="B4" s="1">
        <v>74</v>
      </c>
      <c r="C4" s="7">
        <f>B4*400</f>
        <v>29600</v>
      </c>
      <c r="D4" s="1">
        <v>2.5</v>
      </c>
      <c r="E4" s="7">
        <f>C4*D4</f>
        <v>74000</v>
      </c>
      <c r="F4" s="8">
        <f>AVERAGE(E4:E6)</f>
        <v>69333.333333333328</v>
      </c>
      <c r="G4" s="9">
        <f>_xlfn.STDEV.S(E4:E6)</f>
        <v>5686.2407030773275</v>
      </c>
      <c r="H4" s="1"/>
      <c r="I4" s="1"/>
      <c r="J4" s="1"/>
      <c r="K4" s="1"/>
      <c r="L4" s="1"/>
      <c r="M4" s="1"/>
      <c r="N4" s="1"/>
      <c r="O4" s="1"/>
      <c r="Q4" s="1"/>
    </row>
    <row r="5" spans="1:17" x14ac:dyDescent="0.2">
      <c r="A5" s="6" t="s">
        <v>9</v>
      </c>
      <c r="B5" s="1">
        <v>63</v>
      </c>
      <c r="C5" s="7">
        <f>B5*400</f>
        <v>25200</v>
      </c>
      <c r="D5" s="1">
        <v>2.5</v>
      </c>
      <c r="E5" s="7">
        <f>C5*D5</f>
        <v>63000</v>
      </c>
      <c r="F5" s="7"/>
      <c r="G5" s="10"/>
      <c r="H5" s="1"/>
      <c r="I5" s="1"/>
      <c r="J5" s="1"/>
      <c r="K5" s="1"/>
      <c r="L5" s="1"/>
      <c r="M5" s="1"/>
      <c r="N5" s="1"/>
      <c r="Q5" s="1"/>
    </row>
    <row r="6" spans="1:17" x14ac:dyDescent="0.2">
      <c r="A6" s="11" t="s">
        <v>10</v>
      </c>
      <c r="B6" s="12">
        <v>71</v>
      </c>
      <c r="C6" s="13">
        <f>B6*400</f>
        <v>28400</v>
      </c>
      <c r="D6" s="12">
        <v>2.5</v>
      </c>
      <c r="E6" s="13">
        <f>C6*D6</f>
        <v>71000</v>
      </c>
      <c r="F6" s="13"/>
      <c r="G6" s="14"/>
      <c r="H6" s="1"/>
      <c r="I6" s="1"/>
      <c r="J6" s="1"/>
      <c r="K6" s="1"/>
      <c r="L6" s="1"/>
      <c r="M6" s="1"/>
      <c r="N6" s="1"/>
      <c r="Q6" s="1"/>
    </row>
    <row r="7" spans="1:17" ht="16" thickBot="1" x14ac:dyDescent="0.25">
      <c r="A7" s="1"/>
      <c r="B7" s="1"/>
      <c r="C7" s="1"/>
      <c r="D7" s="1"/>
      <c r="E7" s="1"/>
      <c r="F7" s="1"/>
      <c r="G7" s="1"/>
      <c r="H7" s="1"/>
      <c r="I7" s="1"/>
      <c r="J7" s="1"/>
      <c r="K7" s="1"/>
      <c r="L7" s="1"/>
      <c r="M7" s="1"/>
      <c r="N7" s="1"/>
    </row>
    <row r="8" spans="1:17" ht="20" thickBot="1" x14ac:dyDescent="0.25">
      <c r="A8" s="107" t="s">
        <v>20</v>
      </c>
      <c r="B8" s="108"/>
      <c r="C8" s="108"/>
      <c r="D8" s="108"/>
      <c r="E8" s="108"/>
      <c r="F8" s="108"/>
      <c r="G8" s="108"/>
      <c r="H8" s="108"/>
      <c r="I8" s="108"/>
      <c r="J8" s="108"/>
      <c r="K8" s="108"/>
      <c r="L8" s="108"/>
      <c r="M8" s="108"/>
      <c r="N8" s="108"/>
      <c r="O8" s="109"/>
      <c r="Q8" s="1"/>
    </row>
    <row r="9" spans="1:17" ht="16" x14ac:dyDescent="0.2">
      <c r="A9" s="110" t="s">
        <v>21</v>
      </c>
      <c r="B9" s="111"/>
      <c r="C9" s="111"/>
      <c r="D9" s="111"/>
      <c r="E9" s="111"/>
      <c r="F9" s="111"/>
      <c r="G9" s="112"/>
      <c r="H9" s="27"/>
      <c r="I9" s="113" t="s">
        <v>12</v>
      </c>
      <c r="J9" s="114"/>
      <c r="K9" s="114"/>
      <c r="L9" s="114"/>
      <c r="M9" s="114"/>
      <c r="N9" s="114"/>
      <c r="O9" s="115"/>
      <c r="Q9" s="1"/>
    </row>
    <row r="10" spans="1:17" ht="32" x14ac:dyDescent="0.2">
      <c r="A10" s="28" t="s">
        <v>1</v>
      </c>
      <c r="B10" s="16" t="s">
        <v>2</v>
      </c>
      <c r="C10" s="16" t="s">
        <v>3</v>
      </c>
      <c r="D10" s="16" t="s">
        <v>4</v>
      </c>
      <c r="E10" s="16" t="s">
        <v>5</v>
      </c>
      <c r="F10" s="17" t="s">
        <v>6</v>
      </c>
      <c r="G10" s="18" t="s">
        <v>7</v>
      </c>
      <c r="H10" s="1"/>
      <c r="I10" s="15" t="s">
        <v>1</v>
      </c>
      <c r="J10" s="16" t="s">
        <v>2</v>
      </c>
      <c r="K10" s="16" t="s">
        <v>3</v>
      </c>
      <c r="L10" s="16" t="s">
        <v>4</v>
      </c>
      <c r="M10" s="16" t="s">
        <v>5</v>
      </c>
      <c r="N10" s="17" t="s">
        <v>6</v>
      </c>
      <c r="O10" s="29" t="s">
        <v>7</v>
      </c>
      <c r="Q10" s="1"/>
    </row>
    <row r="11" spans="1:17" x14ac:dyDescent="0.2">
      <c r="A11" s="30" t="s">
        <v>13</v>
      </c>
      <c r="B11" s="25">
        <v>35</v>
      </c>
      <c r="C11" s="48">
        <f>B11*400</f>
        <v>14000</v>
      </c>
      <c r="D11" s="1">
        <v>2.5</v>
      </c>
      <c r="E11" s="48">
        <f>C11*D11</f>
        <v>35000</v>
      </c>
      <c r="F11" s="8">
        <f>AVERAGE(E11:E13)</f>
        <v>31000</v>
      </c>
      <c r="G11" s="9">
        <f>_xlfn.STDEV.S(E11:E13)</f>
        <v>4000</v>
      </c>
      <c r="H11" s="1"/>
      <c r="I11" s="19" t="s">
        <v>14</v>
      </c>
      <c r="J11" s="26">
        <v>878</v>
      </c>
      <c r="K11" s="49">
        <f>J11*400</f>
        <v>351200</v>
      </c>
      <c r="L11" s="1">
        <v>2.5</v>
      </c>
      <c r="M11" s="49">
        <f>K11*L11</f>
        <v>878000</v>
      </c>
      <c r="N11" s="20">
        <f>AVERAGE(M11:M13)</f>
        <v>896333.33333333337</v>
      </c>
      <c r="O11" s="31">
        <f>_xlfn.STDEV.S(K11:K13)</f>
        <v>7203.7027515947193</v>
      </c>
    </row>
    <row r="12" spans="1:17" x14ac:dyDescent="0.2">
      <c r="A12" s="30" t="s">
        <v>15</v>
      </c>
      <c r="B12" s="25">
        <v>27</v>
      </c>
      <c r="C12" s="48">
        <f>B12*400</f>
        <v>10800</v>
      </c>
      <c r="D12" s="1">
        <v>2.5</v>
      </c>
      <c r="E12" s="48">
        <f>C12*D12</f>
        <v>27000</v>
      </c>
      <c r="F12" s="7"/>
      <c r="G12" s="10"/>
      <c r="H12" s="1"/>
      <c r="I12" s="19" t="s">
        <v>16</v>
      </c>
      <c r="J12" s="26">
        <v>897</v>
      </c>
      <c r="K12" s="49">
        <f>J12*400</f>
        <v>358800</v>
      </c>
      <c r="L12" s="1">
        <v>2.5</v>
      </c>
      <c r="M12" s="49">
        <f>K12*L12</f>
        <v>897000</v>
      </c>
      <c r="N12" s="7"/>
      <c r="O12" s="32"/>
    </row>
    <row r="13" spans="1:17" x14ac:dyDescent="0.2">
      <c r="A13" s="30" t="s">
        <v>17</v>
      </c>
      <c r="B13" s="25">
        <v>31</v>
      </c>
      <c r="C13" s="48">
        <f>B13*400</f>
        <v>12400</v>
      </c>
      <c r="D13" s="1">
        <v>2.5</v>
      </c>
      <c r="E13" s="48">
        <f>C13*D13</f>
        <v>31000</v>
      </c>
      <c r="F13" s="7"/>
      <c r="G13" s="10"/>
      <c r="H13" s="12"/>
      <c r="I13" s="21" t="s">
        <v>18</v>
      </c>
      <c r="J13" s="50">
        <v>914</v>
      </c>
      <c r="K13" s="51">
        <f>J13*400</f>
        <v>365600</v>
      </c>
      <c r="L13" s="12">
        <v>2.5</v>
      </c>
      <c r="M13" s="51">
        <f>K13*L13</f>
        <v>914000</v>
      </c>
      <c r="N13" s="13"/>
      <c r="O13" s="33"/>
    </row>
    <row r="14" spans="1:17" ht="16" x14ac:dyDescent="0.2">
      <c r="A14" s="116" t="s">
        <v>26</v>
      </c>
      <c r="B14" s="117"/>
      <c r="C14" s="117"/>
      <c r="D14" s="117"/>
      <c r="E14" s="117"/>
      <c r="F14" s="117"/>
      <c r="G14" s="118"/>
      <c r="H14" s="1"/>
      <c r="I14" s="119" t="s">
        <v>22</v>
      </c>
      <c r="J14" s="120"/>
      <c r="K14" s="120"/>
      <c r="L14" s="120"/>
      <c r="M14" s="120"/>
      <c r="N14" s="120"/>
      <c r="O14" s="121"/>
    </row>
    <row r="15" spans="1:17" ht="32" x14ac:dyDescent="0.2">
      <c r="A15" s="28" t="s">
        <v>1</v>
      </c>
      <c r="B15" s="16" t="s">
        <v>2</v>
      </c>
      <c r="C15" s="16" t="s">
        <v>3</v>
      </c>
      <c r="D15" s="16" t="s">
        <v>4</v>
      </c>
      <c r="E15" s="16" t="s">
        <v>5</v>
      </c>
      <c r="F15" s="17" t="s">
        <v>6</v>
      </c>
      <c r="G15" s="18" t="s">
        <v>7</v>
      </c>
      <c r="H15" s="1"/>
      <c r="I15" s="15" t="s">
        <v>1</v>
      </c>
      <c r="J15" s="16" t="s">
        <v>2</v>
      </c>
      <c r="K15" s="16" t="s">
        <v>3</v>
      </c>
      <c r="L15" s="16" t="s">
        <v>4</v>
      </c>
      <c r="M15" s="16" t="s">
        <v>5</v>
      </c>
      <c r="N15" s="17" t="s">
        <v>6</v>
      </c>
      <c r="O15" s="29" t="s">
        <v>7</v>
      </c>
    </row>
    <row r="16" spans="1:17" ht="16" customHeight="1" x14ac:dyDescent="0.2">
      <c r="A16" s="52" t="s">
        <v>27</v>
      </c>
      <c r="B16" s="53">
        <v>4359</v>
      </c>
      <c r="C16" s="54">
        <f>B16*400</f>
        <v>1743600</v>
      </c>
      <c r="D16" s="1">
        <v>2.5</v>
      </c>
      <c r="E16" s="54">
        <f>C16*D16</f>
        <v>4359000</v>
      </c>
      <c r="F16" s="58">
        <f>AVERAGE(E16:E18)</f>
        <v>4661666.666666667</v>
      </c>
      <c r="G16" s="9">
        <f>_xlfn.STDEV.S(E16:E18)</f>
        <v>264577.65085761371</v>
      </c>
      <c r="H16" s="1"/>
      <c r="I16" s="41" t="s">
        <v>23</v>
      </c>
      <c r="J16" s="43">
        <v>28</v>
      </c>
      <c r="K16" s="46">
        <f>J16*400</f>
        <v>11200</v>
      </c>
      <c r="L16" s="1">
        <v>2.5</v>
      </c>
      <c r="M16" s="46">
        <f>K16*L16</f>
        <v>28000</v>
      </c>
      <c r="N16" s="45">
        <f>AVERAGE(M16:M18)</f>
        <v>35333.333333333336</v>
      </c>
      <c r="O16" s="31">
        <f>_xlfn.STDEV.S(K16:K18)</f>
        <v>3780.6525010020841</v>
      </c>
    </row>
    <row r="17" spans="1:15" x14ac:dyDescent="0.2">
      <c r="A17" s="52" t="s">
        <v>28</v>
      </c>
      <c r="B17" s="53">
        <v>4849</v>
      </c>
      <c r="C17" s="54">
        <f>B17*400</f>
        <v>1939600</v>
      </c>
      <c r="D17" s="1">
        <v>2.5</v>
      </c>
      <c r="E17" s="54">
        <f>C17*D17</f>
        <v>4849000</v>
      </c>
      <c r="F17" s="54"/>
      <c r="G17" s="10"/>
      <c r="H17" s="1"/>
      <c r="I17" s="41" t="s">
        <v>25</v>
      </c>
      <c r="J17" s="43">
        <v>46</v>
      </c>
      <c r="K17" s="46">
        <f>J17*400</f>
        <v>18400</v>
      </c>
      <c r="L17" s="1">
        <v>2.5</v>
      </c>
      <c r="M17" s="46">
        <f>K17*L17</f>
        <v>46000</v>
      </c>
      <c r="N17" s="7"/>
      <c r="O17" s="32"/>
    </row>
    <row r="18" spans="1:15" ht="16" thickBot="1" x14ac:dyDescent="0.25">
      <c r="A18" s="55" t="s">
        <v>29</v>
      </c>
      <c r="B18" s="56">
        <v>4777</v>
      </c>
      <c r="C18" s="57">
        <f>B18*400</f>
        <v>1910800</v>
      </c>
      <c r="D18" s="36">
        <v>2.5</v>
      </c>
      <c r="E18" s="57">
        <f>C18*D18</f>
        <v>4777000</v>
      </c>
      <c r="F18" s="57"/>
      <c r="G18" s="38"/>
      <c r="H18" s="36"/>
      <c r="I18" s="42" t="s">
        <v>24</v>
      </c>
      <c r="J18" s="44">
        <v>32</v>
      </c>
      <c r="K18" s="47">
        <f>J18*400</f>
        <v>12800</v>
      </c>
      <c r="L18" s="36">
        <v>2.5</v>
      </c>
      <c r="M18" s="47">
        <f>K18*L18</f>
        <v>32000</v>
      </c>
      <c r="N18" s="37"/>
      <c r="O18" s="40"/>
    </row>
    <row r="19" spans="1:15" ht="15.5" customHeight="1" x14ac:dyDescent="0.2">
      <c r="A19" s="130" t="s">
        <v>30</v>
      </c>
      <c r="B19" s="130"/>
      <c r="C19" s="130"/>
      <c r="D19" s="130"/>
      <c r="E19" s="130"/>
      <c r="F19" s="130"/>
      <c r="G19" s="130"/>
      <c r="H19" s="130"/>
      <c r="I19" s="130"/>
      <c r="J19" s="130"/>
      <c r="K19" s="130"/>
      <c r="L19" s="130"/>
      <c r="M19" s="130"/>
      <c r="N19" s="130"/>
      <c r="O19" s="130"/>
    </row>
    <row r="20" spans="1:15" x14ac:dyDescent="0.2">
      <c r="A20" s="131"/>
      <c r="B20" s="131"/>
      <c r="C20" s="131"/>
      <c r="D20" s="131"/>
      <c r="E20" s="131"/>
      <c r="F20" s="131"/>
      <c r="G20" s="131"/>
      <c r="H20" s="131"/>
      <c r="I20" s="131"/>
      <c r="J20" s="131"/>
      <c r="K20" s="131"/>
      <c r="L20" s="131"/>
      <c r="M20" s="131"/>
      <c r="N20" s="131"/>
      <c r="O20" s="131"/>
    </row>
    <row r="21" spans="1:15" ht="16" thickBot="1" x14ac:dyDescent="0.25">
      <c r="A21" s="131"/>
      <c r="B21" s="131"/>
      <c r="C21" s="131"/>
      <c r="D21" s="131"/>
      <c r="E21" s="131"/>
      <c r="F21" s="131"/>
      <c r="G21" s="131"/>
      <c r="H21" s="131"/>
      <c r="I21" s="131"/>
      <c r="J21" s="131"/>
      <c r="K21" s="131"/>
      <c r="L21" s="131"/>
      <c r="M21" s="131"/>
      <c r="N21" s="131"/>
      <c r="O21" s="131"/>
    </row>
    <row r="22" spans="1:15" ht="19" x14ac:dyDescent="0.2">
      <c r="A22" s="132" t="s">
        <v>32</v>
      </c>
      <c r="B22" s="133"/>
      <c r="C22" s="133"/>
      <c r="D22" s="133"/>
      <c r="E22" s="133"/>
      <c r="F22" s="133"/>
      <c r="G22" s="133"/>
      <c r="H22" s="133"/>
      <c r="I22" s="133"/>
      <c r="J22" s="133"/>
      <c r="K22" s="133"/>
      <c r="L22" s="133"/>
      <c r="M22" s="133"/>
      <c r="N22" s="133"/>
      <c r="O22" s="134"/>
    </row>
    <row r="23" spans="1:15" ht="16" x14ac:dyDescent="0.2">
      <c r="A23" s="135" t="s">
        <v>11</v>
      </c>
      <c r="B23" s="136"/>
      <c r="C23" s="136"/>
      <c r="D23" s="136"/>
      <c r="E23" s="136"/>
      <c r="F23" s="136"/>
      <c r="G23" s="137"/>
      <c r="H23" s="1"/>
      <c r="I23" s="138" t="s">
        <v>12</v>
      </c>
      <c r="J23" s="139"/>
      <c r="K23" s="139"/>
      <c r="L23" s="139"/>
      <c r="M23" s="139"/>
      <c r="N23" s="139"/>
      <c r="O23" s="140"/>
    </row>
    <row r="24" spans="1:15" ht="32" x14ac:dyDescent="0.2">
      <c r="A24" s="28" t="s">
        <v>1</v>
      </c>
      <c r="B24" s="16" t="s">
        <v>2</v>
      </c>
      <c r="C24" s="16" t="s">
        <v>3</v>
      </c>
      <c r="D24" s="16" t="s">
        <v>4</v>
      </c>
      <c r="E24" s="16" t="s">
        <v>5</v>
      </c>
      <c r="F24" s="17" t="s">
        <v>6</v>
      </c>
      <c r="G24" s="18" t="s">
        <v>7</v>
      </c>
      <c r="H24" s="1"/>
      <c r="I24" s="15" t="s">
        <v>1</v>
      </c>
      <c r="J24" s="16" t="s">
        <v>2</v>
      </c>
      <c r="K24" s="16" t="s">
        <v>3</v>
      </c>
      <c r="L24" s="16" t="s">
        <v>4</v>
      </c>
      <c r="M24" s="16" t="s">
        <v>5</v>
      </c>
      <c r="N24" s="17" t="s">
        <v>6</v>
      </c>
      <c r="O24" s="29" t="s">
        <v>7</v>
      </c>
    </row>
    <row r="25" spans="1:15" x14ac:dyDescent="0.2">
      <c r="A25" s="30" t="s">
        <v>31</v>
      </c>
      <c r="B25" s="25">
        <v>35</v>
      </c>
      <c r="C25" s="48">
        <f>B25*400</f>
        <v>14000</v>
      </c>
      <c r="D25" s="1">
        <v>2.5</v>
      </c>
      <c r="E25" s="48">
        <f>C25*D25</f>
        <v>35000</v>
      </c>
      <c r="F25" s="8">
        <f>AVERAGE(E25:E27)</f>
        <v>31000</v>
      </c>
      <c r="G25" s="9">
        <f>_xlfn.STDEV.S(E25:E27)</f>
        <v>4000</v>
      </c>
      <c r="H25" s="1"/>
      <c r="I25" s="19" t="s">
        <v>31</v>
      </c>
      <c r="J25" s="26">
        <v>58</v>
      </c>
      <c r="K25" s="49">
        <f>J25*400</f>
        <v>23200</v>
      </c>
      <c r="L25" s="1">
        <v>2.5</v>
      </c>
      <c r="M25" s="49">
        <f>K25*L25</f>
        <v>58000</v>
      </c>
      <c r="N25" s="20">
        <f>AVERAGE(M25:M27)</f>
        <v>59333.333333333336</v>
      </c>
      <c r="O25" s="31">
        <f>_xlfn.STDEV.S(K25:K27)</f>
        <v>2052.6405757787538</v>
      </c>
    </row>
    <row r="26" spans="1:15" ht="16" customHeight="1" x14ac:dyDescent="0.2">
      <c r="A26" s="30" t="s">
        <v>31</v>
      </c>
      <c r="B26" s="25">
        <v>27</v>
      </c>
      <c r="C26" s="48">
        <f>B26*400</f>
        <v>10800</v>
      </c>
      <c r="D26" s="1">
        <v>2.5</v>
      </c>
      <c r="E26" s="48">
        <f>C26*D26</f>
        <v>27000</v>
      </c>
      <c r="F26" s="7"/>
      <c r="G26" s="10"/>
      <c r="H26" s="1"/>
      <c r="I26" s="19" t="s">
        <v>31</v>
      </c>
      <c r="J26" s="26">
        <v>55</v>
      </c>
      <c r="K26" s="49">
        <f>J26*400</f>
        <v>22000</v>
      </c>
      <c r="L26" s="1">
        <v>2.5</v>
      </c>
      <c r="M26" s="49">
        <f>K26*L26</f>
        <v>55000</v>
      </c>
      <c r="N26" s="7"/>
      <c r="O26" s="32"/>
    </row>
    <row r="27" spans="1:15" x14ac:dyDescent="0.2">
      <c r="A27" s="63" t="s">
        <v>31</v>
      </c>
      <c r="B27" s="25">
        <v>31</v>
      </c>
      <c r="C27" s="48">
        <f>B27*400</f>
        <v>12400</v>
      </c>
      <c r="D27" s="1">
        <v>2.5</v>
      </c>
      <c r="E27" s="48">
        <f>C27*D27</f>
        <v>31000</v>
      </c>
      <c r="F27" s="7"/>
      <c r="G27" s="10"/>
      <c r="H27" s="12"/>
      <c r="I27" s="21" t="s">
        <v>31</v>
      </c>
      <c r="J27" s="50">
        <v>65</v>
      </c>
      <c r="K27" s="51">
        <f>J27*400</f>
        <v>26000</v>
      </c>
      <c r="L27" s="12">
        <v>2.5</v>
      </c>
      <c r="M27" s="51">
        <f>K27*L27</f>
        <v>65000</v>
      </c>
      <c r="N27" s="13"/>
      <c r="O27" s="33"/>
    </row>
    <row r="28" spans="1:15" ht="16" x14ac:dyDescent="0.2">
      <c r="A28" s="116" t="s">
        <v>26</v>
      </c>
      <c r="B28" s="117"/>
      <c r="C28" s="117"/>
      <c r="D28" s="117"/>
      <c r="E28" s="117"/>
      <c r="F28" s="117"/>
      <c r="G28" s="118"/>
      <c r="H28" s="1"/>
      <c r="I28" s="119" t="s">
        <v>22</v>
      </c>
      <c r="J28" s="120"/>
      <c r="K28" s="120"/>
      <c r="L28" s="120"/>
      <c r="M28" s="120"/>
      <c r="N28" s="120"/>
      <c r="O28" s="121"/>
    </row>
    <row r="29" spans="1:15" ht="32" x14ac:dyDescent="0.2">
      <c r="A29" s="28" t="s">
        <v>1</v>
      </c>
      <c r="B29" s="16" t="s">
        <v>2</v>
      </c>
      <c r="C29" s="16" t="s">
        <v>3</v>
      </c>
      <c r="D29" s="16" t="s">
        <v>4</v>
      </c>
      <c r="E29" s="16" t="s">
        <v>5</v>
      </c>
      <c r="F29" s="17" t="s">
        <v>6</v>
      </c>
      <c r="G29" s="18" t="s">
        <v>7</v>
      </c>
      <c r="H29" s="1"/>
      <c r="I29" s="15" t="s">
        <v>1</v>
      </c>
      <c r="J29" s="16" t="s">
        <v>2</v>
      </c>
      <c r="K29" s="16" t="s">
        <v>3</v>
      </c>
      <c r="L29" s="16" t="s">
        <v>4</v>
      </c>
      <c r="M29" s="16" t="s">
        <v>5</v>
      </c>
      <c r="N29" s="17" t="s">
        <v>6</v>
      </c>
      <c r="O29" s="29" t="s">
        <v>7</v>
      </c>
    </row>
    <row r="30" spans="1:15" x14ac:dyDescent="0.2">
      <c r="A30" s="52" t="s">
        <v>31</v>
      </c>
      <c r="B30" s="53">
        <v>48</v>
      </c>
      <c r="C30" s="54">
        <f>B30*400</f>
        <v>19200</v>
      </c>
      <c r="D30" s="1">
        <v>2.5</v>
      </c>
      <c r="E30" s="54">
        <f>C30*D30</f>
        <v>48000</v>
      </c>
      <c r="F30" s="58">
        <f>AVERAGE(E30:E32)</f>
        <v>55000</v>
      </c>
      <c r="G30" s="9">
        <f>_xlfn.STDEV.S(E30:E32)</f>
        <v>6557.4385243020006</v>
      </c>
      <c r="H30" s="1"/>
      <c r="I30" s="41" t="s">
        <v>31</v>
      </c>
      <c r="J30" s="43">
        <v>28</v>
      </c>
      <c r="K30" s="46">
        <f>J30*400</f>
        <v>11200</v>
      </c>
      <c r="L30" s="1">
        <v>2.5</v>
      </c>
      <c r="M30" s="46">
        <f>K30*L30</f>
        <v>28000</v>
      </c>
      <c r="N30" s="45">
        <f>AVERAGE(M30:M32)</f>
        <v>35333.333333333336</v>
      </c>
      <c r="O30" s="31">
        <f>_xlfn.STDEV.S(K30:K32)</f>
        <v>3780.6525010020841</v>
      </c>
    </row>
    <row r="31" spans="1:15" x14ac:dyDescent="0.2">
      <c r="A31" s="52" t="s">
        <v>31</v>
      </c>
      <c r="B31" s="53">
        <v>61</v>
      </c>
      <c r="C31" s="54">
        <f>B31*400</f>
        <v>24400</v>
      </c>
      <c r="D31" s="1">
        <v>2.5</v>
      </c>
      <c r="E31" s="54">
        <f>C31*D31</f>
        <v>61000</v>
      </c>
      <c r="F31" s="54"/>
      <c r="G31" s="10"/>
      <c r="H31" s="1"/>
      <c r="I31" s="41" t="s">
        <v>31</v>
      </c>
      <c r="J31" s="43">
        <v>46</v>
      </c>
      <c r="K31" s="46">
        <f>J31*400</f>
        <v>18400</v>
      </c>
      <c r="L31" s="1">
        <v>2.5</v>
      </c>
      <c r="M31" s="46">
        <f>K31*L31</f>
        <v>46000</v>
      </c>
      <c r="N31" s="7"/>
      <c r="O31" s="32"/>
    </row>
    <row r="32" spans="1:15" x14ac:dyDescent="0.2">
      <c r="A32" s="64" t="s">
        <v>31</v>
      </c>
      <c r="B32" s="70">
        <v>56</v>
      </c>
      <c r="C32" s="71">
        <f>B32*400</f>
        <v>22400</v>
      </c>
      <c r="D32" s="12">
        <v>2.5</v>
      </c>
      <c r="E32" s="71">
        <f>C32*D32</f>
        <v>56000</v>
      </c>
      <c r="F32" s="71"/>
      <c r="G32" s="14"/>
      <c r="H32" s="69"/>
      <c r="I32" s="74" t="s">
        <v>31</v>
      </c>
      <c r="J32" s="72">
        <v>32</v>
      </c>
      <c r="K32" s="73">
        <f>J32*400</f>
        <v>12800</v>
      </c>
      <c r="L32" s="12">
        <v>2.5</v>
      </c>
      <c r="M32" s="73">
        <f>K32*L32</f>
        <v>32000</v>
      </c>
      <c r="N32" s="13"/>
      <c r="O32" s="33"/>
    </row>
    <row r="33" spans="1:15" ht="16" x14ac:dyDescent="0.2">
      <c r="A33" s="122" t="s">
        <v>34</v>
      </c>
      <c r="B33" s="123"/>
      <c r="C33" s="123"/>
      <c r="D33" s="123"/>
      <c r="E33" s="123"/>
      <c r="F33" s="123"/>
      <c r="G33" s="124"/>
      <c r="H33" s="1"/>
      <c r="I33" s="125" t="s">
        <v>33</v>
      </c>
      <c r="J33" s="126"/>
      <c r="K33" s="126"/>
      <c r="L33" s="126"/>
      <c r="M33" s="126"/>
      <c r="N33" s="126"/>
      <c r="O33" s="127"/>
    </row>
    <row r="34" spans="1:15" ht="32" x14ac:dyDescent="0.2">
      <c r="A34" s="28" t="s">
        <v>1</v>
      </c>
      <c r="B34" s="16" t="s">
        <v>2</v>
      </c>
      <c r="C34" s="16" t="s">
        <v>3</v>
      </c>
      <c r="D34" s="16" t="s">
        <v>4</v>
      </c>
      <c r="E34" s="16" t="s">
        <v>5</v>
      </c>
      <c r="F34" s="17" t="s">
        <v>6</v>
      </c>
      <c r="G34" s="18" t="s">
        <v>7</v>
      </c>
      <c r="H34" s="1"/>
      <c r="I34" s="15" t="s">
        <v>1</v>
      </c>
      <c r="J34" s="16" t="s">
        <v>2</v>
      </c>
      <c r="K34" s="16" t="s">
        <v>3</v>
      </c>
      <c r="L34" s="16" t="s">
        <v>4</v>
      </c>
      <c r="M34" s="16" t="s">
        <v>5</v>
      </c>
      <c r="N34" s="17" t="s">
        <v>6</v>
      </c>
      <c r="O34" s="29" t="s">
        <v>7</v>
      </c>
    </row>
    <row r="35" spans="1:15" x14ac:dyDescent="0.2">
      <c r="A35" s="34" t="s">
        <v>31</v>
      </c>
      <c r="B35" s="59">
        <v>36</v>
      </c>
      <c r="C35" s="60">
        <f>B35*400</f>
        <v>14400</v>
      </c>
      <c r="D35" s="1">
        <v>2.5</v>
      </c>
      <c r="E35" s="60">
        <f>C35*D35</f>
        <v>36000</v>
      </c>
      <c r="F35" s="22">
        <f>AVERAGE(E35:E37)</f>
        <v>30000</v>
      </c>
      <c r="G35" s="9">
        <f>_xlfn.STDEV.S(E35:E37)</f>
        <v>5196.152422706632</v>
      </c>
      <c r="H35" s="1"/>
      <c r="I35" s="23" t="s">
        <v>31</v>
      </c>
      <c r="J35" s="61">
        <v>37</v>
      </c>
      <c r="K35" s="62">
        <f>J35*400</f>
        <v>14800</v>
      </c>
      <c r="L35" s="1">
        <v>2.5</v>
      </c>
      <c r="M35" s="62">
        <f>K35*L35</f>
        <v>37000</v>
      </c>
      <c r="N35" s="24">
        <f>AVERAGE(M35:M37)</f>
        <v>33666.666666666664</v>
      </c>
      <c r="O35" s="31">
        <f>_xlfn.STDEV.S(K35:K37)</f>
        <v>1404.7538337136984</v>
      </c>
    </row>
    <row r="36" spans="1:15" x14ac:dyDescent="0.2">
      <c r="A36" s="34" t="s">
        <v>31</v>
      </c>
      <c r="B36" s="59">
        <v>27</v>
      </c>
      <c r="C36" s="60">
        <f>B36*400</f>
        <v>10800</v>
      </c>
      <c r="D36" s="1">
        <v>2.5</v>
      </c>
      <c r="E36" s="60">
        <f>C36*D36</f>
        <v>27000</v>
      </c>
      <c r="F36" s="7"/>
      <c r="G36" s="10"/>
      <c r="H36" s="1"/>
      <c r="I36" s="23" t="s">
        <v>31</v>
      </c>
      <c r="J36" s="61">
        <v>30</v>
      </c>
      <c r="K36" s="62">
        <f>J36*400</f>
        <v>12000</v>
      </c>
      <c r="L36" s="1">
        <v>2.5</v>
      </c>
      <c r="M36" s="62">
        <f>K36*L36</f>
        <v>30000</v>
      </c>
      <c r="N36" s="7"/>
      <c r="O36" s="32"/>
    </row>
    <row r="37" spans="1:15" ht="16" thickBot="1" x14ac:dyDescent="0.25">
      <c r="A37" s="35" t="s">
        <v>31</v>
      </c>
      <c r="B37" s="65">
        <v>27</v>
      </c>
      <c r="C37" s="66">
        <f>B37*400</f>
        <v>10800</v>
      </c>
      <c r="D37" s="36">
        <v>2.5</v>
      </c>
      <c r="E37" s="66">
        <f>C37*D37</f>
        <v>27000</v>
      </c>
      <c r="F37" s="37"/>
      <c r="G37" s="38"/>
      <c r="H37" s="36"/>
      <c r="I37" s="39" t="s">
        <v>31</v>
      </c>
      <c r="J37" s="67">
        <v>34</v>
      </c>
      <c r="K37" s="68">
        <f>J37*400</f>
        <v>13600</v>
      </c>
      <c r="L37" s="36">
        <v>2.5</v>
      </c>
      <c r="M37" s="68">
        <f>K37*L37</f>
        <v>34000</v>
      </c>
      <c r="N37" s="37"/>
      <c r="O37" s="40"/>
    </row>
    <row r="38" spans="1:15" ht="16" thickBot="1" x14ac:dyDescent="0.25">
      <c r="A38" s="128" t="s">
        <v>35</v>
      </c>
      <c r="B38" s="129"/>
      <c r="C38" s="129"/>
      <c r="D38" s="129"/>
      <c r="E38" s="129"/>
      <c r="F38" s="129"/>
      <c r="G38" s="129"/>
      <c r="H38" s="129"/>
      <c r="I38" s="129"/>
      <c r="J38" s="129"/>
      <c r="K38" s="129"/>
      <c r="L38" s="129"/>
      <c r="M38" s="129"/>
      <c r="N38" s="129"/>
      <c r="O38" s="129"/>
    </row>
    <row r="39" spans="1:15" ht="16" thickBot="1" x14ac:dyDescent="0.25">
      <c r="A39" s="75"/>
      <c r="B39" s="76"/>
      <c r="C39" s="76"/>
      <c r="D39" s="76"/>
      <c r="E39" s="76"/>
      <c r="F39" s="76"/>
      <c r="G39" s="76"/>
      <c r="H39" s="76"/>
      <c r="I39" s="76"/>
      <c r="J39" s="76"/>
      <c r="K39" s="76"/>
      <c r="L39" s="76"/>
      <c r="M39" s="76"/>
      <c r="N39" s="76"/>
      <c r="O39" s="76"/>
    </row>
    <row r="40" spans="1:15" ht="20" thickBot="1" x14ac:dyDescent="0.25">
      <c r="A40" s="107" t="s">
        <v>44</v>
      </c>
      <c r="B40" s="108"/>
      <c r="C40" s="108"/>
      <c r="D40" s="108"/>
      <c r="E40" s="108"/>
      <c r="F40" s="108"/>
      <c r="G40" s="108"/>
      <c r="H40" s="108"/>
      <c r="I40" s="108"/>
      <c r="J40" s="108"/>
      <c r="K40" s="108"/>
      <c r="L40" s="108"/>
      <c r="M40" s="108"/>
      <c r="N40" s="108"/>
      <c r="O40" s="109"/>
    </row>
    <row r="41" spans="1:15" ht="16" x14ac:dyDescent="0.2">
      <c r="A41" s="110" t="s">
        <v>21</v>
      </c>
      <c r="B41" s="111"/>
      <c r="C41" s="111"/>
      <c r="D41" s="111"/>
      <c r="E41" s="111"/>
      <c r="F41" s="111"/>
      <c r="G41" s="112"/>
      <c r="H41" s="27"/>
      <c r="I41" s="113" t="s">
        <v>12</v>
      </c>
      <c r="J41" s="114"/>
      <c r="K41" s="114"/>
      <c r="L41" s="114"/>
      <c r="M41" s="114"/>
      <c r="N41" s="114"/>
      <c r="O41" s="115"/>
    </row>
    <row r="42" spans="1:15" ht="32" x14ac:dyDescent="0.2">
      <c r="A42" s="28" t="s">
        <v>1</v>
      </c>
      <c r="B42" s="16" t="s">
        <v>2</v>
      </c>
      <c r="C42" s="16" t="s">
        <v>3</v>
      </c>
      <c r="D42" s="16" t="s">
        <v>4</v>
      </c>
      <c r="E42" s="16" t="s">
        <v>5</v>
      </c>
      <c r="F42" s="17" t="s">
        <v>6</v>
      </c>
      <c r="G42" s="18" t="s">
        <v>7</v>
      </c>
      <c r="H42" s="1"/>
      <c r="I42" s="15" t="s">
        <v>1</v>
      </c>
      <c r="J42" s="16" t="s">
        <v>2</v>
      </c>
      <c r="K42" s="16" t="s">
        <v>3</v>
      </c>
      <c r="L42" s="16" t="s">
        <v>4</v>
      </c>
      <c r="M42" s="16" t="s">
        <v>5</v>
      </c>
      <c r="N42" s="17" t="s">
        <v>6</v>
      </c>
      <c r="O42" s="29" t="s">
        <v>7</v>
      </c>
    </row>
    <row r="43" spans="1:15" x14ac:dyDescent="0.2">
      <c r="A43" s="30" t="s">
        <v>38</v>
      </c>
      <c r="B43" s="25">
        <v>18</v>
      </c>
      <c r="C43" s="48">
        <f>B43*400</f>
        <v>7200</v>
      </c>
      <c r="D43" s="1">
        <v>2.5</v>
      </c>
      <c r="E43" s="48">
        <f>C43*D43</f>
        <v>18000</v>
      </c>
      <c r="F43" s="8">
        <f>AVERAGE(E43:E45)</f>
        <v>20333.333333333332</v>
      </c>
      <c r="G43" s="9">
        <f>_xlfn.STDEV.S(E43:E45)</f>
        <v>2516.6114784235911</v>
      </c>
      <c r="H43" s="1"/>
      <c r="I43" s="19" t="s">
        <v>37</v>
      </c>
      <c r="J43" s="26">
        <v>1340</v>
      </c>
      <c r="K43" s="49">
        <f>J43*400</f>
        <v>536000</v>
      </c>
      <c r="L43" s="1">
        <v>2.5</v>
      </c>
      <c r="M43" s="49">
        <f>K43*L43</f>
        <v>1340000</v>
      </c>
      <c r="N43" s="20">
        <f>AVERAGE(M43:M45)</f>
        <v>1397000</v>
      </c>
      <c r="O43" s="31">
        <f>_xlfn.STDEV.S(K43:K45)</f>
        <v>28534.890923218893</v>
      </c>
    </row>
    <row r="44" spans="1:15" x14ac:dyDescent="0.2">
      <c r="A44" s="30" t="s">
        <v>39</v>
      </c>
      <c r="B44" s="25">
        <v>23</v>
      </c>
      <c r="C44" s="48">
        <f>B44*400</f>
        <v>9200</v>
      </c>
      <c r="D44" s="1">
        <v>2.5</v>
      </c>
      <c r="E44" s="48">
        <f>C44*D44</f>
        <v>23000</v>
      </c>
      <c r="F44" s="7"/>
      <c r="G44" s="10"/>
      <c r="H44" s="1"/>
      <c r="I44" s="19" t="s">
        <v>37</v>
      </c>
      <c r="J44" s="26">
        <v>1374</v>
      </c>
      <c r="K44" s="49">
        <f>J44*400</f>
        <v>549600</v>
      </c>
      <c r="L44" s="1">
        <v>2.5</v>
      </c>
      <c r="M44" s="49">
        <f>K44*L44</f>
        <v>1374000</v>
      </c>
      <c r="N44" s="7"/>
      <c r="O44" s="32"/>
    </row>
    <row r="45" spans="1:15" x14ac:dyDescent="0.2">
      <c r="A45" s="30" t="s">
        <v>39</v>
      </c>
      <c r="B45" s="25">
        <v>20</v>
      </c>
      <c r="C45" s="48">
        <f>B45*400</f>
        <v>8000</v>
      </c>
      <c r="D45" s="1">
        <v>2.5</v>
      </c>
      <c r="E45" s="48">
        <f>C45*D45</f>
        <v>20000</v>
      </c>
      <c r="F45" s="7"/>
      <c r="G45" s="10"/>
      <c r="H45" s="12"/>
      <c r="I45" s="19" t="s">
        <v>37</v>
      </c>
      <c r="J45" s="50">
        <v>1477</v>
      </c>
      <c r="K45" s="51">
        <f>J45*400</f>
        <v>590800</v>
      </c>
      <c r="L45" s="12">
        <v>2.5</v>
      </c>
      <c r="M45" s="51">
        <f>K45*L45</f>
        <v>1477000</v>
      </c>
      <c r="N45" s="13"/>
      <c r="O45" s="33"/>
    </row>
    <row r="46" spans="1:15" ht="16" x14ac:dyDescent="0.2">
      <c r="A46" s="116" t="s">
        <v>26</v>
      </c>
      <c r="B46" s="117"/>
      <c r="C46" s="117"/>
      <c r="D46" s="117"/>
      <c r="E46" s="117"/>
      <c r="F46" s="117"/>
      <c r="G46" s="118"/>
      <c r="H46" s="1"/>
      <c r="I46" s="119" t="s">
        <v>22</v>
      </c>
      <c r="J46" s="120"/>
      <c r="K46" s="120"/>
      <c r="L46" s="120"/>
      <c r="M46" s="120"/>
      <c r="N46" s="120"/>
      <c r="O46" s="121"/>
    </row>
    <row r="47" spans="1:15" ht="32" x14ac:dyDescent="0.2">
      <c r="A47" s="28" t="s">
        <v>1</v>
      </c>
      <c r="B47" s="16" t="s">
        <v>2</v>
      </c>
      <c r="C47" s="16" t="s">
        <v>3</v>
      </c>
      <c r="D47" s="16" t="s">
        <v>4</v>
      </c>
      <c r="E47" s="16" t="s">
        <v>5</v>
      </c>
      <c r="F47" s="17" t="s">
        <v>6</v>
      </c>
      <c r="G47" s="18" t="s">
        <v>7</v>
      </c>
      <c r="H47" s="1"/>
      <c r="I47" s="15" t="s">
        <v>1</v>
      </c>
      <c r="J47" s="16" t="s">
        <v>2</v>
      </c>
      <c r="K47" s="16" t="s">
        <v>3</v>
      </c>
      <c r="L47" s="16" t="s">
        <v>4</v>
      </c>
      <c r="M47" s="16" t="s">
        <v>5</v>
      </c>
      <c r="N47" s="17" t="s">
        <v>6</v>
      </c>
      <c r="O47" s="29" t="s">
        <v>7</v>
      </c>
    </row>
    <row r="48" spans="1:15" x14ac:dyDescent="0.2">
      <c r="A48" s="52" t="s">
        <v>40</v>
      </c>
      <c r="B48" s="53">
        <v>5342</v>
      </c>
      <c r="C48" s="54">
        <f>B48*400</f>
        <v>2136800</v>
      </c>
      <c r="D48" s="1">
        <v>2.5</v>
      </c>
      <c r="E48" s="54">
        <f>C48*D48</f>
        <v>5342000</v>
      </c>
      <c r="F48" s="58">
        <f>AVERAGE(E48:E50)</f>
        <v>5151333.333333333</v>
      </c>
      <c r="G48" s="9">
        <f>_xlfn.STDEV.S(E48:E50)</f>
        <v>190003.50873953177</v>
      </c>
      <c r="H48" s="1"/>
      <c r="I48" s="41" t="s">
        <v>41</v>
      </c>
      <c r="J48" s="43">
        <v>86</v>
      </c>
      <c r="K48" s="46">
        <f>J48*400</f>
        <v>34400</v>
      </c>
      <c r="L48" s="1">
        <v>2.5</v>
      </c>
      <c r="M48" s="46">
        <f>K48*L48</f>
        <v>86000</v>
      </c>
      <c r="N48" s="45">
        <f>AVERAGE(M48:M50)</f>
        <v>79000</v>
      </c>
      <c r="O48" s="31">
        <f>_xlfn.STDEV.S(K48:K50)</f>
        <v>2433.1050121192879</v>
      </c>
    </row>
    <row r="49" spans="1:15" x14ac:dyDescent="0.2">
      <c r="A49" s="52" t="s">
        <v>40</v>
      </c>
      <c r="B49" s="53">
        <v>5150</v>
      </c>
      <c r="C49" s="54">
        <f>B49*400</f>
        <v>2060000</v>
      </c>
      <c r="D49" s="1">
        <v>2.5</v>
      </c>
      <c r="E49" s="54">
        <f>C49*D49</f>
        <v>5150000</v>
      </c>
      <c r="F49" s="54"/>
      <c r="G49" s="10"/>
      <c r="H49" s="1"/>
      <c r="I49" s="41" t="s">
        <v>41</v>
      </c>
      <c r="J49" s="43">
        <v>76</v>
      </c>
      <c r="K49" s="46">
        <f>J49*400</f>
        <v>30400</v>
      </c>
      <c r="L49" s="1">
        <v>2.5</v>
      </c>
      <c r="M49" s="46">
        <f>K49*L49</f>
        <v>76000</v>
      </c>
      <c r="N49" s="7"/>
      <c r="O49" s="32"/>
    </row>
    <row r="50" spans="1:15" ht="16" thickBot="1" x14ac:dyDescent="0.25">
      <c r="A50" s="55" t="s">
        <v>40</v>
      </c>
      <c r="B50" s="56">
        <v>4962</v>
      </c>
      <c r="C50" s="57">
        <f>B50*400</f>
        <v>1984800</v>
      </c>
      <c r="D50" s="36">
        <v>2.5</v>
      </c>
      <c r="E50" s="57">
        <f>C50*D50</f>
        <v>4962000</v>
      </c>
      <c r="F50" s="57"/>
      <c r="G50" s="38"/>
      <c r="H50" s="36"/>
      <c r="I50" s="42" t="s">
        <v>41</v>
      </c>
      <c r="J50" s="44">
        <v>75</v>
      </c>
      <c r="K50" s="47">
        <f>J50*400</f>
        <v>30000</v>
      </c>
      <c r="L50" s="36">
        <v>2.5</v>
      </c>
      <c r="M50" s="47">
        <f>K50*L50</f>
        <v>75000</v>
      </c>
      <c r="N50" s="37"/>
      <c r="O50" s="40"/>
    </row>
    <row r="51" spans="1:15" ht="42" customHeight="1" x14ac:dyDescent="0.2">
      <c r="A51" s="122" t="s">
        <v>42</v>
      </c>
      <c r="B51" s="123"/>
      <c r="C51" s="123"/>
      <c r="D51" s="123"/>
      <c r="E51" s="123"/>
      <c r="F51" s="123"/>
      <c r="G51" s="124"/>
      <c r="H51" s="1"/>
      <c r="I51" s="125" t="s">
        <v>43</v>
      </c>
      <c r="J51" s="126"/>
      <c r="K51" s="126"/>
      <c r="L51" s="126"/>
      <c r="M51" s="126"/>
      <c r="N51" s="126"/>
      <c r="O51" s="127"/>
    </row>
    <row r="52" spans="1:15" ht="32" x14ac:dyDescent="0.2">
      <c r="A52" s="28" t="s">
        <v>1</v>
      </c>
      <c r="B52" s="16" t="s">
        <v>2</v>
      </c>
      <c r="C52" s="16" t="s">
        <v>3</v>
      </c>
      <c r="D52" s="16" t="s">
        <v>4</v>
      </c>
      <c r="E52" s="16" t="s">
        <v>5</v>
      </c>
      <c r="F52" s="17" t="s">
        <v>6</v>
      </c>
      <c r="G52" s="18" t="s">
        <v>7</v>
      </c>
      <c r="H52" s="1"/>
      <c r="I52" s="15" t="s">
        <v>1</v>
      </c>
      <c r="J52" s="16" t="s">
        <v>2</v>
      </c>
      <c r="K52" s="16" t="s">
        <v>3</v>
      </c>
      <c r="L52" s="16" t="s">
        <v>4</v>
      </c>
      <c r="M52" s="16" t="s">
        <v>5</v>
      </c>
      <c r="N52" s="17" t="s">
        <v>6</v>
      </c>
      <c r="O52" s="29" t="s">
        <v>7</v>
      </c>
    </row>
    <row r="53" spans="1:15" x14ac:dyDescent="0.2">
      <c r="A53" s="34" t="s">
        <v>36</v>
      </c>
      <c r="B53" s="59">
        <v>8</v>
      </c>
      <c r="C53" s="60">
        <f>B53*400</f>
        <v>3200</v>
      </c>
      <c r="D53" s="1">
        <v>2.5</v>
      </c>
      <c r="E53" s="60">
        <f>C53*D53</f>
        <v>8000</v>
      </c>
      <c r="F53" s="22">
        <f>AVERAGE(E53:E55)</f>
        <v>14666.666666666666</v>
      </c>
      <c r="G53" s="9">
        <f>_xlfn.STDEV.S(E53:E55)</f>
        <v>6110.1009266077854</v>
      </c>
      <c r="H53" s="1"/>
      <c r="I53" s="23" t="s">
        <v>36</v>
      </c>
      <c r="J53" s="61">
        <v>22</v>
      </c>
      <c r="K53" s="62">
        <f>J53*400</f>
        <v>8800</v>
      </c>
      <c r="L53" s="1">
        <v>2.5</v>
      </c>
      <c r="M53" s="62">
        <f>K53*L53</f>
        <v>22000</v>
      </c>
      <c r="N53" s="24">
        <f>AVERAGE(M53:M55)</f>
        <v>20333.333333333332</v>
      </c>
      <c r="O53" s="31">
        <f>_xlfn.STDEV.S(K53:K55)</f>
        <v>832.6663997864531</v>
      </c>
    </row>
    <row r="54" spans="1:15" x14ac:dyDescent="0.2">
      <c r="A54" s="34" t="s">
        <v>36</v>
      </c>
      <c r="B54" s="59">
        <v>16</v>
      </c>
      <c r="C54" s="60">
        <f>B54*400</f>
        <v>6400</v>
      </c>
      <c r="D54" s="1">
        <v>2.5</v>
      </c>
      <c r="E54" s="60">
        <f>C54*D54</f>
        <v>16000</v>
      </c>
      <c r="F54" s="7"/>
      <c r="G54" s="10"/>
      <c r="H54" s="1"/>
      <c r="I54" s="23" t="s">
        <v>36</v>
      </c>
      <c r="J54" s="61">
        <v>21</v>
      </c>
      <c r="K54" s="62">
        <f>J54*400</f>
        <v>8400</v>
      </c>
      <c r="L54" s="1">
        <v>2.5</v>
      </c>
      <c r="M54" s="62">
        <f>K54*L54</f>
        <v>21000</v>
      </c>
      <c r="N54" s="7"/>
      <c r="O54" s="32"/>
    </row>
    <row r="55" spans="1:15" ht="16" thickBot="1" x14ac:dyDescent="0.25">
      <c r="A55" s="35" t="s">
        <v>36</v>
      </c>
      <c r="B55" s="65">
        <v>20</v>
      </c>
      <c r="C55" s="66">
        <f>B55*400</f>
        <v>8000</v>
      </c>
      <c r="D55" s="36">
        <v>2.5</v>
      </c>
      <c r="E55" s="66">
        <f>C55*D55</f>
        <v>20000</v>
      </c>
      <c r="F55" s="37"/>
      <c r="G55" s="38"/>
      <c r="H55" s="36"/>
      <c r="I55" s="39" t="s">
        <v>36</v>
      </c>
      <c r="J55" s="67">
        <v>18</v>
      </c>
      <c r="K55" s="68">
        <f>J55*400</f>
        <v>7200</v>
      </c>
      <c r="L55" s="36">
        <v>2.5</v>
      </c>
      <c r="M55" s="68">
        <f>K55*L55</f>
        <v>18000</v>
      </c>
      <c r="N55" s="37"/>
      <c r="O55" s="40"/>
    </row>
    <row r="56" spans="1:15" ht="15" customHeight="1" x14ac:dyDescent="0.2">
      <c r="A56" s="104" t="s">
        <v>97</v>
      </c>
      <c r="B56" s="105"/>
      <c r="C56" s="105"/>
      <c r="D56" s="105"/>
      <c r="E56" s="105"/>
      <c r="F56" s="105"/>
      <c r="G56" s="105"/>
      <c r="H56" s="105"/>
      <c r="I56" s="105"/>
      <c r="J56" s="105"/>
      <c r="K56" s="105"/>
      <c r="L56" s="105"/>
      <c r="M56" s="105"/>
      <c r="N56" s="105"/>
      <c r="O56" s="105"/>
    </row>
    <row r="57" spans="1:15" x14ac:dyDescent="0.2">
      <c r="A57" s="106"/>
      <c r="B57" s="106"/>
      <c r="C57" s="106"/>
      <c r="D57" s="106"/>
      <c r="E57" s="106"/>
      <c r="F57" s="106"/>
      <c r="G57" s="106"/>
      <c r="H57" s="106"/>
      <c r="I57" s="106"/>
      <c r="J57" s="106"/>
      <c r="K57" s="106"/>
      <c r="L57" s="106"/>
      <c r="M57" s="106"/>
      <c r="N57" s="106"/>
      <c r="O57" s="106"/>
    </row>
    <row r="58" spans="1:15" ht="16" thickBot="1" x14ac:dyDescent="0.25">
      <c r="A58" s="106"/>
      <c r="B58" s="106"/>
      <c r="C58" s="106"/>
      <c r="D58" s="106"/>
      <c r="E58" s="106"/>
      <c r="F58" s="106"/>
      <c r="G58" s="106"/>
      <c r="H58" s="106"/>
      <c r="I58" s="106"/>
      <c r="J58" s="106"/>
      <c r="K58" s="106"/>
      <c r="L58" s="106"/>
      <c r="M58" s="106"/>
      <c r="N58" s="106"/>
      <c r="O58" s="106"/>
    </row>
    <row r="59" spans="1:15" ht="19" x14ac:dyDescent="0.2">
      <c r="A59" s="132" t="s">
        <v>98</v>
      </c>
      <c r="B59" s="133"/>
      <c r="C59" s="133"/>
      <c r="D59" s="133"/>
      <c r="E59" s="133"/>
      <c r="F59" s="133"/>
      <c r="G59" s="133"/>
      <c r="H59" s="133"/>
      <c r="I59" s="133"/>
      <c r="J59" s="133"/>
      <c r="K59" s="133"/>
      <c r="L59" s="133"/>
      <c r="M59" s="133"/>
      <c r="N59" s="133"/>
      <c r="O59" s="134"/>
    </row>
    <row r="60" spans="1:15" ht="16" x14ac:dyDescent="0.2">
      <c r="A60" s="135" t="s">
        <v>99</v>
      </c>
      <c r="B60" s="136"/>
      <c r="C60" s="136"/>
      <c r="D60" s="136"/>
      <c r="E60" s="136"/>
      <c r="F60" s="136"/>
      <c r="G60" s="137"/>
      <c r="H60" s="1"/>
      <c r="I60" s="138" t="s">
        <v>100</v>
      </c>
      <c r="J60" s="139"/>
      <c r="K60" s="139"/>
      <c r="L60" s="139"/>
      <c r="M60" s="139"/>
      <c r="N60" s="139"/>
      <c r="O60" s="140"/>
    </row>
    <row r="61" spans="1:15" ht="32" x14ac:dyDescent="0.2">
      <c r="A61" s="28" t="s">
        <v>1</v>
      </c>
      <c r="B61" s="16" t="s">
        <v>2</v>
      </c>
      <c r="C61" s="16" t="s">
        <v>3</v>
      </c>
      <c r="D61" s="16" t="s">
        <v>4</v>
      </c>
      <c r="E61" s="16" t="s">
        <v>5</v>
      </c>
      <c r="F61" s="17" t="s">
        <v>6</v>
      </c>
      <c r="G61" s="18" t="s">
        <v>7</v>
      </c>
      <c r="H61" s="1"/>
      <c r="I61" s="15" t="s">
        <v>1</v>
      </c>
      <c r="J61" s="16" t="s">
        <v>2</v>
      </c>
      <c r="K61" s="16" t="s">
        <v>3</v>
      </c>
      <c r="L61" s="16" t="s">
        <v>4</v>
      </c>
      <c r="M61" s="16" t="s">
        <v>5</v>
      </c>
      <c r="N61" s="17" t="s">
        <v>6</v>
      </c>
      <c r="O61" s="29" t="s">
        <v>7</v>
      </c>
    </row>
    <row r="62" spans="1:15" x14ac:dyDescent="0.2">
      <c r="A62" s="30" t="s">
        <v>49</v>
      </c>
      <c r="B62" s="25"/>
      <c r="C62" s="48"/>
      <c r="D62" s="1">
        <v>2.5</v>
      </c>
      <c r="E62" s="48"/>
      <c r="F62" s="8" t="s">
        <v>101</v>
      </c>
      <c r="G62" s="9"/>
      <c r="H62" s="1"/>
      <c r="I62" s="19" t="s">
        <v>49</v>
      </c>
      <c r="J62" s="26">
        <v>56</v>
      </c>
      <c r="K62" s="49">
        <f>J62*400</f>
        <v>22400</v>
      </c>
      <c r="L62" s="1">
        <v>2.5</v>
      </c>
      <c r="M62" s="49">
        <f>K62*L62</f>
        <v>56000</v>
      </c>
      <c r="N62" s="20">
        <f>AVERAGE(M62:M64)</f>
        <v>52333.333333333336</v>
      </c>
      <c r="O62" s="31">
        <f>_xlfn.STDEV.S(K62:K64)</f>
        <v>1890.3262505010434</v>
      </c>
    </row>
    <row r="63" spans="1:15" x14ac:dyDescent="0.2">
      <c r="A63" s="30" t="s">
        <v>49</v>
      </c>
      <c r="B63" s="25"/>
      <c r="C63" s="48"/>
      <c r="D63" s="1">
        <v>2.5</v>
      </c>
      <c r="E63" s="48"/>
      <c r="F63" s="7"/>
      <c r="G63" s="10"/>
      <c r="H63" s="1"/>
      <c r="I63" s="19" t="s">
        <v>49</v>
      </c>
      <c r="J63" s="26">
        <v>47</v>
      </c>
      <c r="K63" s="49">
        <f>J63*400</f>
        <v>18800</v>
      </c>
      <c r="L63" s="1">
        <v>2.5</v>
      </c>
      <c r="M63" s="49">
        <f>K63*L63</f>
        <v>47000</v>
      </c>
      <c r="N63" s="7"/>
      <c r="O63" s="32"/>
    </row>
    <row r="64" spans="1:15" x14ac:dyDescent="0.2">
      <c r="A64" s="63" t="s">
        <v>49</v>
      </c>
      <c r="B64" s="25"/>
      <c r="C64" s="48"/>
      <c r="D64" s="1">
        <v>2.5</v>
      </c>
      <c r="E64" s="48"/>
      <c r="F64" s="7"/>
      <c r="G64" s="10"/>
      <c r="H64" s="12"/>
      <c r="I64" s="21" t="s">
        <v>49</v>
      </c>
      <c r="J64" s="50">
        <v>54</v>
      </c>
      <c r="K64" s="51">
        <f>J64*400</f>
        <v>21600</v>
      </c>
      <c r="L64" s="12">
        <v>2.5</v>
      </c>
      <c r="M64" s="51">
        <f>K64*L64</f>
        <v>54000</v>
      </c>
      <c r="N64" s="13"/>
      <c r="O64" s="33"/>
    </row>
    <row r="65" spans="1:15" ht="16" x14ac:dyDescent="0.2">
      <c r="A65" s="116" t="s">
        <v>102</v>
      </c>
      <c r="B65" s="117"/>
      <c r="C65" s="117"/>
      <c r="D65" s="117"/>
      <c r="E65" s="117"/>
      <c r="F65" s="117"/>
      <c r="G65" s="118"/>
      <c r="H65" s="1"/>
      <c r="I65" s="119" t="s">
        <v>103</v>
      </c>
      <c r="J65" s="120"/>
      <c r="K65" s="120"/>
      <c r="L65" s="120"/>
      <c r="M65" s="120"/>
      <c r="N65" s="120"/>
      <c r="O65" s="121"/>
    </row>
    <row r="66" spans="1:15" ht="32" x14ac:dyDescent="0.2">
      <c r="A66" s="28" t="s">
        <v>1</v>
      </c>
      <c r="B66" s="16" t="s">
        <v>2</v>
      </c>
      <c r="C66" s="16" t="s">
        <v>3</v>
      </c>
      <c r="D66" s="16" t="s">
        <v>4</v>
      </c>
      <c r="E66" s="16" t="s">
        <v>5</v>
      </c>
      <c r="F66" s="17" t="s">
        <v>6</v>
      </c>
      <c r="G66" s="18" t="s">
        <v>7</v>
      </c>
      <c r="H66" s="1"/>
      <c r="I66" s="15" t="s">
        <v>1</v>
      </c>
      <c r="J66" s="16" t="s">
        <v>2</v>
      </c>
      <c r="K66" s="16" t="s">
        <v>3</v>
      </c>
      <c r="L66" s="16" t="s">
        <v>4</v>
      </c>
      <c r="M66" s="16" t="s">
        <v>5</v>
      </c>
      <c r="N66" s="17" t="s">
        <v>6</v>
      </c>
      <c r="O66" s="29" t="s">
        <v>7</v>
      </c>
    </row>
    <row r="67" spans="1:15" x14ac:dyDescent="0.2">
      <c r="A67" s="52" t="s">
        <v>49</v>
      </c>
      <c r="B67" s="53">
        <v>44</v>
      </c>
      <c r="C67" s="54">
        <f>B67*400</f>
        <v>17600</v>
      </c>
      <c r="D67" s="1">
        <v>2.5</v>
      </c>
      <c r="E67" s="54">
        <f>C67*D67</f>
        <v>44000</v>
      </c>
      <c r="F67" s="58">
        <f>AVERAGE(E67:E69)</f>
        <v>45000</v>
      </c>
      <c r="G67" s="9">
        <f>_xlfn.STDEV.S(E67:E69)</f>
        <v>6557.4385243020006</v>
      </c>
      <c r="H67" s="1"/>
      <c r="I67" s="41" t="s">
        <v>49</v>
      </c>
      <c r="J67" s="43">
        <v>38</v>
      </c>
      <c r="K67" s="46">
        <f>J67*400</f>
        <v>15200</v>
      </c>
      <c r="L67" s="1">
        <v>2.5</v>
      </c>
      <c r="M67" s="46">
        <f>K67*L67</f>
        <v>38000</v>
      </c>
      <c r="N67" s="45">
        <f>AVERAGE(M67:M69)</f>
        <v>35000</v>
      </c>
      <c r="O67" s="31">
        <f>_xlfn.STDEV.S(K67:K69)</f>
        <v>1200</v>
      </c>
    </row>
    <row r="68" spans="1:15" x14ac:dyDescent="0.2">
      <c r="A68" s="52" t="s">
        <v>49</v>
      </c>
      <c r="B68" s="53">
        <v>52</v>
      </c>
      <c r="C68" s="54">
        <f>B68*400</f>
        <v>20800</v>
      </c>
      <c r="D68" s="1">
        <v>2.5</v>
      </c>
      <c r="E68" s="54">
        <f>C68*D68</f>
        <v>52000</v>
      </c>
      <c r="F68" s="54"/>
      <c r="G68" s="10"/>
      <c r="H68" s="1"/>
      <c r="I68" s="41" t="s">
        <v>49</v>
      </c>
      <c r="J68" s="43">
        <v>35</v>
      </c>
      <c r="K68" s="46">
        <f>J68*400</f>
        <v>14000</v>
      </c>
      <c r="L68" s="1">
        <v>2.5</v>
      </c>
      <c r="M68" s="46">
        <f>K68*L68</f>
        <v>35000</v>
      </c>
      <c r="N68" s="7"/>
      <c r="O68" s="32"/>
    </row>
    <row r="69" spans="1:15" x14ac:dyDescent="0.2">
      <c r="A69" s="64" t="s">
        <v>49</v>
      </c>
      <c r="B69" s="70">
        <v>39</v>
      </c>
      <c r="C69" s="71">
        <f>B69*400</f>
        <v>15600</v>
      </c>
      <c r="D69" s="12">
        <v>2.5</v>
      </c>
      <c r="E69" s="71">
        <f>C69*D69</f>
        <v>39000</v>
      </c>
      <c r="F69" s="71"/>
      <c r="G69" s="14"/>
      <c r="H69" s="69"/>
      <c r="I69" s="74" t="s">
        <v>49</v>
      </c>
      <c r="J69" s="72">
        <v>32</v>
      </c>
      <c r="K69" s="73">
        <f>J69*400</f>
        <v>12800</v>
      </c>
      <c r="L69" s="12">
        <v>2.5</v>
      </c>
      <c r="M69" s="73">
        <f>K69*L69</f>
        <v>32000</v>
      </c>
      <c r="N69" s="13"/>
      <c r="O69" s="33"/>
    </row>
    <row r="70" spans="1:15" ht="16" x14ac:dyDescent="0.2">
      <c r="A70" s="122" t="s">
        <v>104</v>
      </c>
      <c r="B70" s="123"/>
      <c r="C70" s="123"/>
      <c r="D70" s="123"/>
      <c r="E70" s="123"/>
      <c r="F70" s="123"/>
      <c r="G70" s="124"/>
      <c r="H70" s="1"/>
      <c r="I70" s="125" t="s">
        <v>105</v>
      </c>
      <c r="J70" s="126"/>
      <c r="K70" s="126"/>
      <c r="L70" s="126"/>
      <c r="M70" s="126"/>
      <c r="N70" s="126"/>
      <c r="O70" s="127"/>
    </row>
    <row r="71" spans="1:15" ht="32" x14ac:dyDescent="0.2">
      <c r="A71" s="28" t="s">
        <v>1</v>
      </c>
      <c r="B71" s="16" t="s">
        <v>2</v>
      </c>
      <c r="C71" s="16" t="s">
        <v>3</v>
      </c>
      <c r="D71" s="16" t="s">
        <v>4</v>
      </c>
      <c r="E71" s="16" t="s">
        <v>5</v>
      </c>
      <c r="F71" s="17" t="s">
        <v>6</v>
      </c>
      <c r="G71" s="18" t="s">
        <v>7</v>
      </c>
      <c r="H71" s="1"/>
      <c r="I71" s="15" t="s">
        <v>1</v>
      </c>
      <c r="J71" s="16" t="s">
        <v>2</v>
      </c>
      <c r="K71" s="16" t="s">
        <v>3</v>
      </c>
      <c r="L71" s="16" t="s">
        <v>4</v>
      </c>
      <c r="M71" s="16" t="s">
        <v>5</v>
      </c>
      <c r="N71" s="17" t="s">
        <v>6</v>
      </c>
      <c r="O71" s="29" t="s">
        <v>7</v>
      </c>
    </row>
    <row r="72" spans="1:15" x14ac:dyDescent="0.2">
      <c r="A72" s="34" t="s">
        <v>106</v>
      </c>
      <c r="B72" s="59"/>
      <c r="C72" s="60"/>
      <c r="D72" s="1"/>
      <c r="E72" s="60"/>
      <c r="F72" s="22" t="s">
        <v>101</v>
      </c>
      <c r="G72" s="9"/>
      <c r="H72" s="1"/>
      <c r="I72" s="23" t="s">
        <v>49</v>
      </c>
      <c r="J72" s="61"/>
      <c r="K72" s="62"/>
      <c r="L72" s="1"/>
      <c r="M72" s="62"/>
      <c r="N72" s="24" t="s">
        <v>101</v>
      </c>
      <c r="O72" s="31"/>
    </row>
    <row r="73" spans="1:15" x14ac:dyDescent="0.2">
      <c r="A73" s="34" t="s">
        <v>49</v>
      </c>
      <c r="B73" s="59"/>
      <c r="C73" s="60"/>
      <c r="D73" s="1"/>
      <c r="E73" s="60"/>
      <c r="F73" s="7"/>
      <c r="G73" s="10"/>
      <c r="H73" s="1"/>
      <c r="I73" s="23" t="s">
        <v>49</v>
      </c>
      <c r="J73" s="61"/>
      <c r="K73" s="62"/>
      <c r="L73" s="1"/>
      <c r="M73" s="62"/>
      <c r="N73" s="7"/>
      <c r="O73" s="32"/>
    </row>
    <row r="74" spans="1:15" ht="16" thickBot="1" x14ac:dyDescent="0.25">
      <c r="A74" s="35" t="s">
        <v>49</v>
      </c>
      <c r="B74" s="65"/>
      <c r="C74" s="66"/>
      <c r="D74" s="36"/>
      <c r="E74" s="66"/>
      <c r="F74" s="37"/>
      <c r="G74" s="38"/>
      <c r="H74" s="36"/>
      <c r="I74" s="39" t="s">
        <v>49</v>
      </c>
      <c r="J74" s="67"/>
      <c r="K74" s="68"/>
      <c r="L74" s="36"/>
      <c r="M74" s="68"/>
      <c r="N74" s="37"/>
      <c r="O74" s="40"/>
    </row>
    <row r="75" spans="1:15" ht="16" thickBot="1" x14ac:dyDescent="0.25"/>
    <row r="76" spans="1:15" ht="20" thickBot="1" x14ac:dyDescent="0.25">
      <c r="A76" s="107" t="s">
        <v>107</v>
      </c>
      <c r="B76" s="108"/>
      <c r="C76" s="108"/>
      <c r="D76" s="108"/>
      <c r="E76" s="108"/>
      <c r="F76" s="108"/>
      <c r="G76" s="108"/>
      <c r="H76" s="108"/>
      <c r="I76" s="108"/>
      <c r="J76" s="108"/>
      <c r="K76" s="108"/>
      <c r="L76" s="108"/>
      <c r="M76" s="108"/>
      <c r="N76" s="108"/>
      <c r="O76" s="109"/>
    </row>
    <row r="77" spans="1:15" ht="16" x14ac:dyDescent="0.2">
      <c r="A77" s="110" t="s">
        <v>108</v>
      </c>
      <c r="B77" s="111"/>
      <c r="C77" s="111"/>
      <c r="D77" s="111"/>
      <c r="E77" s="111"/>
      <c r="F77" s="111"/>
      <c r="G77" s="112"/>
      <c r="H77" s="27"/>
      <c r="I77" s="113" t="s">
        <v>100</v>
      </c>
      <c r="J77" s="114"/>
      <c r="K77" s="114"/>
      <c r="L77" s="114"/>
      <c r="M77" s="114"/>
      <c r="N77" s="114"/>
      <c r="O77" s="115"/>
    </row>
    <row r="78" spans="1:15" ht="32" x14ac:dyDescent="0.2">
      <c r="A78" s="28" t="s">
        <v>1</v>
      </c>
      <c r="B78" s="16" t="s">
        <v>2</v>
      </c>
      <c r="C78" s="16" t="s">
        <v>3</v>
      </c>
      <c r="D78" s="16" t="s">
        <v>4</v>
      </c>
      <c r="E78" s="16" t="s">
        <v>5</v>
      </c>
      <c r="F78" s="17" t="s">
        <v>6</v>
      </c>
      <c r="G78" s="18" t="s">
        <v>7</v>
      </c>
      <c r="H78" s="1"/>
      <c r="I78" s="15" t="s">
        <v>1</v>
      </c>
      <c r="J78" s="16" t="s">
        <v>2</v>
      </c>
      <c r="K78" s="16" t="s">
        <v>3</v>
      </c>
      <c r="L78" s="16" t="s">
        <v>4</v>
      </c>
      <c r="M78" s="16" t="s">
        <v>5</v>
      </c>
      <c r="N78" s="17" t="s">
        <v>6</v>
      </c>
      <c r="O78" s="29" t="s">
        <v>7</v>
      </c>
    </row>
    <row r="79" spans="1:15" x14ac:dyDescent="0.2">
      <c r="A79" s="30" t="s">
        <v>109</v>
      </c>
      <c r="B79" s="25">
        <v>48</v>
      </c>
      <c r="C79" s="48">
        <f>B79*400</f>
        <v>19200</v>
      </c>
      <c r="D79" s="1">
        <v>4</v>
      </c>
      <c r="E79" s="48">
        <f>C79*D79</f>
        <v>76800</v>
      </c>
      <c r="F79" s="8">
        <f>AVERAGE(E79:E81)</f>
        <v>90666.666666666672</v>
      </c>
      <c r="G79" s="9">
        <f>_xlfn.STDEV.S(E79:E81)</f>
        <v>21306.649979134072</v>
      </c>
      <c r="H79" s="1"/>
      <c r="I79" s="19" t="s">
        <v>110</v>
      </c>
      <c r="J79" s="26">
        <v>1101</v>
      </c>
      <c r="K79" s="49">
        <f>J79*400</f>
        <v>440400</v>
      </c>
      <c r="L79" s="1">
        <v>2.5</v>
      </c>
      <c r="M79" s="49">
        <f>K79*L79</f>
        <v>1101000</v>
      </c>
      <c r="N79" s="20">
        <f>AVERAGE(M79:M81)</f>
        <v>1110666.6666666667</v>
      </c>
      <c r="O79" s="31">
        <f>_xlfn.STDEV.S(K79:K81)</f>
        <v>4495.9240800232974</v>
      </c>
    </row>
    <row r="80" spans="1:15" x14ac:dyDescent="0.2">
      <c r="A80" s="30" t="s">
        <v>111</v>
      </c>
      <c r="B80" s="25">
        <v>72</v>
      </c>
      <c r="C80" s="48">
        <f>B80*400</f>
        <v>28800</v>
      </c>
      <c r="D80" s="1">
        <v>4</v>
      </c>
      <c r="E80" s="48">
        <f>C80*D80</f>
        <v>115200</v>
      </c>
      <c r="F80" s="7"/>
      <c r="G80" s="10"/>
      <c r="H80" s="1"/>
      <c r="I80" s="19" t="s">
        <v>110</v>
      </c>
      <c r="J80" s="26">
        <v>1108</v>
      </c>
      <c r="K80" s="49">
        <f>J80*400</f>
        <v>443200</v>
      </c>
      <c r="L80" s="1">
        <v>2.5</v>
      </c>
      <c r="M80" s="49">
        <f>K80*L80</f>
        <v>1108000</v>
      </c>
      <c r="N80" s="7"/>
      <c r="O80" s="32"/>
    </row>
    <row r="81" spans="1:15" x14ac:dyDescent="0.2">
      <c r="A81" s="30" t="s">
        <v>111</v>
      </c>
      <c r="B81" s="25">
        <v>50</v>
      </c>
      <c r="C81" s="48">
        <f>B81*400</f>
        <v>20000</v>
      </c>
      <c r="D81" s="1">
        <v>4</v>
      </c>
      <c r="E81" s="48">
        <f>C81*D81</f>
        <v>80000</v>
      </c>
      <c r="F81" s="7"/>
      <c r="G81" s="10"/>
      <c r="H81" s="12"/>
      <c r="I81" s="19" t="s">
        <v>110</v>
      </c>
      <c r="J81" s="50">
        <v>1123</v>
      </c>
      <c r="K81" s="51">
        <f>J81*400</f>
        <v>449200</v>
      </c>
      <c r="L81" s="12">
        <v>2.5</v>
      </c>
      <c r="M81" s="51">
        <f>K81*L81</f>
        <v>1123000</v>
      </c>
      <c r="N81" s="13"/>
      <c r="O81" s="33"/>
    </row>
    <row r="82" spans="1:15" ht="16" x14ac:dyDescent="0.2">
      <c r="A82" s="116" t="s">
        <v>102</v>
      </c>
      <c r="B82" s="117"/>
      <c r="C82" s="117"/>
      <c r="D82" s="117"/>
      <c r="E82" s="117"/>
      <c r="F82" s="117"/>
      <c r="G82" s="118"/>
      <c r="H82" s="1"/>
      <c r="I82" s="119" t="s">
        <v>103</v>
      </c>
      <c r="J82" s="120"/>
      <c r="K82" s="120"/>
      <c r="L82" s="120"/>
      <c r="M82" s="120"/>
      <c r="N82" s="120"/>
      <c r="O82" s="121"/>
    </row>
    <row r="83" spans="1:15" ht="32" x14ac:dyDescent="0.2">
      <c r="A83" s="28" t="s">
        <v>1</v>
      </c>
      <c r="B83" s="16" t="s">
        <v>2</v>
      </c>
      <c r="C83" s="16" t="s">
        <v>3</v>
      </c>
      <c r="D83" s="16" t="s">
        <v>4</v>
      </c>
      <c r="E83" s="16" t="s">
        <v>5</v>
      </c>
      <c r="F83" s="17" t="s">
        <v>6</v>
      </c>
      <c r="G83" s="18" t="s">
        <v>7</v>
      </c>
      <c r="H83" s="1"/>
      <c r="I83" s="15" t="s">
        <v>1</v>
      </c>
      <c r="J83" s="16" t="s">
        <v>2</v>
      </c>
      <c r="K83" s="16" t="s">
        <v>3</v>
      </c>
      <c r="L83" s="16" t="s">
        <v>4</v>
      </c>
      <c r="M83" s="16" t="s">
        <v>5</v>
      </c>
      <c r="N83" s="17" t="s">
        <v>6</v>
      </c>
      <c r="O83" s="29" t="s">
        <v>7</v>
      </c>
    </row>
    <row r="84" spans="1:15" x14ac:dyDescent="0.2">
      <c r="A84" s="52" t="s">
        <v>112</v>
      </c>
      <c r="B84" s="53">
        <v>6719</v>
      </c>
      <c r="C84" s="54">
        <f>B84*400</f>
        <v>2687600</v>
      </c>
      <c r="D84" s="1">
        <v>2.5</v>
      </c>
      <c r="E84" s="54">
        <f>C84*D84</f>
        <v>6719000</v>
      </c>
      <c r="F84" s="58">
        <f>AVERAGE(E84:E86)</f>
        <v>6608666.666666667</v>
      </c>
      <c r="G84" s="9">
        <f>_xlfn.STDEV.S(E84:E86)</f>
        <v>160935.8050072554</v>
      </c>
      <c r="H84" s="1"/>
      <c r="I84" s="41" t="s">
        <v>113</v>
      </c>
      <c r="J84" s="43">
        <v>188</v>
      </c>
      <c r="K84" s="46">
        <f>J84*400</f>
        <v>75200</v>
      </c>
      <c r="L84" s="1">
        <v>2.5</v>
      </c>
      <c r="M84" s="46">
        <f>K84*L84</f>
        <v>188000</v>
      </c>
      <c r="N84" s="45">
        <f>AVERAGE(M84:M86)</f>
        <v>203666.66666666666</v>
      </c>
      <c r="O84" s="31">
        <f>_xlfn.STDEV.S(K84:K86)</f>
        <v>8544.7839840064626</v>
      </c>
    </row>
    <row r="85" spans="1:15" x14ac:dyDescent="0.2">
      <c r="A85" s="52" t="s">
        <v>112</v>
      </c>
      <c r="B85" s="53">
        <v>6424</v>
      </c>
      <c r="C85" s="54">
        <f>B85*400</f>
        <v>2569600</v>
      </c>
      <c r="D85" s="1">
        <v>2.5</v>
      </c>
      <c r="E85" s="54">
        <f>C85*D85</f>
        <v>6424000</v>
      </c>
      <c r="F85" s="54"/>
      <c r="G85" s="10"/>
      <c r="H85" s="1"/>
      <c r="I85" s="41" t="s">
        <v>113</v>
      </c>
      <c r="J85" s="43">
        <v>195</v>
      </c>
      <c r="K85" s="46">
        <f>J85*400</f>
        <v>78000</v>
      </c>
      <c r="L85" s="1">
        <v>2.5</v>
      </c>
      <c r="M85" s="46">
        <f>K85*L85</f>
        <v>195000</v>
      </c>
      <c r="N85" s="7"/>
      <c r="O85" s="32"/>
    </row>
    <row r="86" spans="1:15" ht="16" thickBot="1" x14ac:dyDescent="0.25">
      <c r="A86" s="55" t="s">
        <v>112</v>
      </c>
      <c r="B86" s="56">
        <v>6683</v>
      </c>
      <c r="C86" s="57">
        <f>B86*400</f>
        <v>2673200</v>
      </c>
      <c r="D86" s="36">
        <v>2.5</v>
      </c>
      <c r="E86" s="57">
        <f>C86*D86</f>
        <v>6683000</v>
      </c>
      <c r="F86" s="57"/>
      <c r="G86" s="38"/>
      <c r="H86" s="36"/>
      <c r="I86" s="42" t="s">
        <v>113</v>
      </c>
      <c r="J86" s="44">
        <v>228</v>
      </c>
      <c r="K86" s="47">
        <f>J86*400</f>
        <v>91200</v>
      </c>
      <c r="L86" s="36">
        <v>2.5</v>
      </c>
      <c r="M86" s="47">
        <f>K86*L86</f>
        <v>228000</v>
      </c>
      <c r="N86" s="37"/>
      <c r="O86" s="40"/>
    </row>
    <row r="87" spans="1:15" ht="16" x14ac:dyDescent="0.2">
      <c r="A87" s="147" t="s">
        <v>114</v>
      </c>
      <c r="B87" s="148"/>
      <c r="C87" s="148"/>
      <c r="D87" s="148"/>
      <c r="E87" s="148"/>
      <c r="F87" s="148"/>
      <c r="G87" s="149"/>
      <c r="H87" s="1"/>
      <c r="I87" s="125" t="s">
        <v>115</v>
      </c>
      <c r="J87" s="126"/>
      <c r="K87" s="126"/>
      <c r="L87" s="126"/>
      <c r="M87" s="126"/>
      <c r="N87" s="126"/>
      <c r="O87" s="127"/>
    </row>
    <row r="88" spans="1:15" ht="32" x14ac:dyDescent="0.2">
      <c r="A88" s="28" t="s">
        <v>1</v>
      </c>
      <c r="B88" s="16" t="s">
        <v>2</v>
      </c>
      <c r="C88" s="16" t="s">
        <v>3</v>
      </c>
      <c r="D88" s="16" t="s">
        <v>4</v>
      </c>
      <c r="E88" s="16" t="s">
        <v>5</v>
      </c>
      <c r="F88" s="17" t="s">
        <v>6</v>
      </c>
      <c r="G88" s="18" t="s">
        <v>7</v>
      </c>
      <c r="H88" s="1"/>
      <c r="I88" s="15" t="s">
        <v>1</v>
      </c>
      <c r="J88" s="16" t="s">
        <v>2</v>
      </c>
      <c r="K88" s="16" t="s">
        <v>3</v>
      </c>
      <c r="L88" s="16" t="s">
        <v>4</v>
      </c>
      <c r="M88" s="16" t="s">
        <v>5</v>
      </c>
      <c r="N88" s="17" t="s">
        <v>6</v>
      </c>
      <c r="O88" s="29" t="s">
        <v>7</v>
      </c>
    </row>
    <row r="89" spans="1:15" x14ac:dyDescent="0.2">
      <c r="A89" s="34" t="s">
        <v>116</v>
      </c>
      <c r="B89" s="59">
        <v>49</v>
      </c>
      <c r="C89" s="60">
        <f>B89*400</f>
        <v>19600</v>
      </c>
      <c r="D89" s="1">
        <v>4</v>
      </c>
      <c r="E89" s="60">
        <f>C89*D89</f>
        <v>78400</v>
      </c>
      <c r="F89" s="22">
        <f>AVERAGE(E89:E91)</f>
        <v>77866.666666666672</v>
      </c>
      <c r="G89" s="9">
        <f>_xlfn.STDEV.S(E89:E91)</f>
        <v>8812.1128756577637</v>
      </c>
      <c r="H89" s="1"/>
      <c r="I89" s="23" t="s">
        <v>116</v>
      </c>
      <c r="J89" s="61">
        <v>45</v>
      </c>
      <c r="K89" s="62">
        <f>J89*400</f>
        <v>18000</v>
      </c>
      <c r="L89" s="1">
        <v>4</v>
      </c>
      <c r="M89" s="62">
        <f>K89*L89</f>
        <v>72000</v>
      </c>
      <c r="N89" s="24">
        <f>AVERAGE(M89:M91)</f>
        <v>65066.666666666664</v>
      </c>
      <c r="O89" s="31">
        <f>_xlfn.STDEV.S(K89:K91)</f>
        <v>3716.6292972710248</v>
      </c>
    </row>
    <row r="90" spans="1:15" x14ac:dyDescent="0.2">
      <c r="A90" s="34" t="s">
        <v>116</v>
      </c>
      <c r="B90" s="59">
        <v>54</v>
      </c>
      <c r="C90" s="60">
        <f>B90*400</f>
        <v>21600</v>
      </c>
      <c r="D90" s="1">
        <v>4</v>
      </c>
      <c r="E90" s="60">
        <f>C90*D90</f>
        <v>86400</v>
      </c>
      <c r="F90" s="7"/>
      <c r="G90" s="10"/>
      <c r="H90" s="1"/>
      <c r="I90" s="23" t="s">
        <v>116</v>
      </c>
      <c r="J90" s="61">
        <v>47</v>
      </c>
      <c r="K90" s="62">
        <f>J90*400</f>
        <v>18800</v>
      </c>
      <c r="L90" s="1">
        <v>4</v>
      </c>
      <c r="M90" s="62">
        <f>K90*L90</f>
        <v>75200</v>
      </c>
      <c r="N90" s="7"/>
      <c r="O90" s="32"/>
    </row>
    <row r="91" spans="1:15" ht="16" thickBot="1" x14ac:dyDescent="0.25">
      <c r="A91" s="35" t="s">
        <v>116</v>
      </c>
      <c r="B91" s="65">
        <v>43</v>
      </c>
      <c r="C91" s="66">
        <f>B91*400</f>
        <v>17200</v>
      </c>
      <c r="D91" s="36">
        <v>4</v>
      </c>
      <c r="E91" s="66">
        <f>C91*D91</f>
        <v>68800</v>
      </c>
      <c r="F91" s="37"/>
      <c r="G91" s="38"/>
      <c r="H91" s="36"/>
      <c r="I91" s="39" t="s">
        <v>116</v>
      </c>
      <c r="J91" s="67">
        <v>30</v>
      </c>
      <c r="K91" s="68">
        <f>J91*400</f>
        <v>12000</v>
      </c>
      <c r="L91" s="36">
        <v>4</v>
      </c>
      <c r="M91" s="68">
        <f>K91*L91</f>
        <v>48000</v>
      </c>
      <c r="N91" s="37"/>
      <c r="O91" s="40"/>
    </row>
    <row r="92" spans="1:15" x14ac:dyDescent="0.2">
      <c r="A92" s="150" t="s">
        <v>117</v>
      </c>
      <c r="B92" s="105"/>
      <c r="C92" s="105"/>
      <c r="D92" s="105"/>
      <c r="E92" s="105"/>
      <c r="F92" s="105"/>
      <c r="G92" s="105"/>
      <c r="H92" s="105"/>
      <c r="I92" s="105"/>
      <c r="J92" s="105"/>
      <c r="K92" s="105"/>
      <c r="L92" s="105"/>
      <c r="M92" s="105"/>
      <c r="N92" s="105"/>
      <c r="O92" s="105"/>
    </row>
    <row r="93" spans="1:15" x14ac:dyDescent="0.2">
      <c r="A93" s="106"/>
      <c r="B93" s="106"/>
      <c r="C93" s="106"/>
      <c r="D93" s="106"/>
      <c r="E93" s="106"/>
      <c r="F93" s="106"/>
      <c r="G93" s="106"/>
      <c r="H93" s="106"/>
      <c r="I93" s="106"/>
      <c r="J93" s="106"/>
      <c r="K93" s="106"/>
      <c r="L93" s="106"/>
      <c r="M93" s="106"/>
      <c r="N93" s="106"/>
      <c r="O93" s="106"/>
    </row>
    <row r="94" spans="1:15" ht="16" thickBot="1" x14ac:dyDescent="0.25">
      <c r="A94" s="151"/>
      <c r="B94" s="151"/>
      <c r="C94" s="151"/>
      <c r="D94" s="151"/>
      <c r="E94" s="151"/>
      <c r="F94" s="151"/>
      <c r="G94" s="151"/>
      <c r="H94" s="151"/>
      <c r="I94" s="151"/>
      <c r="J94" s="151"/>
      <c r="K94" s="151"/>
      <c r="L94" s="151"/>
      <c r="M94" s="151"/>
      <c r="N94" s="151"/>
      <c r="O94" s="151"/>
    </row>
    <row r="95" spans="1:15" ht="19" x14ac:dyDescent="0.2">
      <c r="A95" s="132" t="s">
        <v>118</v>
      </c>
      <c r="B95" s="133"/>
      <c r="C95" s="133"/>
      <c r="D95" s="133"/>
      <c r="E95" s="133"/>
      <c r="F95" s="133"/>
      <c r="G95" s="133"/>
      <c r="H95" s="133"/>
      <c r="I95" s="133"/>
      <c r="J95" s="133"/>
      <c r="K95" s="133"/>
      <c r="L95" s="133"/>
      <c r="M95" s="133"/>
      <c r="N95" s="133"/>
      <c r="O95" s="134"/>
    </row>
    <row r="96" spans="1:15" ht="16" x14ac:dyDescent="0.2">
      <c r="A96" s="135" t="s">
        <v>11</v>
      </c>
      <c r="B96" s="136"/>
      <c r="C96" s="136"/>
      <c r="D96" s="136"/>
      <c r="E96" s="136"/>
      <c r="F96" s="136"/>
      <c r="G96" s="137"/>
      <c r="H96" s="1"/>
      <c r="I96" s="138" t="s">
        <v>12</v>
      </c>
      <c r="J96" s="139"/>
      <c r="K96" s="139"/>
      <c r="L96" s="139"/>
      <c r="M96" s="139"/>
      <c r="N96" s="139"/>
      <c r="O96" s="140"/>
    </row>
    <row r="97" spans="1:15" ht="32" x14ac:dyDescent="0.2">
      <c r="A97" s="28" t="s">
        <v>1</v>
      </c>
      <c r="B97" s="16" t="s">
        <v>2</v>
      </c>
      <c r="C97" s="16" t="s">
        <v>3</v>
      </c>
      <c r="D97" s="16" t="s">
        <v>4</v>
      </c>
      <c r="E97" s="16" t="s">
        <v>5</v>
      </c>
      <c r="F97" s="17" t="s">
        <v>6</v>
      </c>
      <c r="G97" s="18" t="s">
        <v>7</v>
      </c>
      <c r="H97" s="1"/>
      <c r="I97" s="15" t="s">
        <v>1</v>
      </c>
      <c r="J97" s="16" t="s">
        <v>2</v>
      </c>
      <c r="K97" s="16" t="s">
        <v>3</v>
      </c>
      <c r="L97" s="16" t="s">
        <v>4</v>
      </c>
      <c r="M97" s="16" t="s">
        <v>5</v>
      </c>
      <c r="N97" s="17" t="s">
        <v>6</v>
      </c>
      <c r="O97" s="29" t="s">
        <v>7</v>
      </c>
    </row>
    <row r="98" spans="1:15" x14ac:dyDescent="0.2">
      <c r="A98" s="30" t="s">
        <v>51</v>
      </c>
      <c r="B98" s="25">
        <v>48</v>
      </c>
      <c r="C98" s="48">
        <f>B98*400</f>
        <v>19200</v>
      </c>
      <c r="D98" s="1">
        <v>4</v>
      </c>
      <c r="E98" s="48">
        <f>C98*D98</f>
        <v>76800</v>
      </c>
      <c r="F98" s="8">
        <f>AVERAGE(E98:E100)</f>
        <v>90666.666666666672</v>
      </c>
      <c r="G98" s="9">
        <f>_xlfn.STDEV.S(E98:E100)</f>
        <v>21306.649979134072</v>
      </c>
      <c r="H98" s="1"/>
      <c r="I98" s="19" t="s">
        <v>51</v>
      </c>
      <c r="J98" s="26">
        <v>53</v>
      </c>
      <c r="K98" s="49">
        <f>J98*400</f>
        <v>21200</v>
      </c>
      <c r="L98" s="1">
        <v>2.5</v>
      </c>
      <c r="M98" s="49">
        <f>K98*L98</f>
        <v>53000</v>
      </c>
      <c r="N98" s="20">
        <f>AVERAGE(M98:M100)</f>
        <v>64666.666666666664</v>
      </c>
      <c r="O98" s="31">
        <f>_xlfn.STDEV.S(K98:K100)</f>
        <v>5547.371750057262</v>
      </c>
    </row>
    <row r="99" spans="1:15" x14ac:dyDescent="0.2">
      <c r="A99" s="30" t="s">
        <v>51</v>
      </c>
      <c r="B99" s="25">
        <v>72</v>
      </c>
      <c r="C99" s="48">
        <f>B99*400</f>
        <v>28800</v>
      </c>
      <c r="D99" s="1">
        <v>4</v>
      </c>
      <c r="E99" s="48">
        <f>C99*D99</f>
        <v>115200</v>
      </c>
      <c r="F99" s="7"/>
      <c r="G99" s="10"/>
      <c r="H99" s="1"/>
      <c r="I99" s="19" t="s">
        <v>51</v>
      </c>
      <c r="J99" s="26">
        <v>61</v>
      </c>
      <c r="K99" s="49">
        <f>J99*400</f>
        <v>24400</v>
      </c>
      <c r="L99" s="1">
        <v>2.5</v>
      </c>
      <c r="M99" s="49">
        <f>K99*L99</f>
        <v>61000</v>
      </c>
      <c r="N99" s="7"/>
      <c r="O99" s="32"/>
    </row>
    <row r="100" spans="1:15" x14ac:dyDescent="0.2">
      <c r="A100" s="63" t="s">
        <v>51</v>
      </c>
      <c r="B100" s="25">
        <v>50</v>
      </c>
      <c r="C100" s="48">
        <f>B100*400</f>
        <v>20000</v>
      </c>
      <c r="D100" s="1">
        <v>4</v>
      </c>
      <c r="E100" s="48">
        <f>C100*D100</f>
        <v>80000</v>
      </c>
      <c r="F100" s="7"/>
      <c r="G100" s="10"/>
      <c r="H100" s="12"/>
      <c r="I100" s="21" t="s">
        <v>51</v>
      </c>
      <c r="J100" s="50">
        <v>80</v>
      </c>
      <c r="K100" s="51">
        <f>J100*400</f>
        <v>32000</v>
      </c>
      <c r="L100" s="12">
        <v>2.5</v>
      </c>
      <c r="M100" s="51">
        <f>K100*L100</f>
        <v>80000</v>
      </c>
      <c r="N100" s="13"/>
      <c r="O100" s="33"/>
    </row>
    <row r="101" spans="1:15" ht="16" x14ac:dyDescent="0.2">
      <c r="A101" s="116" t="s">
        <v>26</v>
      </c>
      <c r="B101" s="117"/>
      <c r="C101" s="117"/>
      <c r="D101" s="117"/>
      <c r="E101" s="117"/>
      <c r="F101" s="117"/>
      <c r="G101" s="118"/>
      <c r="H101" s="1"/>
      <c r="I101" s="119" t="s">
        <v>22</v>
      </c>
      <c r="J101" s="120"/>
      <c r="K101" s="120"/>
      <c r="L101" s="120"/>
      <c r="M101" s="120"/>
      <c r="N101" s="120"/>
      <c r="O101" s="121"/>
    </row>
    <row r="102" spans="1:15" ht="32" x14ac:dyDescent="0.2">
      <c r="A102" s="28" t="s">
        <v>1</v>
      </c>
      <c r="B102" s="16" t="s">
        <v>2</v>
      </c>
      <c r="C102" s="16" t="s">
        <v>3</v>
      </c>
      <c r="D102" s="16" t="s">
        <v>4</v>
      </c>
      <c r="E102" s="16" t="s">
        <v>5</v>
      </c>
      <c r="F102" s="17" t="s">
        <v>6</v>
      </c>
      <c r="G102" s="18" t="s">
        <v>7</v>
      </c>
      <c r="H102" s="1"/>
      <c r="I102" s="15" t="s">
        <v>1</v>
      </c>
      <c r="J102" s="16" t="s">
        <v>2</v>
      </c>
      <c r="K102" s="16" t="s">
        <v>3</v>
      </c>
      <c r="L102" s="16" t="s">
        <v>4</v>
      </c>
      <c r="M102" s="16" t="s">
        <v>5</v>
      </c>
      <c r="N102" s="17" t="s">
        <v>6</v>
      </c>
      <c r="O102" s="29" t="s">
        <v>7</v>
      </c>
    </row>
    <row r="103" spans="1:15" x14ac:dyDescent="0.2">
      <c r="A103" s="52" t="s">
        <v>51</v>
      </c>
      <c r="B103" s="53">
        <v>55</v>
      </c>
      <c r="C103" s="54">
        <f>B103*400</f>
        <v>22000</v>
      </c>
      <c r="D103" s="1">
        <v>2.5</v>
      </c>
      <c r="E103" s="54">
        <f>C103*D103</f>
        <v>55000</v>
      </c>
      <c r="F103" s="58">
        <f>AVERAGE(E103:E105)</f>
        <v>72333.333333333328</v>
      </c>
      <c r="G103" s="9">
        <f>_xlfn.STDEV.S(E103:E105)</f>
        <v>15143.755588800719</v>
      </c>
      <c r="H103" s="1"/>
      <c r="I103" s="41" t="s">
        <v>51</v>
      </c>
      <c r="J103" s="43">
        <v>55</v>
      </c>
      <c r="K103" s="46">
        <f>J103*400</f>
        <v>22000</v>
      </c>
      <c r="L103" s="1">
        <v>2.5</v>
      </c>
      <c r="M103" s="46">
        <f>K103*L103</f>
        <v>55000</v>
      </c>
      <c r="N103" s="45">
        <f>AVERAGE(M103:M105)</f>
        <v>63333.333333333336</v>
      </c>
      <c r="O103" s="31">
        <f>_xlfn.STDEV.S(K103:K105)</f>
        <v>4460.194315647399</v>
      </c>
    </row>
    <row r="104" spans="1:15" x14ac:dyDescent="0.2">
      <c r="A104" s="52" t="s">
        <v>51</v>
      </c>
      <c r="B104" s="53">
        <v>79</v>
      </c>
      <c r="C104" s="54">
        <f>B104*400</f>
        <v>31600</v>
      </c>
      <c r="D104" s="1">
        <v>2.5</v>
      </c>
      <c r="E104" s="54">
        <f>C104*D104</f>
        <v>79000</v>
      </c>
      <c r="F104" s="54"/>
      <c r="G104" s="10"/>
      <c r="H104" s="1"/>
      <c r="I104" s="41" t="s">
        <v>51</v>
      </c>
      <c r="J104" s="43">
        <v>76</v>
      </c>
      <c r="K104" s="46">
        <f>J104*400</f>
        <v>30400</v>
      </c>
      <c r="L104" s="1">
        <v>2.5</v>
      </c>
      <c r="M104" s="46">
        <f>K104*L104</f>
        <v>76000</v>
      </c>
      <c r="N104" s="7"/>
      <c r="O104" s="32"/>
    </row>
    <row r="105" spans="1:15" ht="16" thickBot="1" x14ac:dyDescent="0.25">
      <c r="A105" s="64" t="s">
        <v>51</v>
      </c>
      <c r="B105" s="70">
        <v>83</v>
      </c>
      <c r="C105" s="71">
        <f>B105*400</f>
        <v>33200</v>
      </c>
      <c r="D105" s="12">
        <v>2.5</v>
      </c>
      <c r="E105" s="71">
        <f>C105*D105</f>
        <v>83000</v>
      </c>
      <c r="F105" s="71"/>
      <c r="G105" s="14"/>
      <c r="H105" s="69"/>
      <c r="I105" s="74" t="s">
        <v>51</v>
      </c>
      <c r="J105" s="72">
        <v>59</v>
      </c>
      <c r="K105" s="73">
        <f>J105*400</f>
        <v>23600</v>
      </c>
      <c r="L105" s="12">
        <v>2.5</v>
      </c>
      <c r="M105" s="73">
        <f>K105*L105</f>
        <v>59000</v>
      </c>
      <c r="N105" s="13"/>
      <c r="O105" s="33"/>
    </row>
    <row r="106" spans="1:15" ht="16" x14ac:dyDescent="0.2">
      <c r="A106" s="147" t="s">
        <v>114</v>
      </c>
      <c r="B106" s="148"/>
      <c r="C106" s="148"/>
      <c r="D106" s="148"/>
      <c r="E106" s="148"/>
      <c r="F106" s="148"/>
      <c r="G106" s="149"/>
      <c r="H106" s="1"/>
      <c r="I106" s="125" t="s">
        <v>115</v>
      </c>
      <c r="J106" s="126"/>
      <c r="K106" s="126"/>
      <c r="L106" s="126"/>
      <c r="M106" s="126"/>
      <c r="N106" s="126"/>
      <c r="O106" s="127"/>
    </row>
    <row r="107" spans="1:15" ht="32" x14ac:dyDescent="0.2">
      <c r="A107" s="28" t="s">
        <v>1</v>
      </c>
      <c r="B107" s="16" t="s">
        <v>2</v>
      </c>
      <c r="C107" s="16" t="s">
        <v>3</v>
      </c>
      <c r="D107" s="16" t="s">
        <v>4</v>
      </c>
      <c r="E107" s="16" t="s">
        <v>5</v>
      </c>
      <c r="F107" s="17" t="s">
        <v>6</v>
      </c>
      <c r="G107" s="18" t="s">
        <v>7</v>
      </c>
      <c r="H107" s="1"/>
      <c r="I107" s="15" t="s">
        <v>1</v>
      </c>
      <c r="J107" s="16" t="s">
        <v>2</v>
      </c>
      <c r="K107" s="16" t="s">
        <v>3</v>
      </c>
      <c r="L107" s="16" t="s">
        <v>4</v>
      </c>
      <c r="M107" s="16" t="s">
        <v>5</v>
      </c>
      <c r="N107" s="17" t="s">
        <v>6</v>
      </c>
      <c r="O107" s="29" t="s">
        <v>7</v>
      </c>
    </row>
    <row r="108" spans="1:15" x14ac:dyDescent="0.2">
      <c r="A108" s="34" t="s">
        <v>119</v>
      </c>
      <c r="B108" s="59">
        <v>49</v>
      </c>
      <c r="C108" s="60">
        <f>B108*400</f>
        <v>19600</v>
      </c>
      <c r="D108" s="1">
        <v>4</v>
      </c>
      <c r="E108" s="60">
        <f>C108*D108</f>
        <v>78400</v>
      </c>
      <c r="F108" s="22">
        <f>AVERAGE(E108:E110)</f>
        <v>77866.666666666672</v>
      </c>
      <c r="G108" s="9">
        <f>_xlfn.STDEV.S(E108:E110)</f>
        <v>8812.1128756577637</v>
      </c>
      <c r="H108" s="1"/>
      <c r="I108" s="23" t="s">
        <v>51</v>
      </c>
      <c r="J108" s="61">
        <v>45</v>
      </c>
      <c r="K108" s="62">
        <f>J108*400</f>
        <v>18000</v>
      </c>
      <c r="L108" s="1">
        <v>4</v>
      </c>
      <c r="M108" s="62">
        <f>K108*L108</f>
        <v>72000</v>
      </c>
      <c r="N108" s="24">
        <f>AVERAGE(M108:M110)</f>
        <v>65066.666666666664</v>
      </c>
      <c r="O108" s="31">
        <f>_xlfn.STDEV.S(K108:K110)</f>
        <v>3716.6292972710248</v>
      </c>
    </row>
    <row r="109" spans="1:15" x14ac:dyDescent="0.2">
      <c r="A109" s="34" t="s">
        <v>51</v>
      </c>
      <c r="B109" s="59">
        <v>54</v>
      </c>
      <c r="C109" s="60">
        <f>B109*400</f>
        <v>21600</v>
      </c>
      <c r="D109" s="1">
        <v>4</v>
      </c>
      <c r="E109" s="60">
        <f>C109*D109</f>
        <v>86400</v>
      </c>
      <c r="F109" s="7"/>
      <c r="G109" s="10"/>
      <c r="H109" s="1"/>
      <c r="I109" s="23" t="s">
        <v>51</v>
      </c>
      <c r="J109" s="61">
        <v>47</v>
      </c>
      <c r="K109" s="62">
        <f>J109*400</f>
        <v>18800</v>
      </c>
      <c r="L109" s="1">
        <v>4</v>
      </c>
      <c r="M109" s="62">
        <f>K109*L109</f>
        <v>75200</v>
      </c>
      <c r="N109" s="7"/>
      <c r="O109" s="32"/>
    </row>
    <row r="110" spans="1:15" ht="16" thickBot="1" x14ac:dyDescent="0.25">
      <c r="A110" s="35" t="s">
        <v>51</v>
      </c>
      <c r="B110" s="65">
        <v>43</v>
      </c>
      <c r="C110" s="66">
        <f>B110*400</f>
        <v>17200</v>
      </c>
      <c r="D110" s="36">
        <v>4</v>
      </c>
      <c r="E110" s="66">
        <f>C110*D110</f>
        <v>68800</v>
      </c>
      <c r="F110" s="37"/>
      <c r="G110" s="38"/>
      <c r="H110" s="36"/>
      <c r="I110" s="39" t="s">
        <v>51</v>
      </c>
      <c r="J110" s="67">
        <v>30</v>
      </c>
      <c r="K110" s="68">
        <f>J110*400</f>
        <v>12000</v>
      </c>
      <c r="L110" s="36">
        <v>4</v>
      </c>
      <c r="M110" s="68">
        <f>K110*L110</f>
        <v>48000</v>
      </c>
      <c r="N110" s="37"/>
      <c r="O110" s="40"/>
    </row>
    <row r="111" spans="1:15" ht="16" thickBot="1" x14ac:dyDescent="0.25"/>
    <row r="112" spans="1:15" ht="19" x14ac:dyDescent="0.2">
      <c r="A112" s="132" t="s">
        <v>133</v>
      </c>
      <c r="B112" s="133"/>
      <c r="C112" s="133"/>
      <c r="D112" s="133"/>
      <c r="E112" s="133"/>
      <c r="F112" s="133"/>
      <c r="G112" s="133"/>
      <c r="H112" s="133"/>
      <c r="I112" s="133"/>
      <c r="J112" s="133"/>
      <c r="K112" s="133"/>
      <c r="L112" s="133"/>
      <c r="M112" s="133"/>
      <c r="N112" s="133"/>
      <c r="O112" s="134"/>
    </row>
    <row r="113" spans="1:15" ht="16" x14ac:dyDescent="0.2">
      <c r="A113" s="135" t="s">
        <v>11</v>
      </c>
      <c r="B113" s="136"/>
      <c r="C113" s="136"/>
      <c r="D113" s="136"/>
      <c r="E113" s="136"/>
      <c r="F113" s="136"/>
      <c r="G113" s="137"/>
      <c r="H113" s="1"/>
      <c r="I113" s="138" t="s">
        <v>12</v>
      </c>
      <c r="J113" s="139"/>
      <c r="K113" s="139"/>
      <c r="L113" s="139"/>
      <c r="M113" s="139"/>
      <c r="N113" s="139"/>
      <c r="O113" s="140"/>
    </row>
    <row r="114" spans="1:15" ht="32" x14ac:dyDescent="0.2">
      <c r="A114" s="28" t="s">
        <v>1</v>
      </c>
      <c r="B114" s="16" t="s">
        <v>2</v>
      </c>
      <c r="C114" s="16" t="s">
        <v>3</v>
      </c>
      <c r="D114" s="16" t="s">
        <v>4</v>
      </c>
      <c r="E114" s="16" t="s">
        <v>5</v>
      </c>
      <c r="F114" s="17" t="s">
        <v>6</v>
      </c>
      <c r="G114" s="18" t="s">
        <v>7</v>
      </c>
      <c r="H114" s="1"/>
      <c r="I114" s="15" t="s">
        <v>1</v>
      </c>
      <c r="J114" s="16" t="s">
        <v>2</v>
      </c>
      <c r="K114" s="16" t="s">
        <v>3</v>
      </c>
      <c r="L114" s="16" t="s">
        <v>4</v>
      </c>
      <c r="M114" s="16" t="s">
        <v>5</v>
      </c>
      <c r="N114" s="17" t="s">
        <v>6</v>
      </c>
      <c r="O114" s="29" t="s">
        <v>7</v>
      </c>
    </row>
    <row r="115" spans="1:15" x14ac:dyDescent="0.2">
      <c r="A115" s="30" t="s">
        <v>122</v>
      </c>
      <c r="B115" s="25">
        <v>48</v>
      </c>
      <c r="C115" s="48">
        <f>B115*400</f>
        <v>19200</v>
      </c>
      <c r="D115" s="1">
        <v>2.5</v>
      </c>
      <c r="E115" s="48">
        <f>C115*D115</f>
        <v>48000</v>
      </c>
      <c r="F115" s="8">
        <f>AVERAGE(E115:E117)</f>
        <v>52000</v>
      </c>
      <c r="G115" s="9">
        <f>_xlfn.STDEV.S(E115:E117)</f>
        <v>6082.7625302982196</v>
      </c>
      <c r="H115" s="1"/>
      <c r="I115" s="19" t="s">
        <v>123</v>
      </c>
      <c r="J115" s="26">
        <v>4979</v>
      </c>
      <c r="K115" s="49">
        <f>J115*400</f>
        <v>1991600</v>
      </c>
      <c r="L115" s="1">
        <v>2.5</v>
      </c>
      <c r="M115" s="49">
        <f>K115*L115</f>
        <v>4979000</v>
      </c>
      <c r="N115" s="20">
        <f>AVERAGE(M115:M117)</f>
        <v>5030000</v>
      </c>
      <c r="O115" s="31">
        <f>_xlfn.STDEV.S(K115:K117)</f>
        <v>95056.193906551925</v>
      </c>
    </row>
    <row r="116" spans="1:15" x14ac:dyDescent="0.2">
      <c r="A116" s="30" t="s">
        <v>124</v>
      </c>
      <c r="B116" s="25">
        <v>59</v>
      </c>
      <c r="C116" s="48">
        <f>B116*400</f>
        <v>23600</v>
      </c>
      <c r="D116" s="1">
        <v>2.5</v>
      </c>
      <c r="E116" s="48">
        <f>C116*D116</f>
        <v>59000</v>
      </c>
      <c r="F116" s="7"/>
      <c r="G116" s="10"/>
      <c r="H116" s="1"/>
      <c r="I116" s="19" t="s">
        <v>123</v>
      </c>
      <c r="J116" s="26">
        <v>5289</v>
      </c>
      <c r="K116" s="49">
        <f>J116*400</f>
        <v>2115600</v>
      </c>
      <c r="L116" s="1">
        <v>2.5</v>
      </c>
      <c r="M116" s="49">
        <f>K116*L116</f>
        <v>5289000</v>
      </c>
      <c r="N116" s="7"/>
      <c r="O116" s="32"/>
    </row>
    <row r="117" spans="1:15" x14ac:dyDescent="0.2">
      <c r="A117" s="30" t="s">
        <v>124</v>
      </c>
      <c r="B117" s="25">
        <v>49</v>
      </c>
      <c r="C117" s="48">
        <f>B117*400</f>
        <v>19600</v>
      </c>
      <c r="D117" s="12">
        <v>2.5</v>
      </c>
      <c r="E117" s="48">
        <f>C117*D117</f>
        <v>49000</v>
      </c>
      <c r="F117" s="7"/>
      <c r="G117" s="10"/>
      <c r="H117" s="12"/>
      <c r="I117" s="19" t="s">
        <v>123</v>
      </c>
      <c r="J117" s="50">
        <v>4822</v>
      </c>
      <c r="K117" s="51">
        <f>J117*400</f>
        <v>1928800</v>
      </c>
      <c r="L117" s="12">
        <v>2.5</v>
      </c>
      <c r="M117" s="51">
        <f>K117*L117</f>
        <v>4822000</v>
      </c>
      <c r="N117" s="13"/>
      <c r="O117" s="33"/>
    </row>
    <row r="118" spans="1:15" ht="16" x14ac:dyDescent="0.2">
      <c r="A118" s="116" t="s">
        <v>26</v>
      </c>
      <c r="B118" s="117"/>
      <c r="C118" s="117"/>
      <c r="D118" s="117"/>
      <c r="E118" s="117"/>
      <c r="F118" s="117"/>
      <c r="G118" s="118"/>
      <c r="H118" s="1"/>
      <c r="I118" s="119" t="s">
        <v>22</v>
      </c>
      <c r="J118" s="120"/>
      <c r="K118" s="120"/>
      <c r="L118" s="120"/>
      <c r="M118" s="120"/>
      <c r="N118" s="120"/>
      <c r="O118" s="121"/>
    </row>
    <row r="119" spans="1:15" ht="32" x14ac:dyDescent="0.2">
      <c r="A119" s="28" t="s">
        <v>1</v>
      </c>
      <c r="B119" s="16" t="s">
        <v>2</v>
      </c>
      <c r="C119" s="16" t="s">
        <v>3</v>
      </c>
      <c r="D119" s="16" t="s">
        <v>4</v>
      </c>
      <c r="E119" s="16" t="s">
        <v>5</v>
      </c>
      <c r="F119" s="17" t="s">
        <v>6</v>
      </c>
      <c r="G119" s="18" t="s">
        <v>7</v>
      </c>
      <c r="H119" s="1"/>
      <c r="I119" s="15" t="s">
        <v>1</v>
      </c>
      <c r="J119" s="16" t="s">
        <v>2</v>
      </c>
      <c r="K119" s="16" t="s">
        <v>3</v>
      </c>
      <c r="L119" s="16" t="s">
        <v>4</v>
      </c>
      <c r="M119" s="16" t="s">
        <v>5</v>
      </c>
      <c r="N119" s="17" t="s">
        <v>6</v>
      </c>
      <c r="O119" s="29" t="s">
        <v>7</v>
      </c>
    </row>
    <row r="120" spans="1:15" x14ac:dyDescent="0.2">
      <c r="A120" s="52" t="s">
        <v>125</v>
      </c>
      <c r="B120" s="53">
        <v>7936</v>
      </c>
      <c r="C120" s="54">
        <f>B120*400</f>
        <v>3174400</v>
      </c>
      <c r="D120" s="1">
        <v>2.5</v>
      </c>
      <c r="E120" s="54">
        <f>C120*D120</f>
        <v>7936000</v>
      </c>
      <c r="F120" s="58">
        <f>AVERAGE(E120:E122)</f>
        <v>7469666.666666667</v>
      </c>
      <c r="G120" s="9">
        <f>_xlfn.STDEV.S(E120:E122)</f>
        <v>610251.04123904067</v>
      </c>
      <c r="H120" s="1"/>
      <c r="I120" s="41" t="s">
        <v>126</v>
      </c>
      <c r="J120" s="43">
        <v>647</v>
      </c>
      <c r="K120" s="46">
        <f>J120*400</f>
        <v>258800</v>
      </c>
      <c r="L120" s="1">
        <v>2.5</v>
      </c>
      <c r="M120" s="46">
        <f>K120*L120</f>
        <v>647000</v>
      </c>
      <c r="N120" s="45">
        <f>AVERAGE(M120:M122)</f>
        <v>714666.66666666663</v>
      </c>
      <c r="O120" s="31">
        <f>_xlfn.STDEV.S(K120:K122)</f>
        <v>23813.72153472307</v>
      </c>
    </row>
    <row r="121" spans="1:15" x14ac:dyDescent="0.2">
      <c r="A121" s="52" t="s">
        <v>125</v>
      </c>
      <c r="B121" s="53">
        <v>7694</v>
      </c>
      <c r="C121" s="54">
        <f>B121*400</f>
        <v>3077600</v>
      </c>
      <c r="D121" s="1">
        <v>2.5</v>
      </c>
      <c r="E121" s="54">
        <f>C121*D121</f>
        <v>7694000</v>
      </c>
      <c r="F121" s="54"/>
      <c r="G121" s="10"/>
      <c r="H121" s="1"/>
      <c r="I121" s="41" t="s">
        <v>126</v>
      </c>
      <c r="J121" s="43">
        <v>759</v>
      </c>
      <c r="K121" s="46">
        <f>J121*400</f>
        <v>303600</v>
      </c>
      <c r="L121" s="1">
        <v>2.5</v>
      </c>
      <c r="M121" s="46">
        <f>K121*L121</f>
        <v>759000</v>
      </c>
      <c r="N121" s="7"/>
      <c r="O121" s="32"/>
    </row>
    <row r="122" spans="1:15" x14ac:dyDescent="0.2">
      <c r="A122" s="64" t="s">
        <v>125</v>
      </c>
      <c r="B122" s="70">
        <v>6779</v>
      </c>
      <c r="C122" s="71">
        <f>B122*400</f>
        <v>2711600</v>
      </c>
      <c r="D122" s="12">
        <v>2.5</v>
      </c>
      <c r="E122" s="71">
        <f>C122*D122</f>
        <v>6779000</v>
      </c>
      <c r="F122" s="71"/>
      <c r="G122" s="14"/>
      <c r="H122" s="69"/>
      <c r="I122" s="74" t="s">
        <v>126</v>
      </c>
      <c r="J122" s="72">
        <v>738</v>
      </c>
      <c r="K122" s="73">
        <f>J122*400</f>
        <v>295200</v>
      </c>
      <c r="L122" s="12">
        <v>2.5</v>
      </c>
      <c r="M122" s="73">
        <f>K122*L122</f>
        <v>738000</v>
      </c>
      <c r="N122" s="13"/>
      <c r="O122" s="33"/>
    </row>
    <row r="123" spans="1:15" ht="16" x14ac:dyDescent="0.2">
      <c r="A123" s="122" t="s">
        <v>127</v>
      </c>
      <c r="B123" s="126"/>
      <c r="C123" s="126"/>
      <c r="D123" s="126"/>
      <c r="E123" s="126"/>
      <c r="F123" s="126"/>
      <c r="G123" s="152"/>
      <c r="H123" s="1"/>
      <c r="I123" s="153" t="s">
        <v>128</v>
      </c>
      <c r="J123" s="126"/>
      <c r="K123" s="126"/>
      <c r="L123" s="126"/>
      <c r="M123" s="126"/>
      <c r="N123" s="126"/>
      <c r="O123" s="127"/>
    </row>
    <row r="124" spans="1:15" ht="32" x14ac:dyDescent="0.2">
      <c r="A124" s="28" t="s">
        <v>1</v>
      </c>
      <c r="B124" s="16" t="s">
        <v>2</v>
      </c>
      <c r="C124" s="16" t="s">
        <v>3</v>
      </c>
      <c r="D124" s="16" t="s">
        <v>4</v>
      </c>
      <c r="E124" s="16" t="s">
        <v>5</v>
      </c>
      <c r="F124" s="17" t="s">
        <v>6</v>
      </c>
      <c r="G124" s="18" t="s">
        <v>7</v>
      </c>
      <c r="H124" s="1"/>
      <c r="I124" s="15" t="s">
        <v>1</v>
      </c>
      <c r="J124" s="16" t="s">
        <v>2</v>
      </c>
      <c r="K124" s="16" t="s">
        <v>3</v>
      </c>
      <c r="L124" s="16" t="s">
        <v>4</v>
      </c>
      <c r="M124" s="16" t="s">
        <v>5</v>
      </c>
      <c r="N124" s="17" t="s">
        <v>6</v>
      </c>
      <c r="O124" s="29" t="s">
        <v>7</v>
      </c>
    </row>
    <row r="125" spans="1:15" x14ac:dyDescent="0.2">
      <c r="A125" s="34" t="s">
        <v>129</v>
      </c>
      <c r="B125" s="59">
        <v>62</v>
      </c>
      <c r="C125" s="60">
        <f>B125*400</f>
        <v>24800</v>
      </c>
      <c r="D125" s="1">
        <v>2.5</v>
      </c>
      <c r="E125" s="60">
        <f>C125*D125</f>
        <v>62000</v>
      </c>
      <c r="F125" s="22">
        <f>AVERAGE(E125:E127)</f>
        <v>55333.333333333336</v>
      </c>
      <c r="G125" s="9">
        <f>_xlfn.STDEV.S(E125:E127)</f>
        <v>7637.6261582597126</v>
      </c>
      <c r="H125" s="1"/>
      <c r="I125" s="23" t="s">
        <v>129</v>
      </c>
      <c r="J125" s="61">
        <v>48</v>
      </c>
      <c r="K125" s="62">
        <f>J125*400</f>
        <v>19200</v>
      </c>
      <c r="L125" s="1">
        <v>2.5</v>
      </c>
      <c r="M125" s="62">
        <f>K125*L125</f>
        <v>48000</v>
      </c>
      <c r="N125" s="24">
        <f>AVERAGE(M125:M127)</f>
        <v>51333.333333333336</v>
      </c>
      <c r="O125" s="31">
        <f>_xlfn.STDEV.S(K125:K127)</f>
        <v>1222.0201853215574</v>
      </c>
    </row>
    <row r="126" spans="1:15" x14ac:dyDescent="0.2">
      <c r="A126" s="34" t="s">
        <v>129</v>
      </c>
      <c r="B126" s="59">
        <v>57</v>
      </c>
      <c r="C126" s="60">
        <f>B126*400</f>
        <v>22800</v>
      </c>
      <c r="D126" s="1">
        <v>2.5</v>
      </c>
      <c r="E126" s="60">
        <f>C126*D126</f>
        <v>57000</v>
      </c>
      <c r="F126" s="7"/>
      <c r="G126" s="10"/>
      <c r="H126" s="1"/>
      <c r="I126" s="23" t="s">
        <v>129</v>
      </c>
      <c r="J126" s="61">
        <v>54</v>
      </c>
      <c r="K126" s="62">
        <f>J126*400</f>
        <v>21600</v>
      </c>
      <c r="L126" s="1">
        <v>2.5</v>
      </c>
      <c r="M126" s="62">
        <f>K126*L126</f>
        <v>54000</v>
      </c>
      <c r="N126" s="7"/>
      <c r="O126" s="32"/>
    </row>
    <row r="127" spans="1:15" ht="16" thickBot="1" x14ac:dyDescent="0.25">
      <c r="A127" s="35" t="s">
        <v>129</v>
      </c>
      <c r="B127" s="65">
        <v>47</v>
      </c>
      <c r="C127" s="66">
        <f>B127*400</f>
        <v>18800</v>
      </c>
      <c r="D127" s="12">
        <v>2.5</v>
      </c>
      <c r="E127" s="66">
        <f>C127*D127</f>
        <v>47000</v>
      </c>
      <c r="F127" s="37"/>
      <c r="G127" s="38"/>
      <c r="H127" s="36"/>
      <c r="I127" s="39" t="s">
        <v>129</v>
      </c>
      <c r="J127" s="67">
        <v>52</v>
      </c>
      <c r="K127" s="68">
        <f>J127*400</f>
        <v>20800</v>
      </c>
      <c r="L127" s="12">
        <v>2.5</v>
      </c>
      <c r="M127" s="68">
        <f>K127*L127</f>
        <v>52000</v>
      </c>
      <c r="N127" s="37"/>
      <c r="O127" s="40"/>
    </row>
    <row r="128" spans="1:15" x14ac:dyDescent="0.2">
      <c r="A128" s="154" t="s">
        <v>130</v>
      </c>
      <c r="B128" s="154"/>
      <c r="C128" s="154"/>
      <c r="D128" s="154"/>
      <c r="E128" s="154"/>
      <c r="F128" s="154"/>
      <c r="G128" s="154"/>
      <c r="H128" s="154"/>
      <c r="I128" s="154"/>
      <c r="J128" s="154"/>
      <c r="K128" s="154"/>
      <c r="L128" s="154"/>
      <c r="M128" s="154"/>
      <c r="N128" s="154"/>
      <c r="O128" s="154"/>
    </row>
    <row r="129" spans="1:15" x14ac:dyDescent="0.2">
      <c r="A129" s="155"/>
      <c r="B129" s="155"/>
      <c r="C129" s="155"/>
      <c r="D129" s="155"/>
      <c r="E129" s="155"/>
      <c r="F129" s="155"/>
      <c r="G129" s="155"/>
      <c r="H129" s="155"/>
      <c r="I129" s="155"/>
      <c r="J129" s="155"/>
      <c r="K129" s="155"/>
      <c r="L129" s="155"/>
      <c r="M129" s="155"/>
      <c r="N129" s="155"/>
      <c r="O129" s="155"/>
    </row>
    <row r="130" spans="1:15" ht="16" thickBot="1" x14ac:dyDescent="0.25"/>
    <row r="131" spans="1:15" ht="19" x14ac:dyDescent="0.2">
      <c r="A131" s="132" t="s">
        <v>131</v>
      </c>
      <c r="B131" s="133"/>
      <c r="C131" s="133"/>
      <c r="D131" s="133"/>
      <c r="E131" s="133"/>
      <c r="F131" s="133"/>
      <c r="G131" s="133"/>
      <c r="H131" s="133"/>
      <c r="I131" s="133"/>
      <c r="J131" s="133"/>
      <c r="K131" s="133"/>
      <c r="L131" s="133"/>
      <c r="M131" s="133"/>
      <c r="N131" s="133"/>
      <c r="O131" s="134"/>
    </row>
    <row r="132" spans="1:15" ht="16" x14ac:dyDescent="0.2">
      <c r="A132" s="135" t="s">
        <v>11</v>
      </c>
      <c r="B132" s="136"/>
      <c r="C132" s="136"/>
      <c r="D132" s="136"/>
      <c r="E132" s="136"/>
      <c r="F132" s="136"/>
      <c r="G132" s="137"/>
      <c r="H132" s="1"/>
      <c r="I132" s="138" t="s">
        <v>12</v>
      </c>
      <c r="J132" s="139"/>
      <c r="K132" s="139"/>
      <c r="L132" s="139"/>
      <c r="M132" s="139"/>
      <c r="N132" s="139"/>
      <c r="O132" s="140"/>
    </row>
    <row r="133" spans="1:15" ht="32" x14ac:dyDescent="0.2">
      <c r="A133" s="28" t="s">
        <v>1</v>
      </c>
      <c r="B133" s="16" t="s">
        <v>2</v>
      </c>
      <c r="C133" s="16" t="s">
        <v>3</v>
      </c>
      <c r="D133" s="16" t="s">
        <v>4</v>
      </c>
      <c r="E133" s="16" t="s">
        <v>5</v>
      </c>
      <c r="F133" s="17" t="s">
        <v>6</v>
      </c>
      <c r="G133" s="18" t="s">
        <v>7</v>
      </c>
      <c r="H133" s="1"/>
      <c r="I133" s="15" t="s">
        <v>1</v>
      </c>
      <c r="J133" s="16" t="s">
        <v>2</v>
      </c>
      <c r="K133" s="16" t="s">
        <v>3</v>
      </c>
      <c r="L133" s="16" t="s">
        <v>4</v>
      </c>
      <c r="M133" s="16" t="s">
        <v>5</v>
      </c>
      <c r="N133" s="17" t="s">
        <v>6</v>
      </c>
      <c r="O133" s="29" t="s">
        <v>7</v>
      </c>
    </row>
    <row r="134" spans="1:15" x14ac:dyDescent="0.2">
      <c r="A134" s="30" t="s">
        <v>54</v>
      </c>
      <c r="B134" s="25">
        <v>48</v>
      </c>
      <c r="C134" s="48">
        <f>B134*400</f>
        <v>19200</v>
      </c>
      <c r="D134" s="1">
        <v>2.5</v>
      </c>
      <c r="E134" s="48">
        <f>C134*D134</f>
        <v>48000</v>
      </c>
      <c r="F134" s="8">
        <f>AVERAGE(E134:E136)</f>
        <v>52000</v>
      </c>
      <c r="G134" s="9">
        <f>_xlfn.STDEV.S(E134:E136)</f>
        <v>6082.7625302982196</v>
      </c>
      <c r="H134" s="1"/>
      <c r="I134" s="19" t="s">
        <v>54</v>
      </c>
      <c r="J134" s="26">
        <v>62</v>
      </c>
      <c r="K134" s="49">
        <f>J134*400</f>
        <v>24800</v>
      </c>
      <c r="L134" s="1">
        <v>2.5</v>
      </c>
      <c r="M134" s="49">
        <f>K134*L134</f>
        <v>62000</v>
      </c>
      <c r="N134" s="20">
        <f>AVERAGE(M134:M136)</f>
        <v>57666.666666666664</v>
      </c>
      <c r="O134" s="31">
        <f>_xlfn.STDEV.S(K134:K136)</f>
        <v>4460.194315647399</v>
      </c>
    </row>
    <row r="135" spans="1:15" x14ac:dyDescent="0.2">
      <c r="A135" s="30" t="s">
        <v>54</v>
      </c>
      <c r="B135" s="25">
        <v>59</v>
      </c>
      <c r="C135" s="48">
        <f>B135*400</f>
        <v>23600</v>
      </c>
      <c r="D135" s="1">
        <v>2.5</v>
      </c>
      <c r="E135" s="48">
        <f>C135*D135</f>
        <v>59000</v>
      </c>
      <c r="F135" s="7"/>
      <c r="G135" s="10"/>
      <c r="H135" s="1"/>
      <c r="I135" s="19" t="s">
        <v>54</v>
      </c>
      <c r="J135" s="26">
        <v>66</v>
      </c>
      <c r="K135" s="49">
        <f>J135*400</f>
        <v>26400</v>
      </c>
      <c r="L135" s="1">
        <v>2.5</v>
      </c>
      <c r="M135" s="49">
        <f>K135*L135</f>
        <v>66000</v>
      </c>
      <c r="N135" s="7"/>
      <c r="O135" s="32"/>
    </row>
    <row r="136" spans="1:15" x14ac:dyDescent="0.2">
      <c r="A136" s="63" t="s">
        <v>54</v>
      </c>
      <c r="B136" s="25">
        <v>49</v>
      </c>
      <c r="C136" s="48">
        <f>B136*400</f>
        <v>19600</v>
      </c>
      <c r="D136" s="12">
        <v>2.5</v>
      </c>
      <c r="E136" s="48">
        <f>C136*D136</f>
        <v>49000</v>
      </c>
      <c r="F136" s="7"/>
      <c r="G136" s="10"/>
      <c r="H136" s="12"/>
      <c r="I136" s="21" t="s">
        <v>54</v>
      </c>
      <c r="J136" s="50">
        <v>45</v>
      </c>
      <c r="K136" s="51">
        <f>J136*400</f>
        <v>18000</v>
      </c>
      <c r="L136" s="12">
        <v>2.5</v>
      </c>
      <c r="M136" s="51">
        <f>K136*L136</f>
        <v>45000</v>
      </c>
      <c r="N136" s="13"/>
      <c r="O136" s="33"/>
    </row>
    <row r="137" spans="1:15" ht="16" x14ac:dyDescent="0.2">
      <c r="A137" s="116" t="s">
        <v>26</v>
      </c>
      <c r="B137" s="117"/>
      <c r="C137" s="117"/>
      <c r="D137" s="117"/>
      <c r="E137" s="117"/>
      <c r="F137" s="117"/>
      <c r="G137" s="118"/>
      <c r="H137" s="1"/>
      <c r="I137" s="119" t="s">
        <v>22</v>
      </c>
      <c r="J137" s="120"/>
      <c r="K137" s="120"/>
      <c r="L137" s="120"/>
      <c r="M137" s="120"/>
      <c r="N137" s="120"/>
      <c r="O137" s="121"/>
    </row>
    <row r="138" spans="1:15" ht="32" x14ac:dyDescent="0.2">
      <c r="A138" s="28" t="s">
        <v>1</v>
      </c>
      <c r="B138" s="16" t="s">
        <v>2</v>
      </c>
      <c r="C138" s="16" t="s">
        <v>3</v>
      </c>
      <c r="D138" s="16" t="s">
        <v>4</v>
      </c>
      <c r="E138" s="16" t="s">
        <v>5</v>
      </c>
      <c r="F138" s="17" t="s">
        <v>6</v>
      </c>
      <c r="G138" s="18" t="s">
        <v>7</v>
      </c>
      <c r="H138" s="1"/>
      <c r="I138" s="15" t="s">
        <v>1</v>
      </c>
      <c r="J138" s="16" t="s">
        <v>2</v>
      </c>
      <c r="K138" s="16" t="s">
        <v>3</v>
      </c>
      <c r="L138" s="16" t="s">
        <v>4</v>
      </c>
      <c r="M138" s="16" t="s">
        <v>5</v>
      </c>
      <c r="N138" s="17" t="s">
        <v>6</v>
      </c>
      <c r="O138" s="29" t="s">
        <v>7</v>
      </c>
    </row>
    <row r="139" spans="1:15" x14ac:dyDescent="0.2">
      <c r="A139" s="52" t="s">
        <v>54</v>
      </c>
      <c r="B139" s="53">
        <v>65</v>
      </c>
      <c r="C139" s="54">
        <f>B139*400</f>
        <v>26000</v>
      </c>
      <c r="D139" s="1">
        <v>2.5</v>
      </c>
      <c r="E139" s="54">
        <f>C139*D139</f>
        <v>65000</v>
      </c>
      <c r="F139" s="58">
        <f>AVERAGE(E139:E141)</f>
        <v>58333.333333333336</v>
      </c>
      <c r="G139" s="9">
        <f>_xlfn.STDEV.S(E139:E141)</f>
        <v>9865.7657246324779</v>
      </c>
      <c r="H139" s="1"/>
      <c r="I139" s="41" t="s">
        <v>132</v>
      </c>
      <c r="J139" s="43">
        <v>55</v>
      </c>
      <c r="K139" s="46">
        <f>J139*400</f>
        <v>22000</v>
      </c>
      <c r="L139" s="1">
        <v>2.5</v>
      </c>
      <c r="M139" s="46">
        <f>K139*L139</f>
        <v>55000</v>
      </c>
      <c r="N139" s="45">
        <f>AVERAGE(M139:M141)</f>
        <v>53000</v>
      </c>
      <c r="O139" s="31">
        <f>_xlfn.STDEV.S(K139:K141)</f>
        <v>4454.2114902640178</v>
      </c>
    </row>
    <row r="140" spans="1:15" x14ac:dyDescent="0.2">
      <c r="A140" s="52" t="s">
        <v>54</v>
      </c>
      <c r="B140" s="53">
        <v>63</v>
      </c>
      <c r="C140" s="54">
        <f>B140*400</f>
        <v>25200</v>
      </c>
      <c r="D140" s="1">
        <v>2.5</v>
      </c>
      <c r="E140" s="54">
        <f>C140*D140</f>
        <v>63000</v>
      </c>
      <c r="F140" s="54"/>
      <c r="G140" s="10"/>
      <c r="H140" s="1"/>
      <c r="I140" s="41" t="s">
        <v>54</v>
      </c>
      <c r="J140" s="43">
        <v>41</v>
      </c>
      <c r="K140" s="46">
        <f>J140*400</f>
        <v>16400</v>
      </c>
      <c r="L140" s="1">
        <v>2.5</v>
      </c>
      <c r="M140" s="46">
        <f>K140*L140</f>
        <v>41000</v>
      </c>
      <c r="N140" s="7"/>
      <c r="O140" s="32"/>
    </row>
    <row r="141" spans="1:15" x14ac:dyDescent="0.2">
      <c r="A141" s="64" t="s">
        <v>54</v>
      </c>
      <c r="B141" s="70">
        <v>47</v>
      </c>
      <c r="C141" s="71">
        <f>B141*400</f>
        <v>18800</v>
      </c>
      <c r="D141" s="12">
        <v>2.5</v>
      </c>
      <c r="E141" s="71">
        <f>C141*D141</f>
        <v>47000</v>
      </c>
      <c r="F141" s="71"/>
      <c r="G141" s="14"/>
      <c r="H141" s="69"/>
      <c r="I141" s="74" t="s">
        <v>54</v>
      </c>
      <c r="J141" s="72">
        <v>63</v>
      </c>
      <c r="K141" s="73">
        <f>J141*400</f>
        <v>25200</v>
      </c>
      <c r="L141" s="12">
        <v>2.5</v>
      </c>
      <c r="M141" s="73">
        <f>K141*L141</f>
        <v>63000</v>
      </c>
      <c r="N141" s="13"/>
      <c r="O141" s="33"/>
    </row>
    <row r="142" spans="1:15" ht="16" x14ac:dyDescent="0.2">
      <c r="A142" s="122" t="s">
        <v>127</v>
      </c>
      <c r="B142" s="126"/>
      <c r="C142" s="126"/>
      <c r="D142" s="126"/>
      <c r="E142" s="126"/>
      <c r="F142" s="126"/>
      <c r="G142" s="152"/>
      <c r="H142" s="1"/>
      <c r="I142" s="125" t="s">
        <v>128</v>
      </c>
      <c r="J142" s="126"/>
      <c r="K142" s="126"/>
      <c r="L142" s="126"/>
      <c r="M142" s="126"/>
      <c r="N142" s="126"/>
      <c r="O142" s="127"/>
    </row>
    <row r="143" spans="1:15" ht="32" x14ac:dyDescent="0.2">
      <c r="A143" s="28" t="s">
        <v>1</v>
      </c>
      <c r="B143" s="16" t="s">
        <v>2</v>
      </c>
      <c r="C143" s="16" t="s">
        <v>3</v>
      </c>
      <c r="D143" s="16" t="s">
        <v>4</v>
      </c>
      <c r="E143" s="16" t="s">
        <v>5</v>
      </c>
      <c r="F143" s="17" t="s">
        <v>6</v>
      </c>
      <c r="G143" s="18" t="s">
        <v>7</v>
      </c>
      <c r="H143" s="1"/>
      <c r="I143" s="15" t="s">
        <v>1</v>
      </c>
      <c r="J143" s="16" t="s">
        <v>2</v>
      </c>
      <c r="K143" s="16" t="s">
        <v>3</v>
      </c>
      <c r="L143" s="16" t="s">
        <v>4</v>
      </c>
      <c r="M143" s="16" t="s">
        <v>5</v>
      </c>
      <c r="N143" s="17" t="s">
        <v>6</v>
      </c>
      <c r="O143" s="29" t="s">
        <v>7</v>
      </c>
    </row>
    <row r="144" spans="1:15" x14ac:dyDescent="0.2">
      <c r="A144" s="34" t="s">
        <v>54</v>
      </c>
      <c r="B144" s="59">
        <v>62</v>
      </c>
      <c r="C144" s="60">
        <f>B144*400</f>
        <v>24800</v>
      </c>
      <c r="D144" s="1">
        <v>2.5</v>
      </c>
      <c r="E144" s="60">
        <f>C144*D144</f>
        <v>62000</v>
      </c>
      <c r="F144" s="22">
        <f>AVERAGE(E144:E146)</f>
        <v>55333.333333333336</v>
      </c>
      <c r="G144" s="9">
        <f>_xlfn.STDEV.S(E144:E146)</f>
        <v>7637.6261582597126</v>
      </c>
      <c r="H144" s="1"/>
      <c r="I144" s="23" t="s">
        <v>54</v>
      </c>
      <c r="J144" s="61">
        <v>48</v>
      </c>
      <c r="K144" s="62">
        <f>J144*400</f>
        <v>19200</v>
      </c>
      <c r="L144" s="1">
        <v>2.5</v>
      </c>
      <c r="M144" s="62">
        <f>K144*L144</f>
        <v>48000</v>
      </c>
      <c r="N144" s="24">
        <f>AVERAGE(M144:M146)</f>
        <v>51333.333333333336</v>
      </c>
      <c r="O144" s="31">
        <f>_xlfn.STDEV.S(K144:K146)</f>
        <v>1222.0201853215574</v>
      </c>
    </row>
    <row r="145" spans="1:15" x14ac:dyDescent="0.2">
      <c r="A145" s="34" t="s">
        <v>54</v>
      </c>
      <c r="B145" s="59">
        <v>57</v>
      </c>
      <c r="C145" s="60">
        <f>B145*400</f>
        <v>22800</v>
      </c>
      <c r="D145" s="1">
        <v>2.5</v>
      </c>
      <c r="E145" s="60">
        <f>C145*D145</f>
        <v>57000</v>
      </c>
      <c r="F145" s="7"/>
      <c r="G145" s="10"/>
      <c r="H145" s="1"/>
      <c r="I145" s="23" t="s">
        <v>54</v>
      </c>
      <c r="J145" s="61">
        <v>54</v>
      </c>
      <c r="K145" s="62">
        <f>J145*400</f>
        <v>21600</v>
      </c>
      <c r="L145" s="1">
        <v>2.5</v>
      </c>
      <c r="M145" s="62">
        <f>K145*L145</f>
        <v>54000</v>
      </c>
      <c r="N145" s="7"/>
      <c r="O145" s="32"/>
    </row>
    <row r="146" spans="1:15" ht="16" thickBot="1" x14ac:dyDescent="0.25">
      <c r="A146" s="35" t="s">
        <v>54</v>
      </c>
      <c r="B146" s="65">
        <v>47</v>
      </c>
      <c r="C146" s="66">
        <f>B146*400</f>
        <v>18800</v>
      </c>
      <c r="D146" s="36">
        <v>2.5</v>
      </c>
      <c r="E146" s="66">
        <f>C146*D146</f>
        <v>47000</v>
      </c>
      <c r="F146" s="37"/>
      <c r="G146" s="38"/>
      <c r="H146" s="36"/>
      <c r="I146" s="39" t="s">
        <v>54</v>
      </c>
      <c r="J146" s="67">
        <v>52</v>
      </c>
      <c r="K146" s="68">
        <f>J146*400</f>
        <v>20800</v>
      </c>
      <c r="L146" s="36">
        <v>2.5</v>
      </c>
      <c r="M146" s="68">
        <f>K146*L146</f>
        <v>52000</v>
      </c>
      <c r="N146" s="37"/>
      <c r="O146" s="40"/>
    </row>
  </sheetData>
  <mergeCells count="61">
    <mergeCell ref="A137:G137"/>
    <mergeCell ref="I137:O137"/>
    <mergeCell ref="A142:G142"/>
    <mergeCell ref="I142:O142"/>
    <mergeCell ref="I123:O123"/>
    <mergeCell ref="A128:O129"/>
    <mergeCell ref="A131:O131"/>
    <mergeCell ref="A132:G132"/>
    <mergeCell ref="I132:O132"/>
    <mergeCell ref="A123:G123"/>
    <mergeCell ref="A112:O112"/>
    <mergeCell ref="A113:G113"/>
    <mergeCell ref="I113:O113"/>
    <mergeCell ref="A118:G118"/>
    <mergeCell ref="I118:O118"/>
    <mergeCell ref="A106:G106"/>
    <mergeCell ref="I106:O106"/>
    <mergeCell ref="A95:O95"/>
    <mergeCell ref="A96:G96"/>
    <mergeCell ref="I96:O96"/>
    <mergeCell ref="A101:G101"/>
    <mergeCell ref="I101:O101"/>
    <mergeCell ref="A82:G82"/>
    <mergeCell ref="I82:O82"/>
    <mergeCell ref="A87:G87"/>
    <mergeCell ref="I87:O87"/>
    <mergeCell ref="A92:O94"/>
    <mergeCell ref="A70:G70"/>
    <mergeCell ref="I70:O70"/>
    <mergeCell ref="A76:O76"/>
    <mergeCell ref="A77:G77"/>
    <mergeCell ref="I77:O77"/>
    <mergeCell ref="A59:O59"/>
    <mergeCell ref="A60:G60"/>
    <mergeCell ref="I60:O60"/>
    <mergeCell ref="A65:G65"/>
    <mergeCell ref="I65:O65"/>
    <mergeCell ref="A1:G1"/>
    <mergeCell ref="A2:G2"/>
    <mergeCell ref="A8:O8"/>
    <mergeCell ref="A9:G9"/>
    <mergeCell ref="I9:O9"/>
    <mergeCell ref="A14:G14"/>
    <mergeCell ref="I14:O14"/>
    <mergeCell ref="A33:G33"/>
    <mergeCell ref="I33:O33"/>
    <mergeCell ref="A28:G28"/>
    <mergeCell ref="I28:O28"/>
    <mergeCell ref="A38:O38"/>
    <mergeCell ref="A19:O21"/>
    <mergeCell ref="A22:O22"/>
    <mergeCell ref="A23:G23"/>
    <mergeCell ref="I23:O23"/>
    <mergeCell ref="A56:O58"/>
    <mergeCell ref="A40:O40"/>
    <mergeCell ref="A41:G41"/>
    <mergeCell ref="I41:O41"/>
    <mergeCell ref="A46:G46"/>
    <mergeCell ref="I46:O46"/>
    <mergeCell ref="A51:G51"/>
    <mergeCell ref="I51:O51"/>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7"/>
  <sheetViews>
    <sheetView tabSelected="1" topLeftCell="A310" zoomScale="76" zoomScaleNormal="76" workbookViewId="0">
      <selection activeCell="A161" sqref="A161"/>
    </sheetView>
  </sheetViews>
  <sheetFormatPr baseColWidth="10" defaultRowHeight="15" x14ac:dyDescent="0.2"/>
  <cols>
    <col min="1" max="1" width="106" style="1" customWidth="1"/>
    <col min="2" max="2" width="113.83203125" style="1" customWidth="1"/>
    <col min="3" max="3" width="9.1640625" style="1" customWidth="1"/>
    <col min="4" max="4" width="67.1640625" style="1" customWidth="1"/>
    <col min="5" max="5" width="80.6640625" style="1" customWidth="1"/>
    <col min="6" max="256" width="8.83203125" style="1" customWidth="1"/>
    <col min="257" max="16384" width="10.83203125" style="1"/>
  </cols>
  <sheetData>
    <row r="1" spans="1:21" ht="21" x14ac:dyDescent="0.25">
      <c r="A1" s="77" t="s">
        <v>45</v>
      </c>
      <c r="B1" s="78"/>
    </row>
    <row r="2" spans="1:21" ht="21" x14ac:dyDescent="0.25">
      <c r="A2" s="79" t="s">
        <v>1</v>
      </c>
      <c r="B2" s="80"/>
    </row>
    <row r="3" spans="1:21" ht="21" x14ac:dyDescent="0.25">
      <c r="A3" s="79" t="s">
        <v>8</v>
      </c>
      <c r="B3" s="81">
        <f>Sheet1!E4</f>
        <v>74000</v>
      </c>
    </row>
    <row r="4" spans="1:21" ht="21" x14ac:dyDescent="0.25">
      <c r="A4" s="79" t="s">
        <v>9</v>
      </c>
      <c r="B4" s="81">
        <f>Sheet1!E5</f>
        <v>63000</v>
      </c>
    </row>
    <row r="5" spans="1:21" ht="21" x14ac:dyDescent="0.25">
      <c r="A5" s="79" t="s">
        <v>10</v>
      </c>
      <c r="B5" s="81">
        <f>Sheet1!E6</f>
        <v>71000</v>
      </c>
    </row>
    <row r="6" spans="1:21" ht="22" thickBot="1" x14ac:dyDescent="0.3">
      <c r="A6" s="82"/>
      <c r="B6" s="83">
        <f>AVERAGE(B3:B5)</f>
        <v>69333.333333333328</v>
      </c>
    </row>
    <row r="7" spans="1:21" ht="22" thickBot="1" x14ac:dyDescent="0.3">
      <c r="A7" s="84"/>
      <c r="B7" s="84"/>
      <c r="C7" s="84"/>
      <c r="F7" s="84"/>
      <c r="G7" s="84"/>
      <c r="H7" s="84"/>
      <c r="I7" s="84"/>
      <c r="J7" s="84"/>
      <c r="K7" s="84"/>
      <c r="L7" s="84"/>
      <c r="M7" s="84"/>
      <c r="N7" s="84"/>
      <c r="O7" s="84"/>
      <c r="P7" s="84"/>
      <c r="Q7" s="84"/>
      <c r="R7" s="84"/>
      <c r="S7" s="84"/>
      <c r="T7" s="84"/>
      <c r="U7" s="84"/>
    </row>
    <row r="8" spans="1:21" ht="21" x14ac:dyDescent="0.25">
      <c r="A8" s="77" t="s">
        <v>46</v>
      </c>
      <c r="B8" s="85"/>
      <c r="C8" s="84"/>
      <c r="D8" s="84" t="s">
        <v>46</v>
      </c>
      <c r="E8" s="84"/>
      <c r="F8" s="84"/>
      <c r="G8" s="84"/>
      <c r="H8" s="84"/>
      <c r="I8" s="84"/>
      <c r="J8" s="84"/>
      <c r="K8" s="84"/>
      <c r="L8" s="84"/>
      <c r="M8" s="84"/>
      <c r="N8" s="84"/>
      <c r="O8" s="84"/>
      <c r="P8" s="84"/>
      <c r="Q8" s="84"/>
      <c r="R8" s="84"/>
      <c r="S8" s="84"/>
      <c r="T8" s="84"/>
      <c r="U8" s="84"/>
    </row>
    <row r="9" spans="1:21" ht="21" x14ac:dyDescent="0.25">
      <c r="A9" s="79" t="s">
        <v>87</v>
      </c>
      <c r="B9" s="81" t="s">
        <v>12</v>
      </c>
      <c r="C9" s="84"/>
      <c r="D9" s="84" t="s">
        <v>93</v>
      </c>
      <c r="E9" s="84" t="s">
        <v>88</v>
      </c>
      <c r="F9" s="84"/>
      <c r="G9" s="84"/>
      <c r="H9" s="84"/>
      <c r="I9" s="84"/>
      <c r="J9" s="84"/>
      <c r="K9" s="84"/>
      <c r="L9" s="84"/>
      <c r="M9" s="84"/>
      <c r="N9" s="84"/>
      <c r="O9" s="84"/>
      <c r="P9" s="84"/>
      <c r="Q9" s="84"/>
      <c r="R9" s="84"/>
      <c r="S9" s="84"/>
      <c r="T9" s="84"/>
      <c r="U9" s="84"/>
    </row>
    <row r="10" spans="1:21" ht="21" x14ac:dyDescent="0.25">
      <c r="A10" s="79">
        <f>Sheet1!E11</f>
        <v>35000</v>
      </c>
      <c r="B10" s="81">
        <f>Sheet1!M11</f>
        <v>878000</v>
      </c>
      <c r="C10" s="84"/>
      <c r="D10" s="84">
        <f>A10/B6</f>
        <v>0.50480769230769229</v>
      </c>
      <c r="E10" s="84">
        <f>B10/B6</f>
        <v>12.66346153846154</v>
      </c>
      <c r="F10" s="84"/>
      <c r="G10" s="84"/>
      <c r="H10" s="84"/>
      <c r="I10" s="84"/>
      <c r="J10" s="84"/>
      <c r="K10" s="84"/>
      <c r="L10" s="84"/>
      <c r="M10" s="84"/>
      <c r="N10" s="84"/>
      <c r="O10" s="84"/>
      <c r="P10" s="84"/>
      <c r="Q10" s="84"/>
      <c r="R10" s="84"/>
      <c r="S10" s="84"/>
      <c r="T10" s="84"/>
      <c r="U10" s="84"/>
    </row>
    <row r="11" spans="1:21" ht="21" x14ac:dyDescent="0.25">
      <c r="A11" s="79">
        <f>Sheet1!E12</f>
        <v>27000</v>
      </c>
      <c r="B11" s="81">
        <f>Sheet1!M12</f>
        <v>897000</v>
      </c>
      <c r="C11" s="84"/>
      <c r="D11" s="84">
        <f>A11/B6</f>
        <v>0.38942307692307693</v>
      </c>
      <c r="E11" s="84">
        <f>B11/B6</f>
        <v>12.937500000000002</v>
      </c>
      <c r="F11" s="84"/>
      <c r="G11" s="84"/>
      <c r="H11" s="84"/>
      <c r="I11" s="84"/>
      <c r="J11" s="84"/>
      <c r="K11" s="84"/>
      <c r="L11" s="84"/>
      <c r="M11" s="84"/>
      <c r="N11" s="84"/>
      <c r="O11" s="84"/>
      <c r="P11" s="84"/>
      <c r="Q11" s="84"/>
      <c r="R11" s="84"/>
      <c r="S11" s="84"/>
      <c r="T11" s="84"/>
      <c r="U11" s="84"/>
    </row>
    <row r="12" spans="1:21" ht="21" x14ac:dyDescent="0.25">
      <c r="A12" s="79">
        <f>Sheet1!E13</f>
        <v>31000</v>
      </c>
      <c r="B12" s="81">
        <f>Sheet1!M13</f>
        <v>914000</v>
      </c>
      <c r="C12" s="84"/>
      <c r="D12" s="84">
        <f>A12/B6</f>
        <v>0.44711538461538464</v>
      </c>
      <c r="E12" s="84">
        <f>B12/B6</f>
        <v>13.182692307692308</v>
      </c>
      <c r="F12" s="84"/>
      <c r="G12" s="84"/>
      <c r="H12" s="84"/>
      <c r="I12" s="84"/>
      <c r="J12" s="84"/>
      <c r="K12" s="84"/>
      <c r="L12" s="84"/>
      <c r="M12" s="84"/>
      <c r="N12" s="84"/>
      <c r="O12" s="84"/>
      <c r="P12" s="84"/>
      <c r="Q12" s="84"/>
      <c r="R12" s="84"/>
      <c r="S12" s="84"/>
      <c r="T12" s="84"/>
      <c r="U12" s="84"/>
    </row>
    <row r="13" spans="1:21" ht="21" x14ac:dyDescent="0.25">
      <c r="A13" s="79"/>
      <c r="B13" s="81"/>
      <c r="C13" s="84"/>
      <c r="D13" s="86">
        <f>AVERAGE(D10:D12)</f>
        <v>0.44711538461538458</v>
      </c>
      <c r="E13" s="86">
        <f>AVERAGE(E10:E12)</f>
        <v>12.927884615384615</v>
      </c>
      <c r="F13" s="84"/>
      <c r="G13" s="84"/>
      <c r="H13" s="84"/>
      <c r="I13" s="84"/>
      <c r="J13" s="84"/>
      <c r="K13" s="84"/>
      <c r="L13" s="84"/>
      <c r="M13" s="84"/>
      <c r="N13" s="84"/>
      <c r="O13" s="84"/>
      <c r="P13" s="84"/>
      <c r="Q13" s="84"/>
      <c r="R13" s="84"/>
      <c r="S13" s="84"/>
      <c r="T13" s="84"/>
      <c r="U13" s="84"/>
    </row>
    <row r="14" spans="1:21" ht="21" customHeight="1" x14ac:dyDescent="0.25">
      <c r="A14" s="79" t="s">
        <v>26</v>
      </c>
      <c r="B14" s="81" t="s">
        <v>22</v>
      </c>
      <c r="C14" s="84"/>
      <c r="D14" s="84" t="s">
        <v>26</v>
      </c>
      <c r="E14" s="84" t="s">
        <v>22</v>
      </c>
      <c r="F14" s="84"/>
      <c r="G14" s="84"/>
      <c r="H14" s="84"/>
      <c r="I14" s="84"/>
      <c r="J14" s="84"/>
      <c r="K14" s="84"/>
      <c r="L14" s="84"/>
      <c r="M14" s="84"/>
      <c r="N14" s="84"/>
      <c r="O14" s="84"/>
      <c r="P14" s="84"/>
      <c r="Q14" s="84"/>
      <c r="R14" s="84"/>
      <c r="S14" s="84"/>
      <c r="T14" s="84"/>
      <c r="U14" s="84"/>
    </row>
    <row r="15" spans="1:21" ht="21" x14ac:dyDescent="0.25">
      <c r="A15" s="79">
        <f>Sheet1!E16</f>
        <v>4359000</v>
      </c>
      <c r="B15" s="81">
        <f>Sheet1!M16</f>
        <v>28000</v>
      </c>
      <c r="C15" s="84"/>
      <c r="D15" s="84">
        <f>A15/B6</f>
        <v>62.870192307692314</v>
      </c>
      <c r="E15" s="84">
        <f>B15/B6</f>
        <v>0.40384615384615385</v>
      </c>
      <c r="F15" s="84"/>
      <c r="G15" s="84"/>
      <c r="H15" s="84"/>
      <c r="I15" s="84"/>
      <c r="J15" s="84"/>
      <c r="K15" s="84"/>
      <c r="L15" s="84"/>
      <c r="M15" s="84"/>
      <c r="N15" s="84"/>
      <c r="O15" s="84"/>
      <c r="P15" s="84"/>
      <c r="Q15" s="84"/>
      <c r="R15" s="84"/>
      <c r="S15" s="84"/>
      <c r="T15" s="84"/>
      <c r="U15" s="84"/>
    </row>
    <row r="16" spans="1:21" ht="21" x14ac:dyDescent="0.25">
      <c r="A16" s="79">
        <f>Sheet1!E17</f>
        <v>4849000</v>
      </c>
      <c r="B16" s="81">
        <f>Sheet1!M17</f>
        <v>46000</v>
      </c>
      <c r="C16" s="84"/>
      <c r="D16" s="84">
        <f>A16/B6</f>
        <v>69.9375</v>
      </c>
      <c r="E16" s="84">
        <f>B16/B6</f>
        <v>0.66346153846153855</v>
      </c>
      <c r="F16" s="84"/>
      <c r="G16" s="84"/>
      <c r="H16" s="84"/>
      <c r="I16" s="84"/>
      <c r="J16" s="84"/>
      <c r="K16" s="84"/>
      <c r="L16" s="84"/>
      <c r="M16" s="84"/>
      <c r="N16" s="84"/>
      <c r="O16" s="84"/>
      <c r="P16" s="84"/>
      <c r="Q16" s="84"/>
      <c r="R16" s="84"/>
      <c r="S16" s="84"/>
      <c r="T16" s="84"/>
      <c r="U16" s="84"/>
    </row>
    <row r="17" spans="1:21" ht="21" x14ac:dyDescent="0.25">
      <c r="A17" s="84">
        <f>Sheet1!E18</f>
        <v>4777000</v>
      </c>
      <c r="B17" s="81">
        <f>Sheet1!M18</f>
        <v>32000</v>
      </c>
      <c r="C17" s="84"/>
      <c r="D17" s="84">
        <f>A17/B6</f>
        <v>68.899038461538467</v>
      </c>
      <c r="E17" s="84">
        <f>B17/B6</f>
        <v>0.46153846153846156</v>
      </c>
      <c r="F17" s="84"/>
      <c r="G17" s="84"/>
      <c r="H17" s="84"/>
      <c r="I17" s="84"/>
      <c r="J17" s="84"/>
      <c r="K17" s="84"/>
      <c r="L17" s="84"/>
      <c r="M17" s="84"/>
      <c r="N17" s="84"/>
      <c r="O17" s="84"/>
      <c r="P17" s="84"/>
      <c r="Q17" s="84"/>
      <c r="R17" s="84"/>
      <c r="S17" s="84"/>
      <c r="T17" s="84"/>
      <c r="U17" s="84"/>
    </row>
    <row r="18" spans="1:21" ht="21" x14ac:dyDescent="0.25">
      <c r="B18" s="81"/>
      <c r="C18"/>
      <c r="D18" s="86">
        <f>AVERAGE(D15:D17)</f>
        <v>67.23557692307692</v>
      </c>
      <c r="E18" s="86">
        <f>AVERAGE(E15:E17)</f>
        <v>0.50961538461538469</v>
      </c>
      <c r="F18"/>
      <c r="G18" s="84"/>
      <c r="H18" s="84"/>
      <c r="I18" s="84"/>
      <c r="J18" s="84"/>
      <c r="K18" s="84"/>
      <c r="L18" s="84"/>
      <c r="M18" s="84"/>
      <c r="N18" s="84"/>
      <c r="O18" s="84"/>
      <c r="P18" s="84"/>
      <c r="Q18" s="84"/>
      <c r="R18" s="84"/>
      <c r="S18" s="84"/>
      <c r="T18" s="84"/>
      <c r="U18" s="84"/>
    </row>
    <row r="19" spans="1:21" ht="21" x14ac:dyDescent="0.25">
      <c r="A19" s="79" t="s">
        <v>89</v>
      </c>
      <c r="B19" s="81" t="s">
        <v>90</v>
      </c>
      <c r="C19"/>
      <c r="D19" s="84" t="s">
        <v>89</v>
      </c>
      <c r="E19" s="84" t="s">
        <v>90</v>
      </c>
      <c r="F19"/>
      <c r="G19"/>
      <c r="H19"/>
      <c r="I19" s="84"/>
      <c r="J19" s="84"/>
      <c r="K19" s="84"/>
      <c r="L19" s="84"/>
      <c r="M19" s="84"/>
      <c r="N19" s="84"/>
      <c r="O19" s="84"/>
      <c r="P19" s="84"/>
      <c r="Q19" s="84"/>
      <c r="R19" s="84"/>
      <c r="S19" s="84"/>
      <c r="T19" s="84"/>
      <c r="U19" s="84"/>
    </row>
    <row r="20" spans="1:21" ht="21" x14ac:dyDescent="0.25">
      <c r="A20" s="84">
        <f>A10</f>
        <v>35000</v>
      </c>
      <c r="B20" s="81">
        <f>A10</f>
        <v>35000</v>
      </c>
      <c r="C20" s="84"/>
      <c r="D20" s="84">
        <f>A20/B6</f>
        <v>0.50480769230769229</v>
      </c>
      <c r="E20" s="84">
        <f>B20/B6</f>
        <v>0.50480769230769229</v>
      </c>
      <c r="F20" s="84"/>
      <c r="G20" s="84"/>
      <c r="H20" s="84"/>
      <c r="I20" s="84"/>
      <c r="J20" s="84"/>
      <c r="K20" s="84"/>
      <c r="L20" s="84"/>
      <c r="M20" s="84"/>
      <c r="N20" s="84"/>
      <c r="O20" s="84"/>
      <c r="P20" s="84"/>
      <c r="Q20" s="84"/>
      <c r="R20" s="84"/>
      <c r="S20" s="84"/>
      <c r="T20" s="84"/>
      <c r="U20" s="84"/>
    </row>
    <row r="21" spans="1:21" ht="21" x14ac:dyDescent="0.25">
      <c r="A21" s="84">
        <f>A11</f>
        <v>27000</v>
      </c>
      <c r="B21" s="81">
        <f>A11</f>
        <v>27000</v>
      </c>
      <c r="C21" s="84"/>
      <c r="D21" s="84">
        <f>A21/B6</f>
        <v>0.38942307692307693</v>
      </c>
      <c r="E21" s="84">
        <f>B21/B6</f>
        <v>0.38942307692307693</v>
      </c>
      <c r="F21" s="84"/>
      <c r="G21" s="84"/>
      <c r="H21" s="84"/>
      <c r="I21" s="84"/>
      <c r="J21" s="84"/>
      <c r="K21" s="84"/>
      <c r="L21" s="84"/>
      <c r="M21" s="84"/>
      <c r="N21" s="84"/>
      <c r="O21" s="84"/>
      <c r="P21" s="84"/>
      <c r="Q21" s="84"/>
      <c r="R21" s="84"/>
      <c r="S21" s="84"/>
      <c r="T21" s="84"/>
      <c r="U21" s="84"/>
    </row>
    <row r="22" spans="1:21" ht="22" thickBot="1" x14ac:dyDescent="0.3">
      <c r="A22" s="98">
        <f>A12</f>
        <v>31000</v>
      </c>
      <c r="B22" s="83">
        <f>A12</f>
        <v>31000</v>
      </c>
      <c r="C22" s="84"/>
      <c r="D22" s="84">
        <f>A22/B6</f>
        <v>0.44711538461538464</v>
      </c>
      <c r="E22" s="84">
        <f>B22/B6</f>
        <v>0.44711538461538464</v>
      </c>
      <c r="F22" s="84"/>
      <c r="G22" s="84"/>
      <c r="H22" s="84"/>
      <c r="I22" s="84"/>
      <c r="J22" s="84"/>
      <c r="K22" s="84"/>
      <c r="L22" s="84"/>
      <c r="M22" s="84"/>
      <c r="N22" s="84"/>
      <c r="O22" s="84"/>
      <c r="P22" s="84"/>
      <c r="Q22" s="84"/>
      <c r="R22" s="84"/>
      <c r="S22" s="84"/>
      <c r="T22" s="84"/>
      <c r="U22" s="84"/>
    </row>
    <row r="23" spans="1:21" ht="21" x14ac:dyDescent="0.25">
      <c r="A23" s="84"/>
      <c r="B23" s="99"/>
      <c r="C23" s="84"/>
      <c r="D23" s="86"/>
      <c r="E23" s="86"/>
      <c r="F23" s="84"/>
      <c r="G23" s="84"/>
      <c r="H23" s="84"/>
      <c r="I23" s="84"/>
      <c r="J23" s="84"/>
      <c r="K23" s="84"/>
      <c r="L23" s="84"/>
      <c r="M23" s="84"/>
      <c r="N23" s="84"/>
      <c r="O23" s="84"/>
      <c r="P23" s="84"/>
      <c r="Q23" s="84"/>
      <c r="R23" s="84"/>
      <c r="S23" s="84"/>
      <c r="T23" s="84"/>
      <c r="U23" s="84"/>
    </row>
    <row r="24" spans="1:21" ht="21" x14ac:dyDescent="0.25">
      <c r="A24" s="84"/>
      <c r="B24" s="84"/>
      <c r="C24" s="84"/>
      <c r="D24" s="86"/>
      <c r="E24" s="86"/>
      <c r="F24" s="84"/>
      <c r="G24" s="84"/>
      <c r="H24" s="84"/>
      <c r="I24" s="84"/>
      <c r="J24" s="84"/>
      <c r="K24" s="84"/>
      <c r="L24" s="84"/>
      <c r="M24" s="84"/>
      <c r="N24" s="84"/>
      <c r="O24" s="84"/>
      <c r="P24" s="84"/>
      <c r="Q24" s="84"/>
      <c r="R24" s="84"/>
      <c r="S24" s="84"/>
      <c r="T24" s="84"/>
      <c r="U24" s="84"/>
    </row>
    <row r="25" spans="1:21" ht="22" thickBot="1" x14ac:dyDescent="0.3">
      <c r="A25" s="84"/>
      <c r="B25" s="84"/>
      <c r="C25" s="84"/>
      <c r="D25" s="86"/>
      <c r="E25" s="86"/>
      <c r="F25" s="84"/>
      <c r="G25" s="84"/>
      <c r="H25" s="84"/>
      <c r="I25" s="84"/>
      <c r="J25" s="84"/>
      <c r="K25" s="84"/>
      <c r="L25" s="84"/>
      <c r="M25" s="84"/>
      <c r="N25" s="84"/>
      <c r="O25" s="84"/>
      <c r="P25" s="84"/>
      <c r="Q25" s="84"/>
      <c r="R25" s="84"/>
      <c r="S25" s="84"/>
      <c r="T25" s="84"/>
      <c r="U25" s="84"/>
    </row>
    <row r="26" spans="1:21" ht="21" x14ac:dyDescent="0.25">
      <c r="A26" s="77" t="s">
        <v>47</v>
      </c>
      <c r="B26" s="85"/>
      <c r="C26" s="84"/>
      <c r="D26" s="84"/>
      <c r="E26" s="84"/>
      <c r="F26" s="84"/>
      <c r="G26" s="84"/>
      <c r="H26" s="84"/>
      <c r="I26" s="84"/>
      <c r="J26" s="84"/>
      <c r="K26" s="84"/>
      <c r="L26" s="84"/>
      <c r="M26" s="84"/>
      <c r="N26" s="84"/>
      <c r="O26" s="84"/>
      <c r="P26" s="84"/>
      <c r="Q26" s="84"/>
      <c r="R26" s="84"/>
      <c r="S26" s="84"/>
      <c r="T26" s="84"/>
      <c r="U26" s="84"/>
    </row>
    <row r="27" spans="1:21" ht="21" x14ac:dyDescent="0.25">
      <c r="A27" s="102" t="s">
        <v>87</v>
      </c>
      <c r="B27" s="103" t="s">
        <v>88</v>
      </c>
      <c r="C27" s="84"/>
      <c r="D27" s="84"/>
      <c r="E27" s="84"/>
      <c r="F27" s="84"/>
      <c r="G27" s="84"/>
      <c r="H27" s="84"/>
      <c r="I27" s="84"/>
      <c r="J27" s="84"/>
      <c r="K27" s="84"/>
      <c r="L27" s="84"/>
      <c r="M27" s="84"/>
      <c r="N27" s="84"/>
      <c r="O27" s="84"/>
      <c r="P27" s="84"/>
      <c r="Q27" s="84"/>
      <c r="R27" s="84"/>
      <c r="S27" s="84"/>
      <c r="T27" s="84"/>
      <c r="U27" s="84"/>
    </row>
    <row r="28" spans="1:21" ht="21" x14ac:dyDescent="0.25">
      <c r="A28" s="79">
        <f>Sheet1!E25</f>
        <v>35000</v>
      </c>
      <c r="B28" s="81">
        <f>Sheet1!M25</f>
        <v>58000</v>
      </c>
      <c r="C28" s="84"/>
      <c r="D28" s="84"/>
      <c r="E28" s="84"/>
      <c r="F28" s="84"/>
      <c r="G28" s="84"/>
      <c r="H28" s="84"/>
      <c r="I28" s="84"/>
      <c r="J28" s="84"/>
      <c r="K28" s="84"/>
      <c r="L28" s="84"/>
      <c r="M28" s="84"/>
      <c r="N28" s="84"/>
      <c r="O28" s="84"/>
      <c r="P28" s="84"/>
      <c r="Q28" s="84"/>
      <c r="R28" s="84"/>
      <c r="S28" s="84"/>
      <c r="T28" s="84"/>
      <c r="U28" s="84"/>
    </row>
    <row r="29" spans="1:21" ht="21" x14ac:dyDescent="0.25">
      <c r="A29" s="79">
        <f>Sheet1!E26</f>
        <v>27000</v>
      </c>
      <c r="B29" s="81">
        <f>Sheet1!M26</f>
        <v>55000</v>
      </c>
      <c r="C29" s="84"/>
      <c r="D29" s="84"/>
      <c r="E29" s="84"/>
      <c r="F29" s="84"/>
      <c r="G29" s="84"/>
      <c r="H29" s="84"/>
      <c r="I29" s="84"/>
      <c r="J29" s="84"/>
      <c r="K29" s="84"/>
      <c r="L29" s="84"/>
      <c r="M29" s="84"/>
      <c r="N29" s="84"/>
      <c r="O29" s="84"/>
      <c r="P29" s="84"/>
      <c r="Q29" s="84"/>
      <c r="R29" s="84"/>
      <c r="S29" s="84"/>
      <c r="T29" s="84"/>
      <c r="U29" s="84"/>
    </row>
    <row r="30" spans="1:21" ht="21" x14ac:dyDescent="0.25">
      <c r="A30" s="79">
        <f>Sheet1!E27</f>
        <v>31000</v>
      </c>
      <c r="B30" s="81">
        <f>Sheet1!M27</f>
        <v>65000</v>
      </c>
      <c r="C30" s="84"/>
      <c r="D30" s="84"/>
      <c r="E30" s="84"/>
      <c r="F30" s="84"/>
      <c r="G30" s="84"/>
      <c r="H30" s="84"/>
      <c r="I30" s="84"/>
      <c r="J30" s="84"/>
      <c r="K30" s="84"/>
      <c r="L30" s="84"/>
      <c r="M30" s="84"/>
      <c r="N30" s="84"/>
      <c r="O30" s="84"/>
      <c r="P30" s="84"/>
      <c r="Q30" s="84"/>
      <c r="R30" s="84"/>
      <c r="S30" s="84"/>
      <c r="T30" s="84"/>
      <c r="U30" s="84"/>
    </row>
    <row r="31" spans="1:21" ht="21" x14ac:dyDescent="0.25">
      <c r="A31" s="79">
        <f>AVERAGE(A28:A30)</f>
        <v>31000</v>
      </c>
      <c r="B31" s="81">
        <f>AVERAGE(B28:B30)</f>
        <v>59333.333333333336</v>
      </c>
      <c r="C31" s="84"/>
      <c r="D31" s="84"/>
      <c r="E31" s="84"/>
      <c r="F31" s="84"/>
      <c r="G31" s="84"/>
      <c r="H31" s="84"/>
      <c r="I31" s="84"/>
      <c r="J31" s="84"/>
      <c r="K31" s="84"/>
      <c r="L31" s="84"/>
      <c r="M31" s="84"/>
      <c r="N31" s="84"/>
      <c r="O31" s="84"/>
      <c r="P31" s="84"/>
      <c r="Q31" s="84"/>
      <c r="R31" s="84"/>
      <c r="S31" s="84"/>
      <c r="T31" s="84"/>
      <c r="U31" s="84"/>
    </row>
    <row r="32" spans="1:21" ht="21" x14ac:dyDescent="0.25">
      <c r="A32" s="87"/>
      <c r="B32" s="80"/>
      <c r="C32" s="84"/>
      <c r="D32" s="84"/>
      <c r="E32" s="84"/>
      <c r="F32" s="84"/>
      <c r="G32" s="84"/>
      <c r="H32" s="84"/>
      <c r="I32" s="84"/>
      <c r="J32" s="84"/>
      <c r="K32" s="84"/>
      <c r="L32" s="84"/>
      <c r="M32" s="84"/>
      <c r="N32" s="84"/>
      <c r="O32" s="84"/>
      <c r="P32" s="84"/>
      <c r="Q32" s="84"/>
      <c r="R32" s="84"/>
      <c r="S32" s="84"/>
      <c r="T32" s="84"/>
      <c r="U32" s="84"/>
    </row>
    <row r="33" spans="1:21" ht="21" x14ac:dyDescent="0.25">
      <c r="A33" s="79" t="s">
        <v>26</v>
      </c>
      <c r="B33" s="103" t="s">
        <v>22</v>
      </c>
      <c r="C33" s="84"/>
      <c r="D33" s="84"/>
      <c r="E33" s="84"/>
      <c r="F33" s="84"/>
      <c r="G33" s="84"/>
      <c r="H33" s="84"/>
      <c r="I33" s="84"/>
      <c r="J33" s="84"/>
      <c r="K33" s="84"/>
      <c r="L33" s="84"/>
      <c r="M33" s="84"/>
      <c r="N33" s="84"/>
      <c r="O33" s="84"/>
      <c r="P33" s="84"/>
      <c r="Q33" s="84"/>
      <c r="R33" s="84"/>
      <c r="S33" s="84"/>
      <c r="T33" s="84"/>
      <c r="U33" s="84"/>
    </row>
    <row r="34" spans="1:21" ht="21" x14ac:dyDescent="0.25">
      <c r="A34" s="79">
        <f>Sheet1!E30</f>
        <v>48000</v>
      </c>
      <c r="B34" s="81">
        <f>Sheet1!M30</f>
        <v>28000</v>
      </c>
      <c r="C34" s="84"/>
      <c r="D34" s="84"/>
      <c r="E34" s="84"/>
      <c r="F34" s="84"/>
      <c r="G34" s="84"/>
      <c r="H34" s="84"/>
      <c r="I34" s="84"/>
      <c r="J34" s="84"/>
      <c r="K34" s="84"/>
      <c r="L34" s="84"/>
      <c r="M34" s="84"/>
      <c r="N34" s="84"/>
      <c r="O34" s="84"/>
      <c r="P34" s="84"/>
      <c r="Q34" s="84"/>
      <c r="R34" s="84"/>
      <c r="S34" s="84"/>
      <c r="T34" s="84"/>
      <c r="U34" s="84"/>
    </row>
    <row r="35" spans="1:21" ht="21" x14ac:dyDescent="0.25">
      <c r="A35" s="79">
        <f>Sheet1!E31</f>
        <v>61000</v>
      </c>
      <c r="B35" s="81">
        <f>Sheet1!M31</f>
        <v>46000</v>
      </c>
      <c r="C35" s="84"/>
      <c r="D35" s="84"/>
      <c r="E35" s="84"/>
      <c r="F35" s="84"/>
      <c r="G35" s="84"/>
      <c r="H35" s="84"/>
      <c r="I35" s="84"/>
      <c r="J35" s="84"/>
      <c r="K35" s="84"/>
      <c r="L35" s="84"/>
      <c r="M35" s="84"/>
      <c r="N35" s="84"/>
      <c r="O35" s="84"/>
      <c r="P35" s="84"/>
      <c r="Q35" s="84"/>
      <c r="R35" s="84"/>
      <c r="S35" s="84"/>
      <c r="T35" s="84"/>
      <c r="U35" s="84"/>
    </row>
    <row r="36" spans="1:21" ht="21" x14ac:dyDescent="0.25">
      <c r="A36" s="79">
        <f>Sheet1!E32</f>
        <v>56000</v>
      </c>
      <c r="B36" s="81">
        <f>Sheet1!M32</f>
        <v>32000</v>
      </c>
      <c r="C36" s="84"/>
      <c r="D36" s="84"/>
      <c r="E36" s="84"/>
      <c r="F36" s="84"/>
      <c r="G36" s="84"/>
      <c r="H36" s="84"/>
      <c r="I36" s="84"/>
      <c r="J36" s="84"/>
      <c r="K36" s="84"/>
      <c r="L36" s="84"/>
      <c r="M36" s="84"/>
      <c r="N36" s="84"/>
      <c r="O36" s="84"/>
      <c r="P36" s="84"/>
      <c r="Q36" s="84"/>
      <c r="R36" s="84"/>
      <c r="S36" s="84"/>
      <c r="T36" s="84"/>
      <c r="U36" s="84"/>
    </row>
    <row r="37" spans="1:21" ht="21" x14ac:dyDescent="0.25">
      <c r="A37" s="84">
        <f>AVERAGE(A34:A36)</f>
        <v>55000</v>
      </c>
      <c r="B37" s="81">
        <f>AVERAGE(B34:B36)</f>
        <v>35333.333333333336</v>
      </c>
      <c r="C37" s="84"/>
      <c r="D37" s="84"/>
      <c r="E37" s="84"/>
      <c r="F37" s="84"/>
      <c r="G37" s="84"/>
      <c r="H37" s="84"/>
      <c r="I37" s="84"/>
      <c r="J37" s="84"/>
      <c r="K37" s="84"/>
      <c r="L37" s="84"/>
      <c r="M37" s="84"/>
      <c r="N37" s="84"/>
      <c r="O37" s="84"/>
      <c r="P37" s="84"/>
      <c r="Q37" s="84"/>
      <c r="R37" s="84"/>
      <c r="S37" s="84"/>
      <c r="T37" s="84"/>
      <c r="U37" s="84"/>
    </row>
    <row r="38" spans="1:21" ht="21" x14ac:dyDescent="0.25">
      <c r="A38" s="84"/>
      <c r="B38" s="81"/>
      <c r="C38" s="84"/>
      <c r="D38" s="84"/>
      <c r="E38" s="84"/>
      <c r="F38" s="84"/>
      <c r="G38" s="84"/>
      <c r="H38" s="84"/>
      <c r="I38" s="84"/>
      <c r="J38" s="84"/>
      <c r="K38" s="84"/>
      <c r="L38" s="84"/>
      <c r="M38" s="84"/>
      <c r="N38" s="84"/>
      <c r="O38" s="84"/>
      <c r="P38" s="84"/>
      <c r="Q38" s="84"/>
      <c r="R38" s="84"/>
      <c r="S38" s="84"/>
      <c r="T38" s="84"/>
      <c r="U38" s="84"/>
    </row>
    <row r="39" spans="1:21" ht="21" x14ac:dyDescent="0.25">
      <c r="A39" s="79" t="s">
        <v>91</v>
      </c>
      <c r="B39" s="103" t="s">
        <v>92</v>
      </c>
      <c r="C39" s="84"/>
      <c r="D39" s="84"/>
      <c r="E39" s="84"/>
      <c r="F39" s="84"/>
      <c r="G39" s="84"/>
      <c r="H39" s="84"/>
      <c r="I39" s="84"/>
      <c r="J39" s="84"/>
      <c r="K39" s="84"/>
      <c r="L39" s="84"/>
      <c r="M39" s="84"/>
      <c r="N39" s="84"/>
      <c r="O39" s="84"/>
      <c r="P39" s="84"/>
      <c r="Q39" s="84"/>
      <c r="R39" s="84"/>
      <c r="S39" s="84"/>
      <c r="T39" s="84"/>
      <c r="U39" s="84"/>
    </row>
    <row r="40" spans="1:21" ht="21" x14ac:dyDescent="0.25">
      <c r="A40" s="84">
        <f>Sheet1!E35</f>
        <v>36000</v>
      </c>
      <c r="B40" s="81">
        <f>Sheet1!M35</f>
        <v>37000</v>
      </c>
      <c r="C40" s="84"/>
      <c r="D40" s="84"/>
      <c r="E40" s="84"/>
      <c r="F40" s="84"/>
      <c r="G40" s="84"/>
      <c r="H40" s="84"/>
      <c r="I40" s="84"/>
      <c r="J40" s="84"/>
      <c r="K40" s="84"/>
      <c r="L40" s="84"/>
      <c r="M40" s="84"/>
      <c r="N40" s="84"/>
      <c r="O40" s="84"/>
      <c r="P40" s="84"/>
      <c r="Q40" s="84"/>
      <c r="R40" s="84"/>
      <c r="S40" s="84"/>
      <c r="T40" s="84"/>
      <c r="U40" s="84"/>
    </row>
    <row r="41" spans="1:21" ht="21" x14ac:dyDescent="0.25">
      <c r="A41" s="84">
        <f>Sheet1!E36</f>
        <v>27000</v>
      </c>
      <c r="B41" s="81">
        <f>Sheet1!M36</f>
        <v>30000</v>
      </c>
      <c r="C41" s="84"/>
      <c r="D41" s="84"/>
      <c r="E41" s="84"/>
      <c r="F41" s="84"/>
      <c r="G41" s="84"/>
      <c r="H41" s="84"/>
      <c r="I41" s="84"/>
      <c r="J41" s="84"/>
      <c r="K41" s="84"/>
      <c r="L41" s="84"/>
      <c r="M41" s="84"/>
      <c r="N41" s="84"/>
      <c r="O41" s="84"/>
      <c r="P41" s="84"/>
      <c r="Q41" s="84"/>
      <c r="R41" s="84"/>
      <c r="S41" s="84"/>
      <c r="T41" s="84"/>
      <c r="U41" s="84"/>
    </row>
    <row r="42" spans="1:21" ht="21" x14ac:dyDescent="0.25">
      <c r="A42" s="84">
        <f>Sheet1!E37</f>
        <v>27000</v>
      </c>
      <c r="B42" s="81">
        <f>Sheet1!M37</f>
        <v>34000</v>
      </c>
      <c r="C42" s="84"/>
      <c r="D42" s="84"/>
      <c r="E42" s="84"/>
      <c r="F42" s="84"/>
      <c r="G42" s="84"/>
      <c r="H42" s="84"/>
      <c r="I42" s="84"/>
      <c r="J42" s="84"/>
      <c r="K42" s="84"/>
      <c r="L42" s="84"/>
      <c r="M42" s="84"/>
      <c r="N42" s="84"/>
      <c r="O42" s="84"/>
      <c r="P42" s="84"/>
      <c r="Q42" s="84"/>
      <c r="R42" s="84"/>
      <c r="S42" s="84"/>
      <c r="T42" s="84"/>
      <c r="U42" s="84"/>
    </row>
    <row r="43" spans="1:21" ht="22" thickBot="1" x14ac:dyDescent="0.3">
      <c r="A43" s="98">
        <f>AVERAGE(A40:A42)</f>
        <v>30000</v>
      </c>
      <c r="B43" s="83">
        <f>AVERAGE(B40:B42)</f>
        <v>33666.666666666664</v>
      </c>
      <c r="C43" s="84"/>
      <c r="D43" s="84"/>
      <c r="E43" s="84"/>
      <c r="F43" s="84"/>
      <c r="G43" s="84"/>
      <c r="H43" s="84"/>
      <c r="I43" s="84"/>
      <c r="J43" s="84"/>
      <c r="K43" s="84"/>
      <c r="L43" s="84"/>
      <c r="M43" s="84"/>
      <c r="N43" s="84"/>
      <c r="O43" s="84"/>
      <c r="P43" s="84"/>
      <c r="Q43" s="84"/>
      <c r="R43" s="84"/>
      <c r="S43" s="84"/>
      <c r="T43" s="84"/>
      <c r="U43" s="84"/>
    </row>
    <row r="44" spans="1:21" ht="20" customHeight="1" x14ac:dyDescent="0.25">
      <c r="A44" s="84"/>
      <c r="B44" s="84"/>
      <c r="C44" s="84"/>
      <c r="D44" s="84"/>
      <c r="E44" s="84"/>
      <c r="F44" s="84"/>
      <c r="G44" s="84"/>
      <c r="H44" s="84"/>
      <c r="I44" s="84"/>
      <c r="J44" s="84"/>
      <c r="K44" s="84"/>
      <c r="L44" s="84"/>
      <c r="M44" s="84"/>
      <c r="N44" s="84"/>
      <c r="O44" s="84"/>
      <c r="P44" s="84"/>
      <c r="Q44" s="84"/>
      <c r="R44" s="84"/>
      <c r="S44" s="84"/>
      <c r="T44" s="84"/>
      <c r="U44" s="84"/>
    </row>
    <row r="45" spans="1:21" ht="22" thickBot="1" x14ac:dyDescent="0.3">
      <c r="A45" s="84"/>
      <c r="B45" s="84"/>
      <c r="C45" s="84"/>
      <c r="D45" s="84"/>
      <c r="E45" s="84"/>
      <c r="F45" s="84"/>
      <c r="G45" s="84"/>
      <c r="H45" s="84"/>
      <c r="I45" s="84"/>
      <c r="J45" s="84"/>
      <c r="K45" s="84"/>
      <c r="L45" s="84"/>
      <c r="M45" s="84"/>
      <c r="N45" s="84"/>
      <c r="O45" s="84"/>
      <c r="P45" s="84"/>
      <c r="Q45" s="84"/>
      <c r="R45" s="84"/>
      <c r="S45" s="84"/>
      <c r="T45" s="84"/>
      <c r="U45" s="84"/>
    </row>
    <row r="46" spans="1:21" ht="21" x14ac:dyDescent="0.25">
      <c r="A46" s="77" t="s">
        <v>48</v>
      </c>
      <c r="B46" s="85"/>
      <c r="C46" s="84"/>
      <c r="D46" s="84" t="s">
        <v>48</v>
      </c>
      <c r="E46" s="84"/>
      <c r="F46" s="84"/>
      <c r="G46" s="84"/>
      <c r="H46" s="84"/>
      <c r="I46" s="84"/>
      <c r="J46" s="84"/>
      <c r="K46" s="84"/>
      <c r="L46" s="84"/>
      <c r="M46" s="84"/>
      <c r="N46" s="84"/>
      <c r="O46" s="84"/>
      <c r="P46" s="84"/>
      <c r="Q46" s="84"/>
      <c r="R46" s="84"/>
      <c r="S46" s="84"/>
      <c r="T46" s="84"/>
      <c r="U46" s="84"/>
    </row>
    <row r="47" spans="1:21" ht="21" x14ac:dyDescent="0.25">
      <c r="A47" s="79" t="s">
        <v>11</v>
      </c>
      <c r="B47" s="81" t="s">
        <v>12</v>
      </c>
      <c r="C47" s="84"/>
      <c r="D47" s="84" t="s">
        <v>93</v>
      </c>
      <c r="E47" s="84" t="s">
        <v>88</v>
      </c>
      <c r="F47" s="84"/>
      <c r="G47" s="84"/>
      <c r="H47" s="84"/>
      <c r="I47" s="84"/>
      <c r="J47" s="84"/>
      <c r="K47" s="84"/>
      <c r="L47" s="84"/>
      <c r="M47" s="84"/>
      <c r="N47" s="84"/>
      <c r="O47" s="84"/>
      <c r="P47" s="84"/>
      <c r="Q47" s="84"/>
      <c r="R47" s="84"/>
      <c r="S47" s="84"/>
      <c r="T47" s="84"/>
      <c r="U47" s="84"/>
    </row>
    <row r="48" spans="1:21" ht="21" x14ac:dyDescent="0.25">
      <c r="A48" s="79">
        <f>Sheet1!E43</f>
        <v>18000</v>
      </c>
      <c r="B48" s="81">
        <f>Sheet1!M43</f>
        <v>1340000</v>
      </c>
      <c r="C48" s="84"/>
      <c r="D48" s="84">
        <f>A48/A31</f>
        <v>0.58064516129032262</v>
      </c>
      <c r="E48" s="84">
        <f>B48/B31</f>
        <v>22.584269662921347</v>
      </c>
      <c r="F48" s="84"/>
      <c r="G48" s="84"/>
      <c r="H48" s="84"/>
      <c r="I48" s="84"/>
      <c r="J48" s="84"/>
      <c r="K48" s="84"/>
      <c r="L48" s="84"/>
      <c r="M48" s="84"/>
      <c r="N48" s="84"/>
      <c r="O48" s="84"/>
      <c r="P48" s="84"/>
      <c r="Q48" s="84"/>
      <c r="R48" s="84"/>
      <c r="S48" s="84"/>
      <c r="T48" s="84"/>
      <c r="U48" s="84"/>
    </row>
    <row r="49" spans="1:21" ht="21" x14ac:dyDescent="0.25">
      <c r="A49" s="79">
        <f>Sheet1!E44</f>
        <v>23000</v>
      </c>
      <c r="B49" s="81">
        <f>Sheet1!M44</f>
        <v>1374000</v>
      </c>
      <c r="C49" s="84"/>
      <c r="D49" s="84">
        <f>A49/A31</f>
        <v>0.74193548387096775</v>
      </c>
      <c r="E49" s="84">
        <f>B49/B31</f>
        <v>23.157303370786515</v>
      </c>
      <c r="F49" s="84"/>
      <c r="G49" s="84"/>
      <c r="H49" s="84"/>
      <c r="I49" s="84"/>
      <c r="J49" s="84"/>
      <c r="K49" s="84"/>
      <c r="L49" s="84"/>
      <c r="M49" s="84"/>
      <c r="N49" s="84"/>
      <c r="O49" s="84"/>
      <c r="P49" s="84"/>
      <c r="Q49" s="84"/>
      <c r="R49" s="84"/>
      <c r="S49" s="84"/>
      <c r="T49" s="84"/>
      <c r="U49" s="84"/>
    </row>
    <row r="50" spans="1:21" ht="21" x14ac:dyDescent="0.25">
      <c r="A50" s="79">
        <f>Sheet1!E45</f>
        <v>20000</v>
      </c>
      <c r="B50" s="81">
        <f>Sheet1!M45</f>
        <v>1477000</v>
      </c>
      <c r="C50" s="84"/>
      <c r="D50" s="84">
        <f>A50/A31</f>
        <v>0.64516129032258063</v>
      </c>
      <c r="E50" s="84">
        <f>B50/B31</f>
        <v>24.893258426966291</v>
      </c>
      <c r="F50" s="84"/>
      <c r="G50" s="84"/>
      <c r="H50" s="84"/>
      <c r="I50" s="84"/>
      <c r="J50" s="84"/>
      <c r="K50" s="84"/>
      <c r="L50" s="84"/>
      <c r="M50" s="84"/>
      <c r="N50" s="84"/>
      <c r="O50" s="84"/>
      <c r="P50" s="84"/>
      <c r="Q50" s="84"/>
      <c r="R50" s="84"/>
      <c r="S50" s="84"/>
      <c r="T50" s="84"/>
      <c r="U50" s="84"/>
    </row>
    <row r="51" spans="1:21" ht="21" x14ac:dyDescent="0.25">
      <c r="A51" s="87"/>
      <c r="B51" s="81"/>
      <c r="C51" s="84"/>
      <c r="D51" s="86">
        <f>AVERAGE(D48:D50)</f>
        <v>0.65591397849462363</v>
      </c>
      <c r="E51" s="86">
        <f>AVERAGE(E48:E50)</f>
        <v>23.544943820224717</v>
      </c>
      <c r="F51" s="84"/>
      <c r="G51" s="84"/>
      <c r="H51" s="84"/>
      <c r="I51" s="84"/>
      <c r="J51" s="84"/>
      <c r="K51" s="84"/>
      <c r="L51" s="84"/>
      <c r="M51" s="84"/>
      <c r="N51" s="84"/>
      <c r="O51" s="84"/>
      <c r="P51" s="84"/>
      <c r="Q51" s="84"/>
      <c r="R51" s="84"/>
      <c r="S51" s="84"/>
      <c r="T51" s="84"/>
      <c r="U51" s="84"/>
    </row>
    <row r="52" spans="1:21" ht="21" customHeight="1" x14ac:dyDescent="0.25">
      <c r="A52" s="79" t="s">
        <v>26</v>
      </c>
      <c r="B52" s="81" t="s">
        <v>22</v>
      </c>
      <c r="C52" s="84"/>
      <c r="D52" s="84" t="s">
        <v>26</v>
      </c>
      <c r="E52" s="84" t="s">
        <v>22</v>
      </c>
      <c r="F52" s="84"/>
      <c r="G52" s="84"/>
      <c r="H52" s="84"/>
      <c r="I52" s="84"/>
      <c r="J52" s="84"/>
      <c r="K52" s="84"/>
      <c r="L52" s="84"/>
      <c r="M52" s="84"/>
      <c r="N52" s="84"/>
      <c r="O52" s="84"/>
      <c r="P52" s="84"/>
      <c r="Q52" s="84"/>
      <c r="R52" s="84"/>
      <c r="S52" s="84"/>
      <c r="T52" s="84"/>
      <c r="U52" s="84"/>
    </row>
    <row r="53" spans="1:21" ht="21" x14ac:dyDescent="0.25">
      <c r="A53" s="79">
        <f>Sheet1!E48</f>
        <v>5342000</v>
      </c>
      <c r="B53" s="81">
        <f>Sheet1!M48</f>
        <v>86000</v>
      </c>
      <c r="C53" s="84"/>
      <c r="D53" s="84">
        <f>A53/A37</f>
        <v>97.127272727272725</v>
      </c>
      <c r="E53" s="84">
        <f>B53/B37</f>
        <v>2.4339622641509431</v>
      </c>
      <c r="F53" s="84"/>
      <c r="G53" s="84"/>
      <c r="H53" s="84"/>
      <c r="I53" s="84"/>
      <c r="J53" s="84"/>
      <c r="K53" s="84"/>
      <c r="L53" s="84"/>
      <c r="M53" s="84"/>
      <c r="N53" s="84"/>
      <c r="O53" s="84"/>
      <c r="P53" s="84"/>
      <c r="Q53" s="84"/>
      <c r="R53" s="84"/>
      <c r="S53" s="84"/>
      <c r="T53" s="84"/>
      <c r="U53" s="84"/>
    </row>
    <row r="54" spans="1:21" ht="21" x14ac:dyDescent="0.25">
      <c r="A54" s="79">
        <f>Sheet1!E49</f>
        <v>5150000</v>
      </c>
      <c r="B54" s="81">
        <f>Sheet1!M49</f>
        <v>76000</v>
      </c>
      <c r="C54" s="84"/>
      <c r="D54" s="84">
        <f>A54/A37</f>
        <v>93.63636363636364</v>
      </c>
      <c r="E54" s="84">
        <f>B54/B37</f>
        <v>2.1509433962264151</v>
      </c>
      <c r="F54" s="84"/>
      <c r="G54" s="84"/>
      <c r="H54" s="84"/>
      <c r="I54" s="84"/>
      <c r="J54" s="84"/>
      <c r="K54" s="84"/>
      <c r="L54" s="84"/>
      <c r="M54" s="84"/>
      <c r="N54" s="84"/>
      <c r="O54" s="84"/>
      <c r="P54" s="84"/>
      <c r="Q54" s="84"/>
      <c r="R54" s="84"/>
      <c r="S54" s="84"/>
      <c r="T54" s="84"/>
      <c r="U54" s="84"/>
    </row>
    <row r="55" spans="1:21" ht="21" x14ac:dyDescent="0.25">
      <c r="A55" s="84">
        <f>Sheet1!E50</f>
        <v>4962000</v>
      </c>
      <c r="B55" s="81">
        <f>Sheet1!M50</f>
        <v>75000</v>
      </c>
      <c r="C55" s="84"/>
      <c r="D55" s="84">
        <f>A55/A37</f>
        <v>90.218181818181819</v>
      </c>
      <c r="E55" s="84">
        <f>B55/B37</f>
        <v>2.1226415094339619</v>
      </c>
      <c r="F55" s="84"/>
      <c r="G55" s="84"/>
      <c r="H55" s="84"/>
      <c r="I55" s="84"/>
      <c r="J55" s="84"/>
      <c r="K55" s="84"/>
      <c r="L55" s="84"/>
      <c r="M55" s="84"/>
      <c r="N55" s="84"/>
      <c r="O55" s="84"/>
      <c r="P55" s="84"/>
      <c r="Q55" s="84"/>
      <c r="R55" s="84"/>
      <c r="S55" s="84"/>
      <c r="T55" s="84"/>
      <c r="U55" s="84"/>
    </row>
    <row r="56" spans="1:21" ht="21" x14ac:dyDescent="0.25">
      <c r="A56" s="84"/>
      <c r="B56" s="81"/>
      <c r="C56" s="84"/>
      <c r="D56" s="84">
        <f>AVERAGE(D53:D55)</f>
        <v>93.660606060606071</v>
      </c>
      <c r="E56" s="84">
        <f>AVERAGE(E53:E55)</f>
        <v>2.2358490566037736</v>
      </c>
      <c r="F56" s="84"/>
      <c r="G56" s="84"/>
      <c r="H56" s="84"/>
      <c r="I56" s="84"/>
      <c r="J56" s="84"/>
      <c r="K56" s="84"/>
      <c r="L56" s="84"/>
      <c r="M56" s="84"/>
      <c r="N56" s="84"/>
      <c r="O56" s="84"/>
      <c r="P56" s="84"/>
      <c r="Q56" s="84"/>
      <c r="R56" s="84"/>
      <c r="S56" s="84"/>
      <c r="T56" s="84"/>
      <c r="U56" s="84"/>
    </row>
    <row r="57" spans="1:21" ht="21" x14ac:dyDescent="0.25">
      <c r="A57" s="79" t="s">
        <v>91</v>
      </c>
      <c r="B57" s="81" t="s">
        <v>92</v>
      </c>
      <c r="C57" s="84"/>
      <c r="D57" s="84" t="s">
        <v>91</v>
      </c>
      <c r="E57" s="84" t="s">
        <v>92</v>
      </c>
      <c r="F57" s="84"/>
      <c r="G57" s="84"/>
      <c r="H57" s="84"/>
      <c r="I57" s="84"/>
      <c r="J57" s="84"/>
      <c r="K57" s="84"/>
      <c r="L57" s="84"/>
      <c r="M57" s="84"/>
      <c r="N57" s="84"/>
      <c r="O57" s="84"/>
      <c r="P57" s="84"/>
      <c r="Q57" s="84"/>
      <c r="R57" s="84"/>
      <c r="S57" s="84"/>
      <c r="T57" s="84"/>
      <c r="U57" s="84"/>
    </row>
    <row r="58" spans="1:21" ht="21" x14ac:dyDescent="0.25">
      <c r="A58" s="84">
        <f>Sheet1!E53</f>
        <v>8000</v>
      </c>
      <c r="B58" s="81">
        <f>Sheet1!M53</f>
        <v>22000</v>
      </c>
      <c r="C58" s="84"/>
      <c r="D58" s="84">
        <f>A58/A43</f>
        <v>0.26666666666666666</v>
      </c>
      <c r="E58" s="84">
        <f>B58/B43</f>
        <v>0.65346534653465349</v>
      </c>
      <c r="F58" s="84"/>
      <c r="G58" s="84"/>
      <c r="H58" s="84"/>
      <c r="I58" s="84"/>
      <c r="J58" s="84"/>
      <c r="K58" s="84"/>
      <c r="L58" s="84"/>
      <c r="M58" s="84"/>
      <c r="N58" s="84"/>
      <c r="O58" s="84"/>
      <c r="P58" s="84"/>
      <c r="Q58" s="84"/>
      <c r="R58" s="84"/>
      <c r="S58" s="84"/>
      <c r="T58" s="84"/>
      <c r="U58" s="84"/>
    </row>
    <row r="59" spans="1:21" ht="21" x14ac:dyDescent="0.25">
      <c r="A59" s="84">
        <f>Sheet1!E54</f>
        <v>16000</v>
      </c>
      <c r="B59" s="81">
        <f>Sheet1!M54</f>
        <v>21000</v>
      </c>
      <c r="C59" s="84"/>
      <c r="D59" s="84">
        <f>A59/A43</f>
        <v>0.53333333333333333</v>
      </c>
      <c r="E59" s="84">
        <f>B59/B43</f>
        <v>0.62376237623762376</v>
      </c>
      <c r="F59" s="84"/>
      <c r="G59" s="84"/>
      <c r="H59" s="84"/>
      <c r="I59" s="84"/>
      <c r="J59" s="84"/>
      <c r="K59" s="84"/>
      <c r="L59" s="84"/>
      <c r="M59" s="84"/>
      <c r="N59" s="84"/>
      <c r="O59" s="84"/>
      <c r="P59" s="84"/>
      <c r="Q59" s="84"/>
      <c r="R59" s="84"/>
      <c r="S59" s="84"/>
      <c r="T59" s="84"/>
      <c r="U59" s="84"/>
    </row>
    <row r="60" spans="1:21" ht="21" x14ac:dyDescent="0.25">
      <c r="A60" s="84">
        <f>Sheet1!E55</f>
        <v>20000</v>
      </c>
      <c r="B60" s="81">
        <f>Sheet1!M55</f>
        <v>18000</v>
      </c>
      <c r="C60" s="84"/>
      <c r="D60" s="84">
        <f>A60/A43</f>
        <v>0.66666666666666663</v>
      </c>
      <c r="E60" s="84">
        <f>B60/B43</f>
        <v>0.53465346534653468</v>
      </c>
      <c r="F60" s="84"/>
      <c r="G60" s="84"/>
      <c r="H60" s="84"/>
      <c r="I60" s="84"/>
      <c r="J60" s="84"/>
      <c r="K60" s="84"/>
      <c r="L60" s="84"/>
      <c r="M60" s="84"/>
      <c r="N60" s="84"/>
      <c r="O60" s="84"/>
      <c r="P60" s="84"/>
      <c r="Q60" s="84"/>
      <c r="R60" s="84"/>
      <c r="S60" s="84"/>
      <c r="T60" s="84"/>
      <c r="U60" s="84"/>
    </row>
    <row r="61" spans="1:21" ht="22" thickBot="1" x14ac:dyDescent="0.3">
      <c r="A61" s="84"/>
      <c r="B61" s="81"/>
      <c r="C61" s="84"/>
      <c r="D61" s="84">
        <f>AVERAGE(D58:D60)</f>
        <v>0.48888888888888893</v>
      </c>
      <c r="E61" s="84">
        <f>AVERAGE(E58:E60)</f>
        <v>0.60396039603960394</v>
      </c>
      <c r="F61" s="84"/>
      <c r="G61" s="84"/>
      <c r="H61" s="84"/>
      <c r="I61" s="84"/>
      <c r="J61" s="84"/>
      <c r="K61" s="84"/>
      <c r="L61" s="84"/>
      <c r="M61" s="84"/>
      <c r="N61" s="84"/>
      <c r="O61" s="84"/>
      <c r="P61" s="84"/>
      <c r="Q61" s="84"/>
      <c r="R61" s="84"/>
      <c r="S61" s="84"/>
      <c r="T61" s="84"/>
      <c r="U61" s="84"/>
    </row>
    <row r="62" spans="1:21" ht="22" thickBot="1" x14ac:dyDescent="0.3">
      <c r="A62" s="100"/>
      <c r="B62" s="101"/>
      <c r="C62" s="84"/>
      <c r="D62" s="86"/>
      <c r="E62" s="86"/>
      <c r="F62" s="84"/>
      <c r="G62" s="84"/>
      <c r="H62" s="84"/>
      <c r="I62" s="84"/>
      <c r="J62" s="84"/>
      <c r="K62" s="84"/>
      <c r="L62" s="84"/>
      <c r="M62" s="84"/>
      <c r="N62" s="84"/>
      <c r="O62" s="84"/>
      <c r="P62" s="84"/>
      <c r="Q62" s="84"/>
      <c r="R62" s="84"/>
      <c r="S62" s="84"/>
      <c r="T62" s="84"/>
      <c r="U62" s="84"/>
    </row>
    <row r="63" spans="1:21" ht="21" x14ac:dyDescent="0.25">
      <c r="A63" s="77" t="s">
        <v>49</v>
      </c>
      <c r="B63" s="85"/>
      <c r="C63" s="84"/>
      <c r="D63" s="84"/>
      <c r="E63" s="84"/>
      <c r="F63" s="84"/>
      <c r="G63" s="84"/>
      <c r="H63" s="84"/>
      <c r="I63" s="84"/>
      <c r="J63" s="84"/>
      <c r="K63" s="84"/>
      <c r="L63" s="84"/>
      <c r="M63" s="84"/>
      <c r="N63" s="84"/>
      <c r="O63" s="84"/>
      <c r="P63" s="84"/>
      <c r="Q63" s="84"/>
      <c r="R63" s="84"/>
      <c r="S63" s="84"/>
      <c r="T63" s="84"/>
      <c r="U63" s="84"/>
    </row>
    <row r="64" spans="1:21" ht="21" x14ac:dyDescent="0.25">
      <c r="A64" s="79" t="s">
        <v>87</v>
      </c>
      <c r="B64" s="81" t="s">
        <v>88</v>
      </c>
      <c r="C64" s="84"/>
      <c r="D64" s="84"/>
      <c r="E64" s="84"/>
      <c r="F64" s="84"/>
      <c r="G64" s="84"/>
      <c r="H64" s="84"/>
      <c r="I64" s="84"/>
      <c r="J64" s="84"/>
      <c r="K64" s="84"/>
      <c r="L64" s="84"/>
      <c r="M64" s="84"/>
      <c r="N64" s="84"/>
      <c r="O64" s="84"/>
      <c r="P64" s="84"/>
      <c r="Q64" s="84"/>
      <c r="R64" s="84"/>
      <c r="S64" s="84"/>
      <c r="T64" s="84"/>
      <c r="U64" s="84"/>
    </row>
    <row r="65" spans="1:21" ht="21" x14ac:dyDescent="0.25">
      <c r="A65" s="79">
        <f>Sheet1!E25</f>
        <v>35000</v>
      </c>
      <c r="B65" s="81">
        <f>Sheet1!M62</f>
        <v>56000</v>
      </c>
      <c r="C65" s="84"/>
      <c r="D65" s="84"/>
      <c r="E65" s="84"/>
      <c r="F65" s="84"/>
      <c r="G65" s="84"/>
      <c r="H65" s="84"/>
      <c r="I65" s="84"/>
      <c r="J65" s="84"/>
      <c r="K65" s="84"/>
      <c r="L65" s="84"/>
      <c r="M65" s="84"/>
      <c r="N65" s="84"/>
      <c r="O65" s="84"/>
      <c r="P65" s="84"/>
      <c r="Q65" s="84"/>
      <c r="R65" s="84"/>
      <c r="S65" s="84"/>
      <c r="T65" s="84"/>
      <c r="U65" s="84"/>
    </row>
    <row r="66" spans="1:21" ht="21" x14ac:dyDescent="0.25">
      <c r="A66" s="79">
        <f>Sheet1!E26</f>
        <v>27000</v>
      </c>
      <c r="B66" s="81">
        <f>Sheet1!M63</f>
        <v>47000</v>
      </c>
      <c r="C66" s="84"/>
      <c r="D66" s="84"/>
      <c r="E66" s="84"/>
      <c r="F66" s="84"/>
      <c r="G66" s="84"/>
      <c r="H66" s="84"/>
      <c r="I66" s="84"/>
      <c r="J66" s="84"/>
      <c r="K66" s="84"/>
      <c r="L66" s="84"/>
      <c r="M66" s="84"/>
      <c r="N66" s="84"/>
      <c r="O66" s="84"/>
      <c r="P66" s="84"/>
      <c r="Q66" s="84"/>
      <c r="R66" s="84"/>
      <c r="S66" s="84"/>
      <c r="T66" s="84"/>
      <c r="U66" s="84"/>
    </row>
    <row r="67" spans="1:21" ht="21" x14ac:dyDescent="0.25">
      <c r="A67" s="79">
        <f>Sheet1!E27</f>
        <v>31000</v>
      </c>
      <c r="B67" s="81">
        <f>Sheet1!M64</f>
        <v>54000</v>
      </c>
      <c r="C67" s="84"/>
      <c r="D67" s="84"/>
      <c r="E67" s="84"/>
      <c r="F67" s="84"/>
      <c r="G67" s="84"/>
      <c r="H67" s="84"/>
      <c r="I67" s="84"/>
      <c r="J67" s="84"/>
      <c r="K67" s="84"/>
      <c r="L67" s="84"/>
      <c r="M67" s="84"/>
      <c r="N67" s="84"/>
      <c r="O67" s="84"/>
      <c r="P67" s="84"/>
      <c r="Q67" s="84"/>
      <c r="R67" s="84"/>
      <c r="S67" s="84"/>
      <c r="T67" s="84"/>
      <c r="U67" s="84"/>
    </row>
    <row r="68" spans="1:21" ht="21" x14ac:dyDescent="0.25">
      <c r="A68" s="79">
        <f>AVERAGE(A65:A67)</f>
        <v>31000</v>
      </c>
      <c r="B68" s="81">
        <f>AVERAGE(B65:B67)</f>
        <v>52333.333333333336</v>
      </c>
      <c r="C68" s="84"/>
      <c r="D68" s="84"/>
      <c r="E68" s="84"/>
      <c r="F68" s="84"/>
      <c r="G68" s="84"/>
      <c r="H68" s="84"/>
      <c r="I68" s="84"/>
      <c r="J68" s="84"/>
      <c r="K68" s="84"/>
      <c r="L68" s="84"/>
      <c r="M68" s="84"/>
      <c r="N68" s="84"/>
      <c r="O68" s="84"/>
      <c r="P68" s="84"/>
      <c r="Q68" s="84"/>
      <c r="R68" s="84"/>
      <c r="S68" s="84"/>
      <c r="T68" s="84"/>
      <c r="U68" s="84"/>
    </row>
    <row r="69" spans="1:21" ht="21" x14ac:dyDescent="0.25">
      <c r="A69" s="79"/>
      <c r="B69" s="81"/>
      <c r="C69" s="84"/>
      <c r="D69" s="84"/>
      <c r="E69" s="84"/>
      <c r="F69" s="84"/>
      <c r="G69" s="84"/>
      <c r="H69" s="84"/>
      <c r="I69" s="84"/>
      <c r="J69" s="84"/>
      <c r="K69" s="84"/>
      <c r="L69" s="84"/>
      <c r="M69" s="84"/>
      <c r="N69" s="84"/>
      <c r="O69" s="84"/>
      <c r="P69" s="84"/>
      <c r="Q69" s="84"/>
      <c r="R69" s="84"/>
      <c r="S69" s="84"/>
      <c r="T69" s="84"/>
      <c r="U69" s="84"/>
    </row>
    <row r="70" spans="1:21" ht="21" x14ac:dyDescent="0.25">
      <c r="A70" s="79" t="s">
        <v>26</v>
      </c>
      <c r="B70" s="81" t="s">
        <v>22</v>
      </c>
      <c r="C70" s="84"/>
      <c r="D70" s="84"/>
      <c r="E70" s="84"/>
      <c r="F70" s="84"/>
      <c r="G70" s="84"/>
      <c r="H70" s="84"/>
      <c r="I70" s="84"/>
      <c r="J70" s="84"/>
      <c r="K70" s="84"/>
      <c r="L70" s="84"/>
      <c r="M70" s="84"/>
      <c r="N70" s="84"/>
      <c r="O70" s="84"/>
      <c r="P70" s="84"/>
      <c r="Q70" s="84"/>
      <c r="R70" s="84"/>
      <c r="S70" s="84"/>
      <c r="T70" s="84"/>
      <c r="U70" s="84"/>
    </row>
    <row r="71" spans="1:21" ht="21" x14ac:dyDescent="0.25">
      <c r="A71" s="79">
        <f>Sheet1!E67</f>
        <v>44000</v>
      </c>
      <c r="B71" s="81">
        <f>Sheet1!M67</f>
        <v>38000</v>
      </c>
      <c r="C71" s="84"/>
      <c r="D71" s="84"/>
      <c r="E71" s="84"/>
      <c r="F71" s="84"/>
      <c r="G71" s="84"/>
      <c r="H71" s="84"/>
      <c r="I71" s="84"/>
      <c r="J71" s="84"/>
      <c r="K71" s="84"/>
      <c r="L71" s="84"/>
      <c r="M71" s="84"/>
      <c r="N71" s="84"/>
      <c r="O71" s="84"/>
      <c r="P71" s="84"/>
      <c r="Q71" s="84"/>
      <c r="R71" s="84"/>
      <c r="S71" s="84"/>
      <c r="T71" s="84"/>
      <c r="U71" s="84"/>
    </row>
    <row r="72" spans="1:21" ht="21" x14ac:dyDescent="0.25">
      <c r="A72" s="79">
        <f>Sheet1!E68</f>
        <v>52000</v>
      </c>
      <c r="B72" s="81">
        <f>Sheet1!M68</f>
        <v>35000</v>
      </c>
      <c r="C72" s="84"/>
      <c r="D72" s="84"/>
      <c r="E72" s="84"/>
      <c r="F72" s="84"/>
      <c r="G72" s="84"/>
      <c r="H72" s="84"/>
      <c r="I72" s="84"/>
      <c r="J72" s="84"/>
      <c r="K72" s="84"/>
      <c r="L72" s="84"/>
      <c r="M72" s="84"/>
      <c r="N72" s="84"/>
      <c r="O72" s="84"/>
      <c r="P72" s="84"/>
      <c r="Q72" s="84"/>
      <c r="R72" s="84"/>
      <c r="S72" s="84"/>
      <c r="T72" s="84"/>
      <c r="U72" s="84"/>
    </row>
    <row r="73" spans="1:21" ht="21" x14ac:dyDescent="0.25">
      <c r="A73" s="79">
        <f>Sheet1!E69</f>
        <v>39000</v>
      </c>
      <c r="B73" s="81">
        <f>Sheet1!M69</f>
        <v>32000</v>
      </c>
      <c r="C73" s="84"/>
      <c r="D73" s="84"/>
      <c r="E73" s="84"/>
      <c r="F73" s="84"/>
      <c r="G73" s="84"/>
      <c r="H73" s="84"/>
      <c r="I73" s="84"/>
      <c r="J73" s="84"/>
      <c r="K73" s="84"/>
      <c r="L73" s="84"/>
      <c r="M73" s="84"/>
      <c r="N73" s="84"/>
      <c r="O73" s="84"/>
      <c r="P73" s="84"/>
      <c r="Q73" s="84"/>
      <c r="R73" s="84"/>
      <c r="S73" s="84"/>
      <c r="T73" s="84"/>
      <c r="U73" s="84"/>
    </row>
    <row r="74" spans="1:21" ht="21" x14ac:dyDescent="0.25">
      <c r="A74" s="84">
        <f>AVERAGE(A71:A73)</f>
        <v>45000</v>
      </c>
      <c r="B74" s="81">
        <f>AVERAGE(B71:B73)</f>
        <v>35000</v>
      </c>
      <c r="C74" s="84"/>
      <c r="D74" s="84"/>
      <c r="E74" s="84"/>
      <c r="F74" s="84"/>
      <c r="G74" s="84"/>
      <c r="H74" s="84"/>
      <c r="I74" s="84"/>
      <c r="J74" s="84"/>
      <c r="K74" s="84"/>
      <c r="L74" s="84"/>
      <c r="M74" s="84"/>
      <c r="N74" s="84"/>
      <c r="O74" s="84"/>
      <c r="P74" s="84"/>
      <c r="Q74" s="84"/>
      <c r="R74" s="84"/>
      <c r="S74" s="84"/>
      <c r="T74" s="84"/>
      <c r="U74" s="84"/>
    </row>
    <row r="75" spans="1:21" ht="21" x14ac:dyDescent="0.25">
      <c r="A75" s="84"/>
      <c r="B75" s="81"/>
      <c r="C75" s="84"/>
      <c r="D75" s="84"/>
      <c r="E75" s="84"/>
      <c r="F75" s="84"/>
      <c r="G75" s="84"/>
      <c r="H75" s="84"/>
      <c r="I75" s="84"/>
      <c r="J75" s="84"/>
      <c r="K75" s="84"/>
      <c r="L75" s="84"/>
      <c r="M75" s="84"/>
      <c r="N75" s="84"/>
      <c r="O75" s="84"/>
      <c r="P75" s="84"/>
      <c r="Q75" s="84"/>
      <c r="R75" s="84"/>
      <c r="S75" s="84"/>
      <c r="T75" s="84"/>
      <c r="U75" s="84"/>
    </row>
    <row r="76" spans="1:21" ht="21" x14ac:dyDescent="0.25">
      <c r="A76" s="79" t="s">
        <v>94</v>
      </c>
      <c r="B76" s="81" t="s">
        <v>95</v>
      </c>
      <c r="C76" s="84"/>
      <c r="D76" s="84"/>
      <c r="E76" s="84"/>
      <c r="F76" s="84"/>
      <c r="G76" s="84"/>
      <c r="H76" s="84"/>
      <c r="I76" s="84"/>
      <c r="J76" s="84"/>
      <c r="K76" s="84"/>
      <c r="L76" s="84"/>
      <c r="M76" s="84"/>
      <c r="N76" s="84"/>
      <c r="O76" s="84"/>
      <c r="P76" s="84"/>
      <c r="Q76" s="84"/>
      <c r="R76" s="84"/>
      <c r="S76" s="84"/>
      <c r="T76" s="84"/>
      <c r="U76" s="84"/>
    </row>
    <row r="77" spans="1:21" ht="21" x14ac:dyDescent="0.25">
      <c r="A77" s="84">
        <f>Sheet1!E35</f>
        <v>36000</v>
      </c>
      <c r="B77" s="81">
        <f>Sheet1!M35</f>
        <v>37000</v>
      </c>
      <c r="C77" s="84"/>
      <c r="D77" s="84"/>
      <c r="E77" s="84"/>
      <c r="F77" s="84"/>
      <c r="G77" s="84"/>
      <c r="H77" s="84"/>
      <c r="I77" s="84"/>
      <c r="J77" s="84"/>
      <c r="K77" s="84"/>
      <c r="L77" s="84"/>
      <c r="M77" s="84"/>
      <c r="N77" s="84"/>
      <c r="O77" s="84"/>
      <c r="P77" s="84"/>
      <c r="Q77" s="84"/>
      <c r="R77" s="84"/>
      <c r="S77" s="84"/>
      <c r="T77" s="84"/>
      <c r="U77" s="84"/>
    </row>
    <row r="78" spans="1:21" ht="21" x14ac:dyDescent="0.25">
      <c r="A78" s="84">
        <f>Sheet1!E36</f>
        <v>27000</v>
      </c>
      <c r="B78" s="81">
        <f>Sheet1!M36</f>
        <v>30000</v>
      </c>
      <c r="C78" s="84"/>
      <c r="D78" s="84"/>
      <c r="E78" s="84"/>
      <c r="F78" s="84"/>
      <c r="G78" s="84"/>
      <c r="H78" s="84"/>
      <c r="I78" s="84"/>
      <c r="J78" s="84"/>
      <c r="K78" s="84"/>
      <c r="L78" s="84"/>
      <c r="M78" s="84"/>
      <c r="N78" s="84"/>
      <c r="O78" s="84"/>
      <c r="P78" s="84"/>
      <c r="Q78" s="84"/>
      <c r="R78" s="84"/>
      <c r="S78" s="84"/>
      <c r="T78" s="84"/>
      <c r="U78" s="84"/>
    </row>
    <row r="79" spans="1:21" ht="21" x14ac:dyDescent="0.25">
      <c r="A79" s="84">
        <f>Sheet1!E37</f>
        <v>27000</v>
      </c>
      <c r="B79" s="81">
        <f>Sheet1!M37</f>
        <v>34000</v>
      </c>
      <c r="C79" s="84"/>
      <c r="D79" s="84"/>
      <c r="E79" s="84"/>
      <c r="F79" s="84"/>
      <c r="G79" s="84"/>
      <c r="H79" s="84"/>
      <c r="I79" s="84"/>
      <c r="J79" s="84"/>
      <c r="K79" s="84"/>
      <c r="L79" s="84"/>
      <c r="M79" s="84"/>
      <c r="N79" s="84"/>
      <c r="O79" s="84"/>
      <c r="P79" s="84"/>
      <c r="Q79" s="84"/>
      <c r="R79" s="84"/>
      <c r="S79" s="84"/>
      <c r="T79" s="84"/>
      <c r="U79" s="84"/>
    </row>
    <row r="80" spans="1:21" ht="22" thickBot="1" x14ac:dyDescent="0.3">
      <c r="A80" s="98">
        <f>AVERAGE(A77:A79)</f>
        <v>30000</v>
      </c>
      <c r="B80" s="83">
        <f>AVERAGE(B77:B79)</f>
        <v>33666.666666666664</v>
      </c>
      <c r="C80" s="84"/>
      <c r="D80" s="84"/>
      <c r="E80" s="84"/>
      <c r="F80" s="84"/>
      <c r="G80" s="84"/>
      <c r="H80" s="84"/>
      <c r="I80" s="84"/>
      <c r="J80" s="84"/>
      <c r="K80" s="84"/>
      <c r="L80" s="84"/>
      <c r="M80" s="84"/>
      <c r="N80" s="84"/>
      <c r="O80" s="84"/>
      <c r="P80" s="84"/>
      <c r="Q80" s="84"/>
      <c r="R80" s="84"/>
      <c r="S80" s="84"/>
      <c r="T80" s="84"/>
      <c r="U80" s="84"/>
    </row>
    <row r="81" spans="1:21" ht="21" x14ac:dyDescent="0.25">
      <c r="A81" s="84"/>
      <c r="B81" s="84"/>
      <c r="C81" s="84"/>
      <c r="D81" s="84"/>
      <c r="E81" s="84"/>
      <c r="F81" s="84"/>
      <c r="G81" s="84"/>
      <c r="H81" s="84"/>
      <c r="I81" s="84"/>
      <c r="J81" s="84"/>
      <c r="K81" s="84"/>
      <c r="L81" s="84"/>
      <c r="M81" s="84"/>
      <c r="N81" s="84"/>
      <c r="O81" s="84"/>
      <c r="P81" s="84"/>
      <c r="Q81" s="84"/>
      <c r="R81" s="84"/>
      <c r="S81" s="84"/>
      <c r="T81" s="84"/>
      <c r="U81" s="84"/>
    </row>
    <row r="82" spans="1:21" ht="22" thickBot="1" x14ac:dyDescent="0.3">
      <c r="A82" s="84"/>
      <c r="B82" s="84"/>
      <c r="C82" s="84"/>
      <c r="F82" s="84"/>
      <c r="G82" s="84"/>
      <c r="H82" s="84"/>
      <c r="I82" s="84"/>
      <c r="J82" s="84"/>
      <c r="K82" s="84"/>
      <c r="L82" s="84"/>
      <c r="M82" s="84"/>
      <c r="N82" s="84"/>
      <c r="O82" s="84"/>
      <c r="P82" s="84"/>
      <c r="Q82" s="84"/>
      <c r="R82" s="84"/>
      <c r="S82" s="84"/>
      <c r="T82" s="84"/>
      <c r="U82" s="84"/>
    </row>
    <row r="83" spans="1:21" ht="21" customHeight="1" x14ac:dyDescent="0.25">
      <c r="A83" s="77" t="s">
        <v>96</v>
      </c>
      <c r="B83" s="85"/>
      <c r="C83" s="84"/>
      <c r="D83" s="84" t="s">
        <v>96</v>
      </c>
      <c r="E83" s="84"/>
      <c r="F83" s="84"/>
      <c r="G83" s="84"/>
      <c r="H83" s="84"/>
      <c r="I83" s="84"/>
      <c r="J83" s="84"/>
      <c r="K83" s="84"/>
      <c r="L83" s="84"/>
      <c r="M83" s="84"/>
      <c r="N83" s="84"/>
      <c r="O83" s="84"/>
      <c r="P83" s="84"/>
      <c r="Q83" s="84"/>
      <c r="R83" s="84"/>
      <c r="S83" s="84"/>
      <c r="T83" s="84"/>
      <c r="U83" s="84"/>
    </row>
    <row r="84" spans="1:21" ht="21" customHeight="1" x14ac:dyDescent="0.25">
      <c r="A84" s="79" t="s">
        <v>11</v>
      </c>
      <c r="B84" s="81" t="s">
        <v>12</v>
      </c>
      <c r="C84" s="84"/>
      <c r="D84" s="84" t="s">
        <v>87</v>
      </c>
      <c r="E84" s="84" t="s">
        <v>88</v>
      </c>
      <c r="F84" s="84"/>
      <c r="G84" s="84"/>
      <c r="H84" s="84"/>
      <c r="I84" s="84"/>
      <c r="J84" s="84"/>
      <c r="K84" s="84"/>
      <c r="L84" s="84"/>
      <c r="M84" s="84"/>
      <c r="N84" s="84"/>
      <c r="O84" s="84"/>
      <c r="P84" s="84"/>
      <c r="Q84" s="84"/>
      <c r="R84" s="84"/>
      <c r="S84" s="84"/>
      <c r="T84" s="84"/>
      <c r="U84" s="84"/>
    </row>
    <row r="85" spans="1:21" ht="21" x14ac:dyDescent="0.25">
      <c r="A85" s="79">
        <f>Sheet1!E79</f>
        <v>76800</v>
      </c>
      <c r="B85" s="81">
        <f>Sheet1!M79</f>
        <v>1101000</v>
      </c>
      <c r="C85" s="84"/>
      <c r="D85" s="84">
        <f>A85/A68</f>
        <v>2.4774193548387098</v>
      </c>
      <c r="E85" s="84">
        <f>B85/B68</f>
        <v>21.038216560509554</v>
      </c>
      <c r="F85" s="84"/>
      <c r="G85" s="84"/>
      <c r="H85" s="84"/>
      <c r="I85" s="84"/>
      <c r="J85" s="84"/>
      <c r="K85" s="84"/>
      <c r="L85" s="84"/>
      <c r="M85" s="84"/>
      <c r="N85" s="84"/>
      <c r="O85" s="84"/>
      <c r="P85" s="84"/>
      <c r="Q85" s="84"/>
      <c r="R85" s="84"/>
      <c r="S85" s="84"/>
      <c r="T85" s="84"/>
      <c r="U85" s="84"/>
    </row>
    <row r="86" spans="1:21" ht="21" x14ac:dyDescent="0.25">
      <c r="A86" s="79">
        <f>Sheet1!E80</f>
        <v>115200</v>
      </c>
      <c r="B86" s="81">
        <f>Sheet1!M80</f>
        <v>1108000</v>
      </c>
      <c r="D86" s="84">
        <f>A86/A68</f>
        <v>3.7161290322580647</v>
      </c>
      <c r="E86" s="84">
        <f>B86/B68</f>
        <v>21.171974522292992</v>
      </c>
    </row>
    <row r="87" spans="1:21" ht="21" x14ac:dyDescent="0.25">
      <c r="A87" s="79">
        <f>Sheet1!E81</f>
        <v>80000</v>
      </c>
      <c r="B87" s="81">
        <f>Sheet1!M81</f>
        <v>1123000</v>
      </c>
      <c r="D87" s="84">
        <f>A87/A68</f>
        <v>2.5806451612903225</v>
      </c>
      <c r="E87" s="84">
        <f>B87/B68</f>
        <v>21.458598726114648</v>
      </c>
    </row>
    <row r="88" spans="1:21" ht="16" customHeight="1" x14ac:dyDescent="0.25">
      <c r="A88" s="79"/>
      <c r="B88" s="81"/>
      <c r="C88" s="84"/>
      <c r="D88" s="84">
        <f>AVERAGE(D85:D87)</f>
        <v>2.9247311827956985</v>
      </c>
      <c r="E88" s="84">
        <f>AVERAGE(E85:E87)</f>
        <v>21.222929936305732</v>
      </c>
      <c r="F88" s="84"/>
      <c r="G88" s="84"/>
    </row>
    <row r="89" spans="1:21" ht="19" customHeight="1" x14ac:dyDescent="0.25">
      <c r="A89" s="79" t="s">
        <v>26</v>
      </c>
      <c r="B89" s="81" t="s">
        <v>22</v>
      </c>
      <c r="C89" s="90"/>
      <c r="D89" s="84" t="s">
        <v>26</v>
      </c>
      <c r="E89" s="84" t="s">
        <v>22</v>
      </c>
      <c r="F89" s="90"/>
      <c r="G89" s="90"/>
      <c r="H89" s="90"/>
    </row>
    <row r="90" spans="1:21" ht="21" x14ac:dyDescent="0.25">
      <c r="A90" s="88">
        <f>Sheet1!E84</f>
        <v>6719000</v>
      </c>
      <c r="B90" s="89">
        <f>Sheet1!M84</f>
        <v>188000</v>
      </c>
      <c r="D90" s="90">
        <f>A90/A74</f>
        <v>149.3111111111111</v>
      </c>
      <c r="E90" s="90">
        <f>B90/B74</f>
        <v>5.371428571428571</v>
      </c>
    </row>
    <row r="91" spans="1:21" ht="21" x14ac:dyDescent="0.25">
      <c r="A91" s="88">
        <f>Sheet1!E85</f>
        <v>6424000</v>
      </c>
      <c r="B91" s="89">
        <f>Sheet1!M85</f>
        <v>195000</v>
      </c>
      <c r="D91" s="90">
        <f>A91/A74</f>
        <v>142.75555555555556</v>
      </c>
      <c r="E91" s="90">
        <f>B91/B74</f>
        <v>5.5714285714285712</v>
      </c>
    </row>
    <row r="92" spans="1:21" ht="21" x14ac:dyDescent="0.25">
      <c r="A92" s="90">
        <f>Sheet1!E86</f>
        <v>6683000</v>
      </c>
      <c r="B92" s="89">
        <f>Sheet1!M86</f>
        <v>228000</v>
      </c>
      <c r="D92" s="90">
        <f>A92/A74</f>
        <v>148.51111111111112</v>
      </c>
      <c r="E92" s="90">
        <f>B92/B74</f>
        <v>6.5142857142857142</v>
      </c>
    </row>
    <row r="93" spans="1:21" ht="21" x14ac:dyDescent="0.25">
      <c r="A93" s="90"/>
      <c r="B93" s="89"/>
      <c r="D93" s="90">
        <f>AVERAGE(D90:D92)</f>
        <v>146.85925925925926</v>
      </c>
      <c r="E93" s="90">
        <f>AVERAGE(E90:E92)</f>
        <v>5.8190476190476188</v>
      </c>
    </row>
    <row r="94" spans="1:21" ht="21" x14ac:dyDescent="0.25">
      <c r="A94" s="79" t="s">
        <v>94</v>
      </c>
      <c r="B94" s="81" t="s">
        <v>95</v>
      </c>
      <c r="D94" s="90"/>
      <c r="E94" s="90"/>
    </row>
    <row r="95" spans="1:21" ht="21" x14ac:dyDescent="0.25">
      <c r="A95" s="90">
        <f>Sheet1!E89</f>
        <v>78400</v>
      </c>
      <c r="B95" s="89">
        <f>Sheet1!M89</f>
        <v>72000</v>
      </c>
      <c r="D95" s="84" t="s">
        <v>94</v>
      </c>
      <c r="E95" s="84" t="s">
        <v>95</v>
      </c>
    </row>
    <row r="96" spans="1:21" ht="21" x14ac:dyDescent="0.25">
      <c r="A96" s="90">
        <f>Sheet1!E90</f>
        <v>86400</v>
      </c>
      <c r="B96" s="89">
        <f>Sheet1!M90</f>
        <v>75200</v>
      </c>
      <c r="D96" s="90">
        <f>A95/A80</f>
        <v>2.6133333333333333</v>
      </c>
      <c r="E96" s="90">
        <f>B95/B80</f>
        <v>2.1386138613861387</v>
      </c>
    </row>
    <row r="97" spans="1:15" ht="22" thickBot="1" x14ac:dyDescent="0.3">
      <c r="A97" s="97">
        <f>Sheet1!E91</f>
        <v>68800</v>
      </c>
      <c r="B97" s="92">
        <f>Sheet1!M91</f>
        <v>48000</v>
      </c>
      <c r="D97" s="90">
        <f>A96/A80</f>
        <v>2.88</v>
      </c>
      <c r="E97" s="90">
        <f>B96/B80</f>
        <v>2.2336633663366339</v>
      </c>
    </row>
    <row r="98" spans="1:15" ht="21" x14ac:dyDescent="0.25">
      <c r="A98" s="90"/>
      <c r="B98" s="90"/>
      <c r="D98" s="90">
        <f>A97/A80</f>
        <v>2.2933333333333334</v>
      </c>
      <c r="E98" s="90">
        <f>B97/B80</f>
        <v>1.4257425742574259</v>
      </c>
    </row>
    <row r="99" spans="1:15" ht="22" thickBot="1" x14ac:dyDescent="0.3">
      <c r="D99" s="90">
        <f>AVERAGE(D96:D98)</f>
        <v>2.5955555555555558</v>
      </c>
      <c r="E99" s="90">
        <f>AVERAGE(E96:E98)</f>
        <v>1.9326732673267328</v>
      </c>
    </row>
    <row r="100" spans="1:15" ht="21" x14ac:dyDescent="0.25">
      <c r="A100" s="77" t="s">
        <v>51</v>
      </c>
      <c r="B100" s="94"/>
      <c r="C100" s="90"/>
      <c r="D100" s="90"/>
      <c r="E100" s="90"/>
      <c r="F100" s="90"/>
      <c r="G100" s="90"/>
      <c r="H100" s="90"/>
      <c r="I100" s="90"/>
      <c r="J100" s="90"/>
      <c r="K100" s="90"/>
      <c r="L100" s="90"/>
      <c r="M100" s="90"/>
      <c r="N100" s="90"/>
      <c r="O100" s="90"/>
    </row>
    <row r="101" spans="1:15" ht="30" customHeight="1" x14ac:dyDescent="0.25">
      <c r="A101" s="88" t="s">
        <v>11</v>
      </c>
      <c r="B101" s="89" t="s">
        <v>12</v>
      </c>
      <c r="C101" s="90"/>
      <c r="D101" s="90"/>
      <c r="E101" s="90"/>
      <c r="F101" s="90"/>
      <c r="G101" s="90"/>
    </row>
    <row r="102" spans="1:15" ht="21" x14ac:dyDescent="0.25">
      <c r="A102" s="88">
        <f>Sheet1!E98</f>
        <v>76800</v>
      </c>
      <c r="B102" s="89">
        <f>Sheet1!M98</f>
        <v>53000</v>
      </c>
    </row>
    <row r="103" spans="1:15" ht="21" x14ac:dyDescent="0.25">
      <c r="A103" s="88">
        <f>Sheet1!E99</f>
        <v>115200</v>
      </c>
      <c r="B103" s="89">
        <f>Sheet1!M99</f>
        <v>61000</v>
      </c>
    </row>
    <row r="104" spans="1:15" ht="21" x14ac:dyDescent="0.25">
      <c r="A104" s="88">
        <f>Sheet1!E100</f>
        <v>80000</v>
      </c>
      <c r="B104" s="89">
        <f>Sheet1!M100</f>
        <v>80000</v>
      </c>
    </row>
    <row r="105" spans="1:15" ht="21" x14ac:dyDescent="0.25">
      <c r="A105" s="88">
        <f>AVERAGE(A102:A104)</f>
        <v>90666.666666666672</v>
      </c>
      <c r="B105" s="89">
        <f>AVERAGE(B102:B104)</f>
        <v>64666.666666666664</v>
      </c>
    </row>
    <row r="106" spans="1:15" ht="21" x14ac:dyDescent="0.25">
      <c r="A106" s="88"/>
      <c r="B106" s="80"/>
    </row>
    <row r="107" spans="1:15" ht="19" customHeight="1" x14ac:dyDescent="0.25">
      <c r="A107" s="88" t="s">
        <v>26</v>
      </c>
      <c r="B107" s="81" t="s">
        <v>22</v>
      </c>
      <c r="C107" s="90"/>
      <c r="D107" s="90"/>
      <c r="E107" s="90"/>
      <c r="F107" s="90"/>
      <c r="G107" s="90"/>
      <c r="H107" s="90"/>
    </row>
    <row r="108" spans="1:15" ht="21" x14ac:dyDescent="0.25">
      <c r="A108" s="88">
        <f>Sheet1!E103</f>
        <v>55000</v>
      </c>
      <c r="B108" s="89">
        <f>Sheet1!M103</f>
        <v>55000</v>
      </c>
    </row>
    <row r="109" spans="1:15" ht="21" x14ac:dyDescent="0.25">
      <c r="A109" s="88">
        <f>Sheet1!E104</f>
        <v>79000</v>
      </c>
      <c r="B109" s="89">
        <f>Sheet1!M104</f>
        <v>76000</v>
      </c>
    </row>
    <row r="110" spans="1:15" ht="21" x14ac:dyDescent="0.25">
      <c r="A110" s="88">
        <f>Sheet1!E105</f>
        <v>83000</v>
      </c>
      <c r="B110" s="89">
        <f>Sheet1!M105</f>
        <v>59000</v>
      </c>
    </row>
    <row r="111" spans="1:15" ht="21" x14ac:dyDescent="0.25">
      <c r="A111" s="90">
        <f>AVERAGE(A108:A110)</f>
        <v>72333.333333333328</v>
      </c>
      <c r="B111" s="89">
        <f>AVERAGE(B108:B110)</f>
        <v>63333.333333333336</v>
      </c>
    </row>
    <row r="112" spans="1:15" ht="21" x14ac:dyDescent="0.25">
      <c r="A112" s="90"/>
      <c r="B112" s="89"/>
    </row>
    <row r="113" spans="1:5" ht="21" x14ac:dyDescent="0.25">
      <c r="A113" s="79" t="s">
        <v>120</v>
      </c>
      <c r="B113" s="81" t="s">
        <v>121</v>
      </c>
    </row>
    <row r="114" spans="1:5" ht="21" x14ac:dyDescent="0.25">
      <c r="A114" s="84">
        <f>Sheet1!E108</f>
        <v>78400</v>
      </c>
      <c r="B114" s="81">
        <f>Sheet1!M108</f>
        <v>72000</v>
      </c>
    </row>
    <row r="115" spans="1:5" ht="21" x14ac:dyDescent="0.25">
      <c r="A115" s="84">
        <f>Sheet1!E109</f>
        <v>86400</v>
      </c>
      <c r="B115" s="81">
        <f>Sheet1!M109</f>
        <v>75200</v>
      </c>
    </row>
    <row r="116" spans="1:5" ht="21" x14ac:dyDescent="0.25">
      <c r="A116" s="84">
        <f>Sheet1!E110</f>
        <v>68800</v>
      </c>
      <c r="B116" s="81">
        <f>Sheet1!M110</f>
        <v>48000</v>
      </c>
    </row>
    <row r="117" spans="1:5" ht="22" thickBot="1" x14ac:dyDescent="0.3">
      <c r="A117" s="97">
        <f>AVERAGE(A114:A116)</f>
        <v>77866.666666666672</v>
      </c>
      <c r="B117" s="92">
        <f>AVERAGE(B114:B116)</f>
        <v>65066.666666666664</v>
      </c>
    </row>
    <row r="118" spans="1:5" ht="21" x14ac:dyDescent="0.25">
      <c r="A118" s="90"/>
      <c r="B118" s="90"/>
    </row>
    <row r="119" spans="1:5" ht="16" thickBot="1" x14ac:dyDescent="0.25"/>
    <row r="120" spans="1:5" ht="21" x14ac:dyDescent="0.25">
      <c r="A120" s="77" t="s">
        <v>53</v>
      </c>
      <c r="B120" s="78"/>
      <c r="D120" s="84" t="s">
        <v>53</v>
      </c>
    </row>
    <row r="121" spans="1:5" ht="21" x14ac:dyDescent="0.25">
      <c r="A121" s="84" t="s">
        <v>11</v>
      </c>
      <c r="B121" s="81" t="s">
        <v>12</v>
      </c>
      <c r="D121" s="84" t="s">
        <v>11</v>
      </c>
      <c r="E121" s="84" t="s">
        <v>12</v>
      </c>
    </row>
    <row r="122" spans="1:5" ht="21" x14ac:dyDescent="0.25">
      <c r="A122" s="79">
        <f>Sheet1!E115</f>
        <v>48000</v>
      </c>
      <c r="B122" s="81">
        <f>Sheet1!M115</f>
        <v>4979000</v>
      </c>
      <c r="C122" s="84"/>
      <c r="D122" s="84">
        <f>A122/A105</f>
        <v>0.52941176470588236</v>
      </c>
      <c r="E122" s="84">
        <f>B122/B105</f>
        <v>76.994845360824741</v>
      </c>
    </row>
    <row r="123" spans="1:5" ht="21" x14ac:dyDescent="0.25">
      <c r="A123" s="79">
        <f>Sheet1!E116</f>
        <v>59000</v>
      </c>
      <c r="B123" s="81">
        <f>Sheet1!M116</f>
        <v>5289000</v>
      </c>
      <c r="D123" s="84">
        <f>A123/A105</f>
        <v>0.65073529411764708</v>
      </c>
      <c r="E123" s="84">
        <f>B123/B105</f>
        <v>81.788659793814432</v>
      </c>
    </row>
    <row r="124" spans="1:5" ht="21" x14ac:dyDescent="0.25">
      <c r="A124" s="79">
        <f>Sheet1!E117</f>
        <v>49000</v>
      </c>
      <c r="B124" s="81">
        <f>Sheet1!M117</f>
        <v>4822000</v>
      </c>
      <c r="D124" s="84">
        <f>A124/A105</f>
        <v>0.5404411764705882</v>
      </c>
      <c r="E124" s="84">
        <f>B124/B105</f>
        <v>74.567010309278359</v>
      </c>
    </row>
    <row r="125" spans="1:5" ht="21" x14ac:dyDescent="0.25">
      <c r="A125" s="87"/>
      <c r="B125" s="80"/>
      <c r="D125" s="86">
        <f>AVERAGE(D122:D124)</f>
        <v>0.57352941176470595</v>
      </c>
      <c r="E125" s="86">
        <f>AVERAGE(E122:E124)</f>
        <v>77.783505154639172</v>
      </c>
    </row>
    <row r="126" spans="1:5" ht="22" x14ac:dyDescent="0.25">
      <c r="A126" s="88" t="s">
        <v>26</v>
      </c>
      <c r="B126" s="81" t="s">
        <v>22</v>
      </c>
      <c r="D126" s="90" t="s">
        <v>26</v>
      </c>
      <c r="E126" s="84" t="s">
        <v>22</v>
      </c>
    </row>
    <row r="127" spans="1:5" ht="21" x14ac:dyDescent="0.25">
      <c r="A127" s="88">
        <f>Sheet1!E120</f>
        <v>7936000</v>
      </c>
      <c r="B127" s="81">
        <f>Sheet1!M120</f>
        <v>647000</v>
      </c>
      <c r="D127" s="90">
        <f>A127/A111</f>
        <v>109.71428571428572</v>
      </c>
      <c r="E127" s="90">
        <f>B127/B111</f>
        <v>10.215789473684211</v>
      </c>
    </row>
    <row r="128" spans="1:5" ht="21" x14ac:dyDescent="0.25">
      <c r="A128" s="88">
        <f>Sheet1!E121</f>
        <v>7694000</v>
      </c>
      <c r="B128" s="81">
        <f>Sheet1!M121</f>
        <v>759000</v>
      </c>
      <c r="D128" s="90">
        <f>A128/A111</f>
        <v>106.36866359447005</v>
      </c>
      <c r="E128" s="90">
        <f>B128/B111</f>
        <v>11.984210526315788</v>
      </c>
    </row>
    <row r="129" spans="1:5" ht="21" x14ac:dyDescent="0.25">
      <c r="A129" s="88">
        <f>Sheet1!E122</f>
        <v>6779000</v>
      </c>
      <c r="B129" s="81">
        <f>Sheet1!M122</f>
        <v>738000</v>
      </c>
      <c r="D129" s="90">
        <f>A129/A111</f>
        <v>93.718894009216598</v>
      </c>
      <c r="E129" s="90">
        <f>B129/B111</f>
        <v>11.652631578947368</v>
      </c>
    </row>
    <row r="130" spans="1:5" ht="21" x14ac:dyDescent="0.25">
      <c r="A130" s="87"/>
      <c r="B130" s="80"/>
      <c r="D130" s="86"/>
      <c r="E130" s="86"/>
    </row>
    <row r="131" spans="1:5" ht="21" x14ac:dyDescent="0.25">
      <c r="A131" s="79"/>
      <c r="B131" s="80"/>
    </row>
    <row r="132" spans="1:5" ht="21" customHeight="1" x14ac:dyDescent="0.25">
      <c r="A132" s="79" t="s">
        <v>120</v>
      </c>
      <c r="B132" s="81" t="s">
        <v>121</v>
      </c>
      <c r="D132" s="84" t="s">
        <v>120</v>
      </c>
      <c r="E132" s="90" t="s">
        <v>50</v>
      </c>
    </row>
    <row r="133" spans="1:5" ht="21" x14ac:dyDescent="0.25">
      <c r="A133" s="88">
        <f>Sheet1!E125</f>
        <v>62000</v>
      </c>
      <c r="B133" s="89">
        <f>Sheet1!M125</f>
        <v>48000</v>
      </c>
      <c r="D133" s="84">
        <f>A133/A117</f>
        <v>0.79623287671232867</v>
      </c>
      <c r="E133" s="90">
        <f>B133/B117</f>
        <v>0.73770491803278693</v>
      </c>
    </row>
    <row r="134" spans="1:5" ht="21" x14ac:dyDescent="0.25">
      <c r="A134" s="88">
        <f>Sheet1!E126</f>
        <v>57000</v>
      </c>
      <c r="B134" s="89">
        <f>Sheet1!M126</f>
        <v>54000</v>
      </c>
      <c r="D134" s="84">
        <f>A134/A117</f>
        <v>0.73202054794520544</v>
      </c>
      <c r="E134" s="90">
        <f>B134/B117</f>
        <v>0.82991803278688525</v>
      </c>
    </row>
    <row r="135" spans="1:5" ht="22" thickBot="1" x14ac:dyDescent="0.3">
      <c r="A135" s="91">
        <f>Sheet1!E127</f>
        <v>47000</v>
      </c>
      <c r="B135" s="92">
        <f>Sheet1!M127</f>
        <v>52000</v>
      </c>
      <c r="D135" s="84">
        <f>A135/A117</f>
        <v>0.60359589041095885</v>
      </c>
      <c r="E135" s="90">
        <f>B135/B117</f>
        <v>0.79918032786885251</v>
      </c>
    </row>
    <row r="136" spans="1:5" ht="22" thickBot="1" x14ac:dyDescent="0.3">
      <c r="D136" s="86">
        <f>AVERAGE(D133:D135)</f>
        <v>0.71061643835616428</v>
      </c>
      <c r="E136" s="93">
        <f>AVERAGE(E133:E135)</f>
        <v>0.78893442622950827</v>
      </c>
    </row>
    <row r="137" spans="1:5" ht="21" x14ac:dyDescent="0.25">
      <c r="A137" s="77" t="s">
        <v>54</v>
      </c>
      <c r="B137" s="78"/>
    </row>
    <row r="138" spans="1:5" ht="22" x14ac:dyDescent="0.25">
      <c r="A138" s="88" t="s">
        <v>11</v>
      </c>
      <c r="B138" s="81" t="s">
        <v>12</v>
      </c>
    </row>
    <row r="139" spans="1:5" ht="21" x14ac:dyDescent="0.25">
      <c r="A139" s="88">
        <f>Sheet1!E134</f>
        <v>48000</v>
      </c>
      <c r="B139" s="89">
        <f>Sheet1!M134</f>
        <v>62000</v>
      </c>
    </row>
    <row r="140" spans="1:5" ht="21" x14ac:dyDescent="0.25">
      <c r="A140" s="88">
        <f>Sheet1!E135</f>
        <v>59000</v>
      </c>
      <c r="B140" s="89">
        <f>Sheet1!M135</f>
        <v>66000</v>
      </c>
    </row>
    <row r="141" spans="1:5" ht="21" x14ac:dyDescent="0.25">
      <c r="A141" s="88">
        <f>Sheet1!E136</f>
        <v>49000</v>
      </c>
      <c r="B141" s="89">
        <f>Sheet1!M136</f>
        <v>45000</v>
      </c>
    </row>
    <row r="142" spans="1:5" ht="21" x14ac:dyDescent="0.25">
      <c r="A142" s="88">
        <f>AVERAGE(A139:A141)</f>
        <v>52000</v>
      </c>
      <c r="B142" s="89">
        <f>AVERAGE(B139:B141)</f>
        <v>57666.666666666664</v>
      </c>
    </row>
    <row r="143" spans="1:5" ht="21" x14ac:dyDescent="0.25">
      <c r="A143" s="90"/>
      <c r="B143" s="89"/>
    </row>
    <row r="144" spans="1:5" ht="22" x14ac:dyDescent="0.25">
      <c r="A144" s="88" t="s">
        <v>26</v>
      </c>
      <c r="B144" s="81" t="s">
        <v>22</v>
      </c>
    </row>
    <row r="145" spans="1:5" ht="21" x14ac:dyDescent="0.25">
      <c r="A145" s="90">
        <f>Sheet1!E139</f>
        <v>65000</v>
      </c>
      <c r="B145" s="89">
        <f>Sheet1!M139</f>
        <v>55000</v>
      </c>
    </row>
    <row r="146" spans="1:5" ht="21" x14ac:dyDescent="0.25">
      <c r="A146" s="90">
        <f>Sheet1!E140</f>
        <v>63000</v>
      </c>
      <c r="B146" s="89">
        <f>Sheet1!M140</f>
        <v>41000</v>
      </c>
    </row>
    <row r="147" spans="1:5" ht="21" x14ac:dyDescent="0.25">
      <c r="A147" s="90">
        <f>Sheet1!E141</f>
        <v>47000</v>
      </c>
      <c r="B147" s="89">
        <f>Sheet1!M141</f>
        <v>63000</v>
      </c>
    </row>
    <row r="148" spans="1:5" ht="21" x14ac:dyDescent="0.25">
      <c r="A148" s="90">
        <f>AVERAGE(A145:A147)</f>
        <v>58333.333333333336</v>
      </c>
      <c r="B148" s="89">
        <f>AVERAGE(B145:B147)</f>
        <v>53000</v>
      </c>
    </row>
    <row r="149" spans="1:5" ht="21" x14ac:dyDescent="0.25">
      <c r="A149" s="88"/>
      <c r="B149" s="89"/>
    </row>
    <row r="150" spans="1:5" ht="21" x14ac:dyDescent="0.25">
      <c r="A150" s="79" t="s">
        <v>94</v>
      </c>
      <c r="B150" s="81" t="s">
        <v>95</v>
      </c>
    </row>
    <row r="151" spans="1:5" ht="21" x14ac:dyDescent="0.25">
      <c r="A151" s="88">
        <f>Sheet1!E144</f>
        <v>62000</v>
      </c>
      <c r="B151" s="89">
        <f>Sheet1!M144</f>
        <v>48000</v>
      </c>
    </row>
    <row r="152" spans="1:5" ht="21" x14ac:dyDescent="0.25">
      <c r="A152" s="88">
        <f>Sheet1!E145</f>
        <v>57000</v>
      </c>
      <c r="B152" s="89">
        <f>Sheet1!M145</f>
        <v>54000</v>
      </c>
    </row>
    <row r="153" spans="1:5" ht="21" x14ac:dyDescent="0.25">
      <c r="A153" s="88">
        <f>Sheet1!E146</f>
        <v>47000</v>
      </c>
      <c r="B153" s="89">
        <f>Sheet1!M146</f>
        <v>52000</v>
      </c>
    </row>
    <row r="154" spans="1:5" ht="22" thickBot="1" x14ac:dyDescent="0.3">
      <c r="A154" s="91">
        <f>AVERAGE(A151:A153)</f>
        <v>55333.333333333336</v>
      </c>
      <c r="B154" s="92">
        <f>AVERAGE(B151:B153)</f>
        <v>51333.333333333336</v>
      </c>
    </row>
    <row r="155" spans="1:5" ht="16" thickBot="1" x14ac:dyDescent="0.25"/>
    <row r="156" spans="1:5" ht="21" x14ac:dyDescent="0.25">
      <c r="A156" s="77" t="s">
        <v>55</v>
      </c>
      <c r="B156" s="78"/>
      <c r="D156" s="84" t="s">
        <v>55</v>
      </c>
    </row>
    <row r="157" spans="1:5" ht="22" x14ac:dyDescent="0.25">
      <c r="A157" s="88" t="s">
        <v>11</v>
      </c>
      <c r="B157" s="81" t="s">
        <v>12</v>
      </c>
      <c r="D157" s="84" t="s">
        <v>11</v>
      </c>
      <c r="E157" s="84" t="s">
        <v>12</v>
      </c>
    </row>
    <row r="158" spans="1:5" ht="21" x14ac:dyDescent="0.25">
      <c r="A158" s="88">
        <f>'[1]MCF7 10w MonoPalbo-AltICI #3'!E143</f>
        <v>1523200</v>
      </c>
      <c r="B158" s="81">
        <f>'[1]MCF7 10w MonoPalbo-AltICI #3'!M143</f>
        <v>300000</v>
      </c>
      <c r="D158" s="84">
        <f>A158/A142</f>
        <v>29.292307692307691</v>
      </c>
      <c r="E158" s="84">
        <f>B158/B142</f>
        <v>5.202312138728324</v>
      </c>
    </row>
    <row r="159" spans="1:5" ht="21" x14ac:dyDescent="0.25">
      <c r="A159" s="88">
        <f>'[1]MCF7 10w MonoPalbo-AltICI #3'!E144</f>
        <v>1635200</v>
      </c>
      <c r="B159" s="81">
        <f>'[1]MCF7 10w MonoPalbo-AltICI #3'!M144</f>
        <v>308000</v>
      </c>
      <c r="D159" s="84">
        <f>A159/A142</f>
        <v>31.446153846153845</v>
      </c>
      <c r="E159" s="84">
        <f>B159/B142</f>
        <v>5.3410404624277463</v>
      </c>
    </row>
    <row r="160" spans="1:5" ht="21" x14ac:dyDescent="0.25">
      <c r="A160" s="88">
        <f>'[1]MCF7 10w MonoPalbo-AltICI #3'!E145</f>
        <v>1604400</v>
      </c>
      <c r="B160" s="81">
        <f>'[1]MCF7 10w MonoPalbo-AltICI #3'!M145</f>
        <v>342000</v>
      </c>
      <c r="D160" s="84">
        <f>A160/A142</f>
        <v>30.853846153846153</v>
      </c>
      <c r="E160" s="84">
        <f>B160/B142</f>
        <v>5.9306358381502893</v>
      </c>
    </row>
    <row r="161" spans="1:5" ht="21" x14ac:dyDescent="0.25">
      <c r="A161" s="88"/>
      <c r="B161" s="81"/>
      <c r="D161" s="86">
        <f>AVERAGE(D158:D160)</f>
        <v>30.530769230769227</v>
      </c>
      <c r="E161" s="86">
        <f>AVERAGE(E158:E160)</f>
        <v>5.4913294797687868</v>
      </c>
    </row>
    <row r="162" spans="1:5" ht="22" x14ac:dyDescent="0.25">
      <c r="A162" s="88" t="s">
        <v>26</v>
      </c>
      <c r="B162" s="81" t="s">
        <v>22</v>
      </c>
      <c r="D162" s="86"/>
      <c r="E162" s="86"/>
    </row>
    <row r="163" spans="1:5" ht="21" x14ac:dyDescent="0.25">
      <c r="A163" s="88"/>
      <c r="B163" s="81"/>
      <c r="D163" s="86"/>
      <c r="E163" s="86"/>
    </row>
    <row r="164" spans="1:5" ht="21" x14ac:dyDescent="0.25">
      <c r="A164" s="88"/>
      <c r="B164" s="81"/>
      <c r="D164" s="86"/>
      <c r="E164" s="86"/>
    </row>
    <row r="165" spans="1:5" ht="21" x14ac:dyDescent="0.25">
      <c r="A165" s="88"/>
      <c r="B165" s="81"/>
      <c r="D165" s="86"/>
      <c r="E165" s="86"/>
    </row>
    <row r="166" spans="1:5" ht="21" x14ac:dyDescent="0.25">
      <c r="A166" s="88"/>
      <c r="B166" s="81"/>
      <c r="D166" s="86"/>
      <c r="E166" s="86"/>
    </row>
    <row r="167" spans="1:5" ht="21" x14ac:dyDescent="0.25">
      <c r="A167" s="88"/>
      <c r="B167" s="80"/>
    </row>
    <row r="168" spans="1:5" ht="21" x14ac:dyDescent="0.25">
      <c r="A168" s="79" t="s">
        <v>94</v>
      </c>
      <c r="B168" s="81" t="s">
        <v>95</v>
      </c>
      <c r="D168" s="90"/>
      <c r="E168" s="90"/>
    </row>
    <row r="169" spans="1:5" ht="21" x14ac:dyDescent="0.25">
      <c r="A169" s="88">
        <f>'[1]MCF7 10w MonoPalbo-AltICI #3'!E148</f>
        <v>898800</v>
      </c>
      <c r="B169" s="89">
        <f>'[1]MCF7 10w MonoPalbo-AltICI #3'!M148</f>
        <v>154000</v>
      </c>
      <c r="D169" s="90">
        <f>A169/A154</f>
        <v>16.243373493975902</v>
      </c>
      <c r="E169" s="90">
        <f>B169/B154</f>
        <v>3</v>
      </c>
    </row>
    <row r="170" spans="1:5" ht="21" x14ac:dyDescent="0.25">
      <c r="A170" s="88">
        <f>'[1]MCF7 10w MonoPalbo-AltICI #3'!E149</f>
        <v>981400</v>
      </c>
      <c r="B170" s="89">
        <f>'[1]MCF7 10w MonoPalbo-AltICI #3'!M149</f>
        <v>165000</v>
      </c>
      <c r="D170" s="90">
        <f>A170/A154</f>
        <v>17.736144578313251</v>
      </c>
      <c r="E170" s="90">
        <f>B170/B154</f>
        <v>3.214285714285714</v>
      </c>
    </row>
    <row r="171" spans="1:5" ht="22" thickBot="1" x14ac:dyDescent="0.3">
      <c r="A171" s="91">
        <f>'[1]MCF7 10w MonoPalbo-AltICI #3'!E150</f>
        <v>947800</v>
      </c>
      <c r="B171" s="92">
        <f>'[1]MCF7 10w MonoPalbo-AltICI #3'!M150</f>
        <v>190000</v>
      </c>
      <c r="D171" s="90">
        <f>A171/A154</f>
        <v>17.128915662650602</v>
      </c>
      <c r="E171" s="90">
        <f>B171/B154</f>
        <v>3.7012987012987013</v>
      </c>
    </row>
    <row r="172" spans="1:5" ht="22" thickBot="1" x14ac:dyDescent="0.3">
      <c r="A172" s="88"/>
      <c r="D172" s="93">
        <f>AVERAGE(D169:D171)</f>
        <v>17.036144578313252</v>
      </c>
      <c r="E172" s="93">
        <f>AVERAGE(E169:E171)</f>
        <v>3.3051948051948052</v>
      </c>
    </row>
    <row r="173" spans="1:5" s="158" customFormat="1" ht="21" x14ac:dyDescent="0.25">
      <c r="A173" s="156" t="s">
        <v>56</v>
      </c>
      <c r="B173" s="157"/>
    </row>
    <row r="174" spans="1:5" ht="22" x14ac:dyDescent="0.25">
      <c r="A174" s="88" t="s">
        <v>11</v>
      </c>
      <c r="B174" s="81" t="s">
        <v>12</v>
      </c>
    </row>
    <row r="175" spans="1:5" ht="21" x14ac:dyDescent="0.25">
      <c r="A175" s="88">
        <f>'[1]MCF7 10w MonoPalbo-AltICI #3'!E155</f>
        <v>57000</v>
      </c>
      <c r="B175" s="81">
        <f>'[1]MCF7 10w MonoPalbo-AltICI #3'!M155</f>
        <v>65000</v>
      </c>
    </row>
    <row r="176" spans="1:5" ht="21" x14ac:dyDescent="0.25">
      <c r="A176" s="88">
        <f>'[1]MCF7 10w MonoPalbo-AltICI #3'!E156</f>
        <v>48000</v>
      </c>
      <c r="B176" s="81">
        <f>'[1]MCF7 10w MonoPalbo-AltICI #3'!M156</f>
        <v>64000</v>
      </c>
    </row>
    <row r="177" spans="1:5" ht="21" x14ac:dyDescent="0.25">
      <c r="A177" s="88">
        <f>'[1]MCF7 10w MonoPalbo-AltICI #3'!E157</f>
        <v>47000</v>
      </c>
      <c r="B177" s="81">
        <f>'[1]MCF7 10w MonoPalbo-AltICI #3'!M157</f>
        <v>56000</v>
      </c>
    </row>
    <row r="178" spans="1:5" ht="21" x14ac:dyDescent="0.25">
      <c r="A178" s="88">
        <f>AVERAGE(A175:A177)</f>
        <v>50666.666666666664</v>
      </c>
      <c r="B178" s="81">
        <f>AVERAGE(B175:B177)</f>
        <v>61666.666666666664</v>
      </c>
    </row>
    <row r="179" spans="1:5" ht="21" x14ac:dyDescent="0.25">
      <c r="A179" s="88"/>
      <c r="B179" s="80"/>
    </row>
    <row r="180" spans="1:5" ht="44" x14ac:dyDescent="0.25">
      <c r="A180" s="88" t="s">
        <v>52</v>
      </c>
      <c r="B180" s="89" t="s">
        <v>50</v>
      </c>
    </row>
    <row r="181" spans="1:5" ht="21" x14ac:dyDescent="0.25">
      <c r="A181" s="88">
        <f>'[1]MCF7 10w MonoPalbo-AltICI #3'!E160</f>
        <v>40000</v>
      </c>
      <c r="B181" s="89">
        <f>'[1]MCF7 10w MonoPalbo-AltICI #3'!M160</f>
        <v>38000</v>
      </c>
    </row>
    <row r="182" spans="1:5" ht="21" x14ac:dyDescent="0.25">
      <c r="A182" s="88">
        <f>'[1]MCF7 10w MonoPalbo-AltICI #3'!E161</f>
        <v>39000</v>
      </c>
      <c r="B182" s="89">
        <f>'[1]MCF7 10w MonoPalbo-AltICI #3'!M161</f>
        <v>44000</v>
      </c>
    </row>
    <row r="183" spans="1:5" ht="21" x14ac:dyDescent="0.25">
      <c r="A183" s="88">
        <f>'[1]MCF7 10w MonoPalbo-AltICI #3'!E162</f>
        <v>43000</v>
      </c>
      <c r="B183" s="89">
        <f>'[1]MCF7 10w MonoPalbo-AltICI #3'!M162</f>
        <v>46000</v>
      </c>
    </row>
    <row r="184" spans="1:5" ht="22" thickBot="1" x14ac:dyDescent="0.3">
      <c r="A184" s="91">
        <f>AVERAGE(A181:A183)</f>
        <v>40666.666666666664</v>
      </c>
      <c r="B184" s="92">
        <f>AVERAGE(B181:B183)</f>
        <v>42666.666666666664</v>
      </c>
    </row>
    <row r="185" spans="1:5" ht="16" thickBot="1" x14ac:dyDescent="0.25"/>
    <row r="186" spans="1:5" ht="21" x14ac:dyDescent="0.25">
      <c r="A186" s="95" t="s">
        <v>57</v>
      </c>
      <c r="B186" s="96"/>
      <c r="D186" s="84" t="s">
        <v>58</v>
      </c>
    </row>
    <row r="187" spans="1:5" ht="22" x14ac:dyDescent="0.25">
      <c r="A187" s="88" t="s">
        <v>11</v>
      </c>
      <c r="B187" s="81" t="s">
        <v>12</v>
      </c>
      <c r="D187" s="90" t="s">
        <v>11</v>
      </c>
      <c r="E187" s="84" t="s">
        <v>12</v>
      </c>
    </row>
    <row r="188" spans="1:5" ht="21" x14ac:dyDescent="0.25">
      <c r="A188" s="88">
        <f>'[1]MCF7 10w MonoPalbo-AltICI #3'!E167</f>
        <v>2955000</v>
      </c>
      <c r="B188" s="89">
        <f>'[1]MCF7 10w MonoPalbo-AltICI #3'!M167</f>
        <v>1735000</v>
      </c>
      <c r="D188" s="90">
        <f>A188/A178</f>
        <v>58.322368421052637</v>
      </c>
      <c r="E188" s="90">
        <f>B188/B178</f>
        <v>28.135135135135137</v>
      </c>
    </row>
    <row r="189" spans="1:5" ht="21" x14ac:dyDescent="0.25">
      <c r="A189" s="88">
        <f>'[1]MCF7 10w MonoPalbo-AltICI #3'!E168</f>
        <v>2660000</v>
      </c>
      <c r="B189" s="89">
        <f>'[1]MCF7 10w MonoPalbo-AltICI #3'!M168</f>
        <v>1762000</v>
      </c>
      <c r="D189" s="90">
        <f>A189/A178</f>
        <v>52.5</v>
      </c>
      <c r="E189" s="90">
        <f>B189/B178</f>
        <v>28.572972972972973</v>
      </c>
    </row>
    <row r="190" spans="1:5" ht="21" x14ac:dyDescent="0.25">
      <c r="A190" s="88">
        <f>'[1]MCF7 10w MonoPalbo-AltICI #3'!E169</f>
        <v>2902000</v>
      </c>
      <c r="B190" s="89">
        <f>'[1]MCF7 10w MonoPalbo-AltICI #3'!M169</f>
        <v>1798000</v>
      </c>
      <c r="D190" s="90">
        <f>A190/A178</f>
        <v>57.276315789473685</v>
      </c>
      <c r="E190" s="90">
        <f>B190/B178</f>
        <v>29.156756756756756</v>
      </c>
    </row>
    <row r="191" spans="1:5" ht="21" x14ac:dyDescent="0.25">
      <c r="A191" s="88"/>
      <c r="B191" s="89"/>
      <c r="D191" s="90">
        <f>AVERAGE(D188:D190)</f>
        <v>56.032894736842103</v>
      </c>
      <c r="E191" s="90">
        <f>AVERAGE(E188:E190)</f>
        <v>28.621621621621625</v>
      </c>
    </row>
    <row r="192" spans="1:5" ht="66" x14ac:dyDescent="0.25">
      <c r="A192" s="88" t="s">
        <v>59</v>
      </c>
      <c r="B192" s="89" t="s">
        <v>60</v>
      </c>
      <c r="D192" s="90" t="s">
        <v>59</v>
      </c>
      <c r="E192" s="89" t="s">
        <v>60</v>
      </c>
    </row>
    <row r="193" spans="1:5" ht="21" x14ac:dyDescent="0.25">
      <c r="A193" s="88">
        <f>'[1]MCF7 10w MonoPalbo-AltICI #3'!E172</f>
        <v>2100000</v>
      </c>
      <c r="B193" s="89">
        <f>'[1]MCF7 10w MonoPalbo-AltICI #3'!M172</f>
        <v>174000</v>
      </c>
      <c r="D193" s="90">
        <f>A193/A184</f>
        <v>51.639344262295083</v>
      </c>
      <c r="E193" s="90">
        <f>B193/B184</f>
        <v>4.078125</v>
      </c>
    </row>
    <row r="194" spans="1:5" ht="21" x14ac:dyDescent="0.25">
      <c r="A194" s="88">
        <f>'[1]MCF7 10w MonoPalbo-AltICI #3'!E173</f>
        <v>1931000</v>
      </c>
      <c r="B194" s="89">
        <f>'[1]MCF7 10w MonoPalbo-AltICI #3'!M173</f>
        <v>184000</v>
      </c>
      <c r="D194" s="90">
        <f>A194/A184</f>
        <v>47.483606557377051</v>
      </c>
      <c r="E194" s="90">
        <f>B194/B184</f>
        <v>4.3125</v>
      </c>
    </row>
    <row r="195" spans="1:5" ht="22" thickBot="1" x14ac:dyDescent="0.3">
      <c r="A195" s="97">
        <f>'[1]MCF7 10w MonoPalbo-AltICI #3'!E174</f>
        <v>2063000</v>
      </c>
      <c r="B195" s="92">
        <f>'[1]MCF7 10w MonoPalbo-AltICI #3'!M174</f>
        <v>200000</v>
      </c>
      <c r="D195" s="90">
        <f>A195/A184</f>
        <v>50.729508196721312</v>
      </c>
      <c r="E195" s="90">
        <f>B195/B184</f>
        <v>4.6875</v>
      </c>
    </row>
    <row r="196" spans="1:5" ht="22" thickBot="1" x14ac:dyDescent="0.3">
      <c r="D196" s="90">
        <f>AVERAGE(D193:D195)</f>
        <v>49.950819672131139</v>
      </c>
      <c r="E196" s="90">
        <f>AVERAGE(E193:E195)</f>
        <v>4.359375</v>
      </c>
    </row>
    <row r="197" spans="1:5" ht="21" x14ac:dyDescent="0.25">
      <c r="A197" s="77" t="s">
        <v>61</v>
      </c>
      <c r="B197" s="78"/>
    </row>
    <row r="198" spans="1:5" ht="22" x14ac:dyDescent="0.25">
      <c r="A198" s="88" t="s">
        <v>11</v>
      </c>
      <c r="B198" s="81" t="s">
        <v>12</v>
      </c>
    </row>
    <row r="199" spans="1:5" ht="21" x14ac:dyDescent="0.25">
      <c r="A199" s="88">
        <f>'[1]MCF7 10w MonoPalbo-AltICI #3'!E183</f>
        <v>40000</v>
      </c>
      <c r="B199" s="81">
        <f>'[1]MCF7 10w MonoPalbo-AltICI #3'!M183</f>
        <v>47000</v>
      </c>
    </row>
    <row r="200" spans="1:5" ht="21" x14ac:dyDescent="0.25">
      <c r="A200" s="88">
        <f>'[1]MCF7 10w MonoPalbo-AltICI #3'!E184</f>
        <v>45000</v>
      </c>
      <c r="B200" s="81">
        <f>'[1]MCF7 10w MonoPalbo-AltICI #3'!M184</f>
        <v>42000</v>
      </c>
    </row>
    <row r="201" spans="1:5" ht="21" x14ac:dyDescent="0.25">
      <c r="A201" s="88">
        <f>'[1]MCF7 10w MonoPalbo-AltICI #3'!E185</f>
        <v>47000</v>
      </c>
      <c r="B201" s="81">
        <f>'[1]MCF7 10w MonoPalbo-AltICI #3'!M185</f>
        <v>44000</v>
      </c>
    </row>
    <row r="202" spans="1:5" ht="21" x14ac:dyDescent="0.25">
      <c r="A202" s="88">
        <f>AVERAGE(A199:A201)</f>
        <v>44000</v>
      </c>
      <c r="B202" s="81">
        <f>AVERAGE(B199:B201)</f>
        <v>44333.333333333336</v>
      </c>
    </row>
    <row r="203" spans="1:5" ht="21" x14ac:dyDescent="0.25">
      <c r="A203" s="88"/>
      <c r="B203" s="80"/>
    </row>
    <row r="204" spans="1:5" ht="66" x14ac:dyDescent="0.25">
      <c r="A204" s="88" t="s">
        <v>59</v>
      </c>
      <c r="B204" s="89" t="s">
        <v>60</v>
      </c>
    </row>
    <row r="205" spans="1:5" ht="21" x14ac:dyDescent="0.25">
      <c r="A205" s="88">
        <f>'[1]MCF7 10w MonoPalbo-AltICI #3'!E188</f>
        <v>35000</v>
      </c>
      <c r="B205" s="89">
        <f>'[1]MCF7 10w MonoPalbo-AltICI #3'!M188</f>
        <v>42000</v>
      </c>
    </row>
    <row r="206" spans="1:5" ht="21" x14ac:dyDescent="0.25">
      <c r="A206" s="88">
        <f>'[1]MCF7 10w MonoPalbo-AltICI #3'!E189</f>
        <v>42000</v>
      </c>
      <c r="B206" s="89">
        <f>'[1]MCF7 10w MonoPalbo-AltICI #3'!M189</f>
        <v>37000</v>
      </c>
    </row>
    <row r="207" spans="1:5" ht="21" x14ac:dyDescent="0.25">
      <c r="A207" s="88">
        <f>'[1]MCF7 10w MonoPalbo-AltICI #3'!E190</f>
        <v>43000</v>
      </c>
      <c r="B207" s="89">
        <f>'[1]MCF7 10w MonoPalbo-AltICI #3'!M190</f>
        <v>39000</v>
      </c>
    </row>
    <row r="208" spans="1:5" ht="22" thickBot="1" x14ac:dyDescent="0.3">
      <c r="A208" s="91">
        <f>AVERAGE(A205:A207)</f>
        <v>40000</v>
      </c>
      <c r="B208" s="92">
        <f>AVERAGE(B205:B207)</f>
        <v>39333.333333333336</v>
      </c>
    </row>
    <row r="209" spans="1:5" ht="16" thickBot="1" x14ac:dyDescent="0.25"/>
    <row r="210" spans="1:5" ht="21" x14ac:dyDescent="0.25">
      <c r="A210" s="77" t="s">
        <v>62</v>
      </c>
      <c r="B210" s="96"/>
      <c r="D210" s="84" t="s">
        <v>63</v>
      </c>
    </row>
    <row r="211" spans="1:5" ht="22" x14ac:dyDescent="0.25">
      <c r="A211" s="88" t="s">
        <v>11</v>
      </c>
      <c r="B211" s="81" t="s">
        <v>12</v>
      </c>
      <c r="D211" s="84" t="s">
        <v>11</v>
      </c>
      <c r="E211" s="90" t="s">
        <v>12</v>
      </c>
    </row>
    <row r="212" spans="1:5" ht="21" x14ac:dyDescent="0.25">
      <c r="A212" s="90">
        <f>'[1]MCF7 10w MonoPalbo-AltICI #3'!E197</f>
        <v>3535000</v>
      </c>
      <c r="B212" s="81">
        <f>'[1]MCF7 10w MonoPalbo-AltICI #3'!M197</f>
        <v>1292000</v>
      </c>
      <c r="D212" s="90">
        <f>A212/A202</f>
        <v>80.340909090909093</v>
      </c>
      <c r="E212" s="90">
        <f>B212/B202</f>
        <v>29.142857142857142</v>
      </c>
    </row>
    <row r="213" spans="1:5" ht="21" x14ac:dyDescent="0.25">
      <c r="A213" s="90">
        <f>'[1]MCF7 10w MonoPalbo-AltICI #3'!E198</f>
        <v>3771000</v>
      </c>
      <c r="B213" s="81">
        <f>'[1]MCF7 10w MonoPalbo-AltICI #3'!M198</f>
        <v>1290000</v>
      </c>
      <c r="D213" s="90">
        <f>A213/A202</f>
        <v>85.704545454545453</v>
      </c>
      <c r="E213" s="90">
        <f>B213/B202</f>
        <v>29.097744360902254</v>
      </c>
    </row>
    <row r="214" spans="1:5" ht="21" x14ac:dyDescent="0.25">
      <c r="A214" s="90">
        <f>'[1]MCF7 10w MonoPalbo-AltICI #3'!E199</f>
        <v>3574000</v>
      </c>
      <c r="B214" s="81">
        <f>'[1]MCF7 10w MonoPalbo-AltICI #3'!M199</f>
        <v>1033000</v>
      </c>
      <c r="D214" s="90">
        <f>A214/A202</f>
        <v>81.227272727272734</v>
      </c>
      <c r="E214" s="90">
        <f>B214/B202</f>
        <v>23.300751879699249</v>
      </c>
    </row>
    <row r="215" spans="1:5" ht="21" x14ac:dyDescent="0.25">
      <c r="A215" s="88"/>
      <c r="B215" s="81"/>
      <c r="D215" s="90">
        <f>AVERAGE(D212:D214)</f>
        <v>82.424242424242436</v>
      </c>
      <c r="E215" s="90">
        <f>AVERAGE(E212:E214)</f>
        <v>27.180451127819548</v>
      </c>
    </row>
    <row r="216" spans="1:5" ht="88" x14ac:dyDescent="0.25">
      <c r="A216" s="90" t="s">
        <v>64</v>
      </c>
      <c r="B216" s="89" t="s">
        <v>65</v>
      </c>
      <c r="D216" s="90" t="s">
        <v>64</v>
      </c>
      <c r="E216" s="90" t="s">
        <v>65</v>
      </c>
    </row>
    <row r="217" spans="1:5" ht="21" x14ac:dyDescent="0.25">
      <c r="A217" s="90">
        <f>'[1]MCF7 10w MonoPalbo-AltICI #3'!E202</f>
        <v>1389000</v>
      </c>
      <c r="B217" s="89">
        <f>'[1]MCF7 10w MonoPalbo-AltICI #3'!M202</f>
        <v>73000</v>
      </c>
      <c r="D217" s="90">
        <f>A217/A208</f>
        <v>34.725000000000001</v>
      </c>
      <c r="E217" s="90">
        <f>B217/B208</f>
        <v>1.8559322033898304</v>
      </c>
    </row>
    <row r="218" spans="1:5" ht="21" x14ac:dyDescent="0.25">
      <c r="A218" s="90">
        <f>'[1]MCF7 10w MonoPalbo-AltICI #3'!E203</f>
        <v>1258000</v>
      </c>
      <c r="B218" s="89">
        <f>'[1]MCF7 10w MonoPalbo-AltICI #3'!M203</f>
        <v>92000</v>
      </c>
      <c r="D218" s="90">
        <f>A218/A208</f>
        <v>31.45</v>
      </c>
      <c r="E218" s="90">
        <f>B218/B208</f>
        <v>2.3389830508474576</v>
      </c>
    </row>
    <row r="219" spans="1:5" ht="22" thickBot="1" x14ac:dyDescent="0.3">
      <c r="A219" s="91">
        <f>'[1]MCF7 10w MonoPalbo-AltICI #3'!E204</f>
        <v>1283000</v>
      </c>
      <c r="B219" s="92">
        <f>'[1]MCF7 10w MonoPalbo-AltICI #3'!M204</f>
        <v>97000</v>
      </c>
      <c r="D219" s="90">
        <f>A219/A208</f>
        <v>32.075000000000003</v>
      </c>
      <c r="E219" s="90">
        <f>B219/B208</f>
        <v>2.4661016949152539</v>
      </c>
    </row>
    <row r="220" spans="1:5" ht="22" thickBot="1" x14ac:dyDescent="0.3">
      <c r="D220" s="90">
        <f>AVERAGE(D217:D219)</f>
        <v>32.75</v>
      </c>
      <c r="E220" s="90">
        <f>AVERAGE(E217:E219)</f>
        <v>2.2203389830508473</v>
      </c>
    </row>
    <row r="221" spans="1:5" ht="21" x14ac:dyDescent="0.25">
      <c r="A221" s="77" t="s">
        <v>66</v>
      </c>
      <c r="B221" s="96"/>
    </row>
    <row r="222" spans="1:5" ht="22" x14ac:dyDescent="0.25">
      <c r="A222" s="88" t="s">
        <v>11</v>
      </c>
      <c r="B222" s="81" t="s">
        <v>12</v>
      </c>
    </row>
    <row r="223" spans="1:5" ht="21" x14ac:dyDescent="0.25">
      <c r="A223" s="88">
        <f>'[1]MCF7 10w MonoPalbo-AltICI #3'!E211</f>
        <v>47000</v>
      </c>
      <c r="B223" s="81">
        <f>'[1]MCF7 10w MonoPalbo-AltICI #3'!M211</f>
        <v>42000</v>
      </c>
    </row>
    <row r="224" spans="1:5" ht="21" x14ac:dyDescent="0.25">
      <c r="A224" s="88">
        <f>'[1]MCF7 10w MonoPalbo-AltICI #3'!E212</f>
        <v>48000</v>
      </c>
      <c r="B224" s="81">
        <f>'[1]MCF7 10w MonoPalbo-AltICI #3'!M212</f>
        <v>48000</v>
      </c>
    </row>
    <row r="225" spans="1:5" ht="21" x14ac:dyDescent="0.25">
      <c r="A225" s="88">
        <f>'[1]MCF7 10w MonoPalbo-AltICI #3'!E213</f>
        <v>38000</v>
      </c>
      <c r="B225" s="81">
        <f>'[1]MCF7 10w MonoPalbo-AltICI #3'!M213</f>
        <v>40000</v>
      </c>
    </row>
    <row r="226" spans="1:5" ht="21" x14ac:dyDescent="0.25">
      <c r="A226" s="90">
        <f>AVERAGE(A223:A225)</f>
        <v>44333.333333333336</v>
      </c>
      <c r="B226" s="81">
        <f>AVERAGE(B223:B225)</f>
        <v>43333.333333333336</v>
      </c>
    </row>
    <row r="227" spans="1:5" ht="21" x14ac:dyDescent="0.25">
      <c r="A227" s="90"/>
      <c r="B227" s="81"/>
    </row>
    <row r="228" spans="1:5" ht="66" x14ac:dyDescent="0.25">
      <c r="A228" s="90" t="s">
        <v>64</v>
      </c>
      <c r="B228" s="89" t="s">
        <v>65</v>
      </c>
      <c r="C228" s="90"/>
      <c r="D228" s="90"/>
      <c r="E228" s="90"/>
    </row>
    <row r="229" spans="1:5" ht="21" x14ac:dyDescent="0.25">
      <c r="A229" s="90">
        <f>'[1]MCF7 10w MonoPalbo-AltICI #3'!E216</f>
        <v>49000</v>
      </c>
      <c r="B229" s="81">
        <f>'[1]MCF7 10w MonoPalbo-AltICI #3'!M216</f>
        <v>42000</v>
      </c>
    </row>
    <row r="230" spans="1:5" ht="21" x14ac:dyDescent="0.25">
      <c r="A230" s="90">
        <f>'[1]MCF7 10w MonoPalbo-AltICI #3'!E217</f>
        <v>56000</v>
      </c>
      <c r="B230" s="81">
        <f>'[1]MCF7 10w MonoPalbo-AltICI #3'!M217</f>
        <v>49000</v>
      </c>
    </row>
    <row r="231" spans="1:5" ht="21" x14ac:dyDescent="0.25">
      <c r="A231" s="90">
        <f>'[1]MCF7 10w MonoPalbo-AltICI #3'!E218</f>
        <v>39000</v>
      </c>
      <c r="B231" s="81">
        <f>'[1]MCF7 10w MonoPalbo-AltICI #3'!M218</f>
        <v>44000</v>
      </c>
    </row>
    <row r="232" spans="1:5" ht="22" thickBot="1" x14ac:dyDescent="0.3">
      <c r="A232" s="91">
        <f>AVERAGE(A229:A231)</f>
        <v>48000</v>
      </c>
      <c r="B232" s="92">
        <f>AVERAGE(B229:B231)</f>
        <v>45000</v>
      </c>
    </row>
    <row r="233" spans="1:5" ht="22" thickBot="1" x14ac:dyDescent="0.3">
      <c r="A233" s="90"/>
    </row>
    <row r="234" spans="1:5" ht="21" x14ac:dyDescent="0.25">
      <c r="A234" s="77" t="s">
        <v>67</v>
      </c>
      <c r="B234" s="96"/>
      <c r="D234" s="84" t="s">
        <v>67</v>
      </c>
    </row>
    <row r="235" spans="1:5" ht="22" x14ac:dyDescent="0.25">
      <c r="A235" s="88" t="s">
        <v>11</v>
      </c>
      <c r="B235" s="81" t="s">
        <v>12</v>
      </c>
      <c r="D235" s="84" t="s">
        <v>11</v>
      </c>
      <c r="E235" s="84" t="s">
        <v>12</v>
      </c>
    </row>
    <row r="236" spans="1:5" ht="21" x14ac:dyDescent="0.25">
      <c r="A236" s="88">
        <f>'[1]MCF7 10w MonoPalbo-AltICI #3'!E222</f>
        <v>1927000</v>
      </c>
      <c r="B236" s="81">
        <f>'[1]MCF7 10w MonoPalbo-AltICI #3'!M222</f>
        <v>373000</v>
      </c>
      <c r="D236" s="84">
        <f>A236/A226</f>
        <v>43.46616541353383</v>
      </c>
      <c r="E236" s="84">
        <f>B236/B226</f>
        <v>8.6076923076923073</v>
      </c>
    </row>
    <row r="237" spans="1:5" ht="21" x14ac:dyDescent="0.25">
      <c r="A237" s="88">
        <f>'[1]MCF7 10w MonoPalbo-AltICI #3'!E223</f>
        <v>1971000</v>
      </c>
      <c r="B237" s="81">
        <f>'[1]MCF7 10w MonoPalbo-AltICI #3'!M223</f>
        <v>393000</v>
      </c>
      <c r="D237" s="84">
        <f>A237/A226</f>
        <v>44.458646616541351</v>
      </c>
      <c r="E237" s="84">
        <f>B237/B226</f>
        <v>9.069230769230769</v>
      </c>
    </row>
    <row r="238" spans="1:5" ht="21" x14ac:dyDescent="0.25">
      <c r="A238" s="88">
        <f>'[1]MCF7 10w MonoPalbo-AltICI #3'!E224</f>
        <v>2097000</v>
      </c>
      <c r="B238" s="81">
        <f>'[1]MCF7 10w MonoPalbo-AltICI #3'!M224</f>
        <v>377000</v>
      </c>
      <c r="D238" s="84">
        <f>A238/A226</f>
        <v>47.300751879699249</v>
      </c>
      <c r="E238" s="84">
        <f>B238/B226</f>
        <v>8.6999999999999993</v>
      </c>
    </row>
    <row r="239" spans="1:5" ht="21" x14ac:dyDescent="0.25">
      <c r="B239" s="81"/>
      <c r="D239" s="84">
        <f>AVERAGE(D236:D238)</f>
        <v>45.075187969924805</v>
      </c>
      <c r="E239" s="84">
        <f>AVERAGE(E236:E238)</f>
        <v>8.7923076923076913</v>
      </c>
    </row>
    <row r="240" spans="1:5" ht="88" x14ac:dyDescent="0.25">
      <c r="A240" s="90" t="s">
        <v>68</v>
      </c>
      <c r="B240" s="89" t="s">
        <v>69</v>
      </c>
      <c r="D240" s="90" t="s">
        <v>68</v>
      </c>
      <c r="E240" s="90" t="s">
        <v>69</v>
      </c>
    </row>
    <row r="241" spans="1:5" ht="21" x14ac:dyDescent="0.25">
      <c r="A241" s="88">
        <f>'[1]MCF7 10w MonoPalbo-AltICI #3'!E227</f>
        <v>1960000</v>
      </c>
      <c r="B241" s="81">
        <f>'[1]MCF7 10w MonoPalbo-AltICI #3'!M227</f>
        <v>81000</v>
      </c>
      <c r="D241" s="84">
        <f>A241/A232</f>
        <v>40.833333333333336</v>
      </c>
      <c r="E241" s="84">
        <f>B241/B232</f>
        <v>1.8</v>
      </c>
    </row>
    <row r="242" spans="1:5" ht="21" x14ac:dyDescent="0.25">
      <c r="A242" s="88">
        <f>'[1]MCF7 10w MonoPalbo-AltICI #3'!E228</f>
        <v>2004000</v>
      </c>
      <c r="B242" s="81">
        <f>'[1]MCF7 10w MonoPalbo-AltICI #3'!M228</f>
        <v>79000</v>
      </c>
      <c r="D242" s="84">
        <f>A242/A232</f>
        <v>41.75</v>
      </c>
      <c r="E242" s="84">
        <f>B242/B232</f>
        <v>1.7555555555555555</v>
      </c>
    </row>
    <row r="243" spans="1:5" ht="22" thickBot="1" x14ac:dyDescent="0.3">
      <c r="A243" s="91">
        <f>'[1]MCF7 10w MonoPalbo-AltICI #3'!E229</f>
        <v>2070000</v>
      </c>
      <c r="B243" s="92">
        <f>'[1]MCF7 10w MonoPalbo-AltICI #3'!M229</f>
        <v>92000</v>
      </c>
      <c r="D243" s="84">
        <f>A243/A232</f>
        <v>43.125</v>
      </c>
      <c r="E243" s="84">
        <f>B243/B232</f>
        <v>2.0444444444444443</v>
      </c>
    </row>
    <row r="244" spans="1:5" ht="22" thickBot="1" x14ac:dyDescent="0.3">
      <c r="D244" s="84">
        <f>AVERAGE(D241:D243)</f>
        <v>41.902777777777779</v>
      </c>
      <c r="E244" s="84">
        <f>AVERAGE(E241:E243)</f>
        <v>1.8666666666666665</v>
      </c>
    </row>
    <row r="245" spans="1:5" ht="21" x14ac:dyDescent="0.25">
      <c r="A245" s="77" t="s">
        <v>70</v>
      </c>
      <c r="B245" s="96"/>
    </row>
    <row r="246" spans="1:5" ht="22" x14ac:dyDescent="0.25">
      <c r="A246" s="88" t="s">
        <v>11</v>
      </c>
      <c r="B246" s="81" t="s">
        <v>12</v>
      </c>
    </row>
    <row r="247" spans="1:5" ht="21" x14ac:dyDescent="0.25">
      <c r="A247" s="88">
        <f>'[1]MCF7 10w MonoPalbo-AltICI #3'!E237</f>
        <v>41000</v>
      </c>
      <c r="B247" s="81">
        <f>'[1]MCF7 10w MonoPalbo-AltICI #3'!M237</f>
        <v>47000</v>
      </c>
    </row>
    <row r="248" spans="1:5" ht="21" x14ac:dyDescent="0.25">
      <c r="A248" s="88">
        <f>'[1]MCF7 10w MonoPalbo-AltICI #3'!E238</f>
        <v>36000</v>
      </c>
      <c r="B248" s="81">
        <f>'[1]MCF7 10w MonoPalbo-AltICI #3'!M238</f>
        <v>35000</v>
      </c>
    </row>
    <row r="249" spans="1:5" ht="21" x14ac:dyDescent="0.25">
      <c r="A249" s="88">
        <f>'[1]MCF7 10w MonoPalbo-AltICI #3'!E239</f>
        <v>38000</v>
      </c>
      <c r="B249" s="81">
        <f>'[1]MCF7 10w MonoPalbo-AltICI #3'!M239</f>
        <v>34000</v>
      </c>
    </row>
    <row r="250" spans="1:5" ht="21" x14ac:dyDescent="0.25">
      <c r="A250" s="90">
        <f>AVERAGE(A247:A249)</f>
        <v>38333.333333333336</v>
      </c>
      <c r="B250" s="81">
        <f>AVERAGE(B247:B249)</f>
        <v>38666.666666666664</v>
      </c>
    </row>
    <row r="251" spans="1:5" ht="21" x14ac:dyDescent="0.25">
      <c r="B251" s="81"/>
    </row>
    <row r="252" spans="1:5" ht="66" x14ac:dyDescent="0.25">
      <c r="A252" s="90" t="s">
        <v>68</v>
      </c>
      <c r="B252" s="89" t="s">
        <v>69</v>
      </c>
    </row>
    <row r="253" spans="1:5" ht="21" x14ac:dyDescent="0.25">
      <c r="A253" s="88">
        <f>'[1]MCF7 10w MonoPalbo-AltICI #3'!E242</f>
        <v>46000</v>
      </c>
      <c r="B253" s="81">
        <f>'[1]MCF7 10w MonoPalbo-AltICI #3'!M242</f>
        <v>45000</v>
      </c>
    </row>
    <row r="254" spans="1:5" ht="21" x14ac:dyDescent="0.25">
      <c r="A254" s="88">
        <f>'[1]MCF7 10w MonoPalbo-AltICI #3'!E243</f>
        <v>46000</v>
      </c>
      <c r="B254" s="81">
        <f>'[1]MCF7 10w MonoPalbo-AltICI #3'!M243</f>
        <v>44000</v>
      </c>
    </row>
    <row r="255" spans="1:5" ht="21" x14ac:dyDescent="0.25">
      <c r="A255" s="88">
        <f>'[1]MCF7 10w MonoPalbo-AltICI #3'!E244</f>
        <v>37000</v>
      </c>
      <c r="B255" s="81">
        <f>'[1]MCF7 10w MonoPalbo-AltICI #3'!M244</f>
        <v>47000</v>
      </c>
    </row>
    <row r="256" spans="1:5" ht="22" thickBot="1" x14ac:dyDescent="0.3">
      <c r="A256" s="91">
        <f>AVERAGE(A253:A255)</f>
        <v>43000</v>
      </c>
      <c r="B256" s="92">
        <f>AVERAGE(B253:B255)</f>
        <v>45333.333333333336</v>
      </c>
    </row>
    <row r="257" spans="1:5" ht="16" thickBot="1" x14ac:dyDescent="0.25"/>
    <row r="258" spans="1:5" ht="21" x14ac:dyDescent="0.25">
      <c r="A258" s="77" t="s">
        <v>71</v>
      </c>
      <c r="B258" s="96"/>
      <c r="D258" s="84" t="s">
        <v>71</v>
      </c>
    </row>
    <row r="259" spans="1:5" ht="22" x14ac:dyDescent="0.25">
      <c r="A259" s="88" t="s">
        <v>11</v>
      </c>
      <c r="B259" s="81" t="s">
        <v>12</v>
      </c>
      <c r="D259" s="84" t="s">
        <v>11</v>
      </c>
      <c r="E259" s="84" t="s">
        <v>12</v>
      </c>
    </row>
    <row r="260" spans="1:5" ht="21" x14ac:dyDescent="0.25">
      <c r="A260" s="88">
        <f>'[1]MCF7 10w MonoPalbo-AltICI #3'!E252</f>
        <v>2919000</v>
      </c>
      <c r="B260" s="81">
        <f>'[1]MCF7 10w MonoPalbo-AltICI #3'!M252</f>
        <v>1281600</v>
      </c>
      <c r="D260" s="84">
        <f>A260/A250</f>
        <v>76.147826086956513</v>
      </c>
      <c r="E260" s="84">
        <f>B260/B250</f>
        <v>33.144827586206901</v>
      </c>
    </row>
    <row r="261" spans="1:5" ht="21" x14ac:dyDescent="0.25">
      <c r="A261" s="88">
        <f>'[1]MCF7 10w MonoPalbo-AltICI #3'!E253</f>
        <v>2742600</v>
      </c>
      <c r="B261" s="81">
        <f>'[1]MCF7 10w MonoPalbo-AltICI #3'!M253</f>
        <v>1210800</v>
      </c>
      <c r="D261" s="84">
        <f>A261/A250</f>
        <v>71.546086956521734</v>
      </c>
      <c r="E261" s="84">
        <f>B261/B250</f>
        <v>31.313793103448276</v>
      </c>
    </row>
    <row r="262" spans="1:5" ht="21" x14ac:dyDescent="0.25">
      <c r="A262" s="88">
        <f>'[1]MCF7 10w MonoPalbo-AltICI #3'!E254</f>
        <v>2696400</v>
      </c>
      <c r="B262" s="81">
        <f>'[1]MCF7 10w MonoPalbo-AltICI #3'!M254</f>
        <v>1087200</v>
      </c>
      <c r="D262" s="84">
        <f>A262/A250</f>
        <v>70.340869565217389</v>
      </c>
      <c r="E262" s="84">
        <f>B262/B250</f>
        <v>28.117241379310347</v>
      </c>
    </row>
    <row r="263" spans="1:5" ht="21" x14ac:dyDescent="0.25">
      <c r="B263" s="81"/>
      <c r="D263" s="84">
        <f>AVERAGE(D260:D262)</f>
        <v>72.678260869565207</v>
      </c>
      <c r="E263" s="84">
        <f>AVERAGE(E260:E262)</f>
        <v>30.858620689655172</v>
      </c>
    </row>
    <row r="264" spans="1:5" ht="88" x14ac:dyDescent="0.25">
      <c r="A264" s="90" t="s">
        <v>72</v>
      </c>
      <c r="B264" s="89" t="s">
        <v>73</v>
      </c>
      <c r="D264" s="90" t="s">
        <v>68</v>
      </c>
      <c r="E264" s="90" t="s">
        <v>69</v>
      </c>
    </row>
    <row r="265" spans="1:5" ht="21" x14ac:dyDescent="0.25">
      <c r="A265" s="88">
        <f>'[1]MCF7 10w MonoPalbo-AltICI #3'!E257</f>
        <v>1611400</v>
      </c>
      <c r="B265" s="81">
        <f>'[1]MCF7 10w MonoPalbo-AltICI #3'!M257</f>
        <v>90000</v>
      </c>
      <c r="D265" s="84">
        <f>A265/A256</f>
        <v>37.474418604651163</v>
      </c>
      <c r="E265" s="84">
        <f>B265/B256</f>
        <v>1.9852941176470587</v>
      </c>
    </row>
    <row r="266" spans="1:5" ht="21" x14ac:dyDescent="0.25">
      <c r="A266" s="88">
        <f>'[1]MCF7 10w MonoPalbo-AltICI #3'!E258</f>
        <v>1719200</v>
      </c>
      <c r="B266" s="81">
        <f>'[1]MCF7 10w MonoPalbo-AltICI #3'!M258</f>
        <v>114000</v>
      </c>
      <c r="D266" s="84">
        <f>A266/A256</f>
        <v>39.981395348837211</v>
      </c>
      <c r="E266" s="84">
        <f>B266/B256</f>
        <v>2.5147058823529411</v>
      </c>
    </row>
    <row r="267" spans="1:5" ht="22" thickBot="1" x14ac:dyDescent="0.3">
      <c r="A267" s="91">
        <f>'[1]MCF7 10w MonoPalbo-AltICI #3'!E259</f>
        <v>1575000</v>
      </c>
      <c r="B267" s="92">
        <f>'[1]MCF7 10w MonoPalbo-AltICI #3'!M259</f>
        <v>123000</v>
      </c>
      <c r="D267" s="84">
        <f>A267/A256</f>
        <v>36.627906976744185</v>
      </c>
      <c r="E267" s="84">
        <f>B267/B256</f>
        <v>2.7132352941176467</v>
      </c>
    </row>
    <row r="268" spans="1:5" ht="22" thickBot="1" x14ac:dyDescent="0.3">
      <c r="D268" s="84">
        <f>AVERAGE(D265:D267)</f>
        <v>38.027906976744184</v>
      </c>
      <c r="E268" s="84">
        <f>AVERAGE(E265:E267)</f>
        <v>2.4044117647058822</v>
      </c>
    </row>
    <row r="269" spans="1:5" ht="21" x14ac:dyDescent="0.25">
      <c r="A269" s="77" t="s">
        <v>74</v>
      </c>
      <c r="B269" s="96"/>
    </row>
    <row r="270" spans="1:5" ht="22" x14ac:dyDescent="0.25">
      <c r="A270" s="88" t="s">
        <v>11</v>
      </c>
      <c r="B270" s="81" t="s">
        <v>12</v>
      </c>
    </row>
    <row r="271" spans="1:5" ht="21" x14ac:dyDescent="0.25">
      <c r="A271" s="88">
        <f>'[1]MCF7 10w MonoPalbo-AltICI #3'!E267</f>
        <v>39000</v>
      </c>
      <c r="B271" s="81">
        <f>'[1]MCF7 10w MonoPalbo-AltICI #3'!M267</f>
        <v>31000</v>
      </c>
    </row>
    <row r="272" spans="1:5" ht="21" x14ac:dyDescent="0.25">
      <c r="A272" s="88">
        <f>'[1]MCF7 10w MonoPalbo-AltICI #3'!E268</f>
        <v>36000</v>
      </c>
      <c r="B272" s="81">
        <f>'[1]MCF7 10w MonoPalbo-AltICI #3'!M268</f>
        <v>43000</v>
      </c>
    </row>
    <row r="273" spans="1:5" ht="21" x14ac:dyDescent="0.25">
      <c r="A273" s="88">
        <f>'[1]MCF7 10w MonoPalbo-AltICI #3'!E269</f>
        <v>42000</v>
      </c>
      <c r="B273" s="81">
        <f>'[1]MCF7 10w MonoPalbo-AltICI #3'!M269</f>
        <v>45000</v>
      </c>
    </row>
    <row r="274" spans="1:5" ht="21" x14ac:dyDescent="0.25">
      <c r="A274" s="88">
        <f>AVERAGE(A271:A273)</f>
        <v>39000</v>
      </c>
      <c r="B274" s="81">
        <f>AVERAGE(B271:B273)</f>
        <v>39666.666666666664</v>
      </c>
    </row>
    <row r="275" spans="1:5" ht="66" x14ac:dyDescent="0.25">
      <c r="A275" s="90" t="s">
        <v>72</v>
      </c>
      <c r="B275" s="89" t="s">
        <v>73</v>
      </c>
    </row>
    <row r="276" spans="1:5" ht="21" x14ac:dyDescent="0.25">
      <c r="A276" s="88">
        <f>'[1]MCF7 10w MonoPalbo-AltICI #3'!E272</f>
        <v>41000</v>
      </c>
      <c r="B276" s="81">
        <f>'[1]MCF7 10w MonoPalbo-AltICI #3'!M272</f>
        <v>32000</v>
      </c>
    </row>
    <row r="277" spans="1:5" ht="21" x14ac:dyDescent="0.25">
      <c r="A277" s="88">
        <f>'[1]MCF7 10w MonoPalbo-AltICI #3'!E273</f>
        <v>38000</v>
      </c>
      <c r="B277" s="81">
        <f>'[1]MCF7 10w MonoPalbo-AltICI #3'!M273</f>
        <v>34000</v>
      </c>
    </row>
    <row r="278" spans="1:5" ht="21" x14ac:dyDescent="0.25">
      <c r="A278" s="90">
        <f>'[1]MCF7 10w MonoPalbo-AltICI #3'!E274</f>
        <v>36000</v>
      </c>
      <c r="B278" s="81">
        <f>'[1]MCF7 10w MonoPalbo-AltICI #3'!M274</f>
        <v>28000</v>
      </c>
    </row>
    <row r="279" spans="1:5" ht="22" thickBot="1" x14ac:dyDescent="0.3">
      <c r="A279" s="91">
        <f>AVERAGE(A276:A278)</f>
        <v>38333.333333333336</v>
      </c>
      <c r="B279" s="92">
        <f>AVERAGE(B276:B278)</f>
        <v>31333.333333333332</v>
      </c>
    </row>
    <row r="280" spans="1:5" ht="16" thickBot="1" x14ac:dyDescent="0.25"/>
    <row r="281" spans="1:5" ht="21" x14ac:dyDescent="0.25">
      <c r="A281" s="77" t="s">
        <v>75</v>
      </c>
      <c r="B281" s="96"/>
      <c r="D281" s="84" t="s">
        <v>76</v>
      </c>
    </row>
    <row r="282" spans="1:5" ht="22" x14ac:dyDescent="0.25">
      <c r="A282" s="88" t="s">
        <v>11</v>
      </c>
      <c r="B282" s="81" t="s">
        <v>12</v>
      </c>
      <c r="D282" s="84" t="s">
        <v>11</v>
      </c>
      <c r="E282" s="84" t="s">
        <v>12</v>
      </c>
    </row>
    <row r="283" spans="1:5" ht="21" x14ac:dyDescent="0.25">
      <c r="A283" s="88">
        <f>'[1]MCF7 10w MonoPalbo-AltICI #3'!E280</f>
        <v>4776000</v>
      </c>
      <c r="B283" s="81">
        <f>'[1]MCF7 10w MonoPalbo-AltICI #3'!M280</f>
        <v>2366000</v>
      </c>
      <c r="D283" s="84">
        <f>A283/A274</f>
        <v>122.46153846153847</v>
      </c>
      <c r="E283" s="84">
        <f>B283/B274</f>
        <v>59.647058823529413</v>
      </c>
    </row>
    <row r="284" spans="1:5" ht="21" x14ac:dyDescent="0.25">
      <c r="A284" s="88">
        <f>'[1]MCF7 10w MonoPalbo-AltICI #3'!E281</f>
        <v>4584000</v>
      </c>
      <c r="B284" s="81">
        <f>'[1]MCF7 10w MonoPalbo-AltICI #3'!M281</f>
        <v>2434000</v>
      </c>
      <c r="D284" s="84">
        <f>A284/A274</f>
        <v>117.53846153846153</v>
      </c>
      <c r="E284" s="84">
        <f>B284/B274</f>
        <v>61.361344537815128</v>
      </c>
    </row>
    <row r="285" spans="1:5" ht="21" x14ac:dyDescent="0.25">
      <c r="A285" s="88">
        <f>'[1]MCF7 10w MonoPalbo-AltICI #3'!E282</f>
        <v>4504000</v>
      </c>
      <c r="B285" s="81">
        <f>'[1]MCF7 10w MonoPalbo-AltICI #3'!M282</f>
        <v>2418000</v>
      </c>
      <c r="D285" s="84">
        <f>A285/A274</f>
        <v>115.48717948717949</v>
      </c>
      <c r="E285" s="84">
        <f>B285/B274</f>
        <v>60.957983193277315</v>
      </c>
    </row>
    <row r="286" spans="1:5" ht="21" x14ac:dyDescent="0.25">
      <c r="B286" s="81"/>
    </row>
    <row r="287" spans="1:5" ht="110" x14ac:dyDescent="0.25">
      <c r="A287" s="90" t="s">
        <v>77</v>
      </c>
      <c r="B287" s="89" t="s">
        <v>78</v>
      </c>
      <c r="D287" s="90" t="s">
        <v>77</v>
      </c>
      <c r="E287" s="90" t="s">
        <v>78</v>
      </c>
    </row>
    <row r="288" spans="1:5" ht="21" x14ac:dyDescent="0.25">
      <c r="A288" s="88">
        <f>'[1]MCF7 10w MonoPalbo-AltICI #3'!E285</f>
        <v>3557000</v>
      </c>
      <c r="B288" s="81">
        <f>'[1]MCF7 10w MonoPalbo-AltICI #3'!M285</f>
        <v>170000</v>
      </c>
      <c r="D288" s="84">
        <f>A288/A279</f>
        <v>92.791304347826085</v>
      </c>
      <c r="E288" s="84">
        <f>B288/B279</f>
        <v>5.4255319148936172</v>
      </c>
    </row>
    <row r="289" spans="1:5" ht="21" x14ac:dyDescent="0.25">
      <c r="A289" s="88">
        <f>'[1]MCF7 10w MonoPalbo-AltICI #3'!E286</f>
        <v>3420000</v>
      </c>
      <c r="B289" s="81">
        <f>'[1]MCF7 10w MonoPalbo-AltICI #3'!M286</f>
        <v>152000</v>
      </c>
      <c r="D289" s="84">
        <f>A289/A279</f>
        <v>89.217391304347814</v>
      </c>
      <c r="E289" s="84">
        <f>B289/B279</f>
        <v>4.8510638297872344</v>
      </c>
    </row>
    <row r="290" spans="1:5" ht="22" thickBot="1" x14ac:dyDescent="0.3">
      <c r="A290" s="91">
        <f>'[1]MCF7 10w MonoPalbo-AltICI #3'!E287</f>
        <v>3941000</v>
      </c>
      <c r="B290" s="92">
        <f>'[1]MCF7 10w MonoPalbo-AltICI #3'!M287</f>
        <v>161000</v>
      </c>
      <c r="D290" s="84">
        <f>A290/A279</f>
        <v>102.80869565217391</v>
      </c>
      <c r="E290" s="84">
        <f>B290/B279</f>
        <v>5.1382978723404253</v>
      </c>
    </row>
    <row r="291" spans="1:5" ht="16" thickBot="1" x14ac:dyDescent="0.25"/>
    <row r="292" spans="1:5" ht="21" x14ac:dyDescent="0.25">
      <c r="A292" s="77" t="s">
        <v>79</v>
      </c>
      <c r="B292" s="96"/>
    </row>
    <row r="293" spans="1:5" ht="22" x14ac:dyDescent="0.25">
      <c r="A293" s="88" t="s">
        <v>11</v>
      </c>
      <c r="B293" s="81" t="s">
        <v>12</v>
      </c>
    </row>
    <row r="294" spans="1:5" ht="21" x14ac:dyDescent="0.25">
      <c r="A294" s="88">
        <f>'[1]MCF7 10w MonoPalbo-AltICI #3'!E294</f>
        <v>47000</v>
      </c>
      <c r="B294" s="81">
        <f>'[1]MCF7 10w MonoPalbo-AltICI #3'!M294</f>
        <v>41000</v>
      </c>
    </row>
    <row r="295" spans="1:5" ht="21" x14ac:dyDescent="0.25">
      <c r="A295" s="88">
        <f>'[1]MCF7 10w MonoPalbo-AltICI #3'!E295</f>
        <v>42000</v>
      </c>
      <c r="B295" s="81">
        <f>'[1]MCF7 10w MonoPalbo-AltICI #3'!M295</f>
        <v>46000</v>
      </c>
    </row>
    <row r="296" spans="1:5" ht="21" x14ac:dyDescent="0.25">
      <c r="A296" s="88">
        <f>'[1]MCF7 10w MonoPalbo-AltICI #3'!E296</f>
        <v>36000</v>
      </c>
      <c r="B296" s="81">
        <f>'[1]MCF7 10w MonoPalbo-AltICI #3'!M296</f>
        <v>46000</v>
      </c>
    </row>
    <row r="297" spans="1:5" ht="21" x14ac:dyDescent="0.25">
      <c r="A297" s="88">
        <f>AVERAGE(A294:A296)</f>
        <v>41666.666666666664</v>
      </c>
      <c r="B297" s="81">
        <f>AVERAGE(B294:B296)</f>
        <v>44333.333333333336</v>
      </c>
    </row>
    <row r="298" spans="1:5" ht="66" x14ac:dyDescent="0.25">
      <c r="A298" s="90" t="s">
        <v>72</v>
      </c>
      <c r="B298" s="89" t="s">
        <v>73</v>
      </c>
    </row>
    <row r="299" spans="1:5" ht="21" x14ac:dyDescent="0.25">
      <c r="A299" s="88">
        <f>'[1]MCF7 10w MonoPalbo-AltICI #3'!E299</f>
        <v>44000</v>
      </c>
      <c r="B299" s="81">
        <f>'[1]MCF7 10w MonoPalbo-AltICI #3'!M299</f>
        <v>44000</v>
      </c>
    </row>
    <row r="300" spans="1:5" ht="21" x14ac:dyDescent="0.25">
      <c r="A300" s="88">
        <f>'[1]MCF7 10w MonoPalbo-AltICI #3'!E300</f>
        <v>45000</v>
      </c>
      <c r="B300" s="81">
        <f>'[1]MCF7 10w MonoPalbo-AltICI #3'!M300</f>
        <v>37000</v>
      </c>
    </row>
    <row r="301" spans="1:5" ht="21" x14ac:dyDescent="0.25">
      <c r="A301" s="88">
        <f>'[1]MCF7 10w MonoPalbo-AltICI #3'!E301</f>
        <v>53000</v>
      </c>
      <c r="B301" s="81">
        <f>'[1]MCF7 10w MonoPalbo-AltICI #3'!M301</f>
        <v>41000</v>
      </c>
    </row>
    <row r="302" spans="1:5" ht="22" thickBot="1" x14ac:dyDescent="0.3">
      <c r="A302" s="91">
        <f>AVERAGE(A299:A301)</f>
        <v>47333.333333333336</v>
      </c>
      <c r="B302" s="92">
        <f>AVERAGE(B299:B301)</f>
        <v>40666.666666666664</v>
      </c>
    </row>
    <row r="303" spans="1:5" ht="16" thickBot="1" x14ac:dyDescent="0.25"/>
    <row r="304" spans="1:5" ht="21" x14ac:dyDescent="0.25">
      <c r="A304" s="77" t="s">
        <v>80</v>
      </c>
      <c r="B304" s="96"/>
      <c r="D304" s="84" t="s">
        <v>80</v>
      </c>
    </row>
    <row r="305" spans="1:5" ht="22" x14ac:dyDescent="0.25">
      <c r="A305" s="88" t="s">
        <v>11</v>
      </c>
      <c r="B305" s="81" t="s">
        <v>12</v>
      </c>
      <c r="D305" s="84" t="s">
        <v>11</v>
      </c>
      <c r="E305" s="84" t="s">
        <v>12</v>
      </c>
    </row>
    <row r="306" spans="1:5" ht="21" x14ac:dyDescent="0.25">
      <c r="A306" s="88">
        <f>'[1]MCF7 10w MonoPalbo-AltICI #3'!E306</f>
        <v>5473000</v>
      </c>
      <c r="B306" s="81">
        <f>'[1]MCF7 10w MonoPalbo-AltICI #3'!M306</f>
        <v>2750000</v>
      </c>
      <c r="D306" s="84">
        <f>A306/A297</f>
        <v>131.352</v>
      </c>
      <c r="E306" s="84">
        <f>B306/B297</f>
        <v>62.030075187969921</v>
      </c>
    </row>
    <row r="307" spans="1:5" ht="21" x14ac:dyDescent="0.25">
      <c r="A307" s="88">
        <f>'[1]MCF7 10w MonoPalbo-AltICI #3'!E307</f>
        <v>5979000</v>
      </c>
      <c r="B307" s="81">
        <f>'[1]MCF7 10w MonoPalbo-AltICI #3'!M307</f>
        <v>2511000</v>
      </c>
      <c r="D307" s="84">
        <f>A307/A297</f>
        <v>143.49600000000001</v>
      </c>
      <c r="E307" s="84">
        <f>B307/B297</f>
        <v>56.639097744360896</v>
      </c>
    </row>
    <row r="308" spans="1:5" ht="21" x14ac:dyDescent="0.25">
      <c r="A308" s="88">
        <f>'[1]MCF7 10w MonoPalbo-AltICI #3'!E308</f>
        <v>6036000</v>
      </c>
      <c r="B308" s="81">
        <f>'[1]MCF7 10w MonoPalbo-AltICI #3'!M308</f>
        <v>2559000</v>
      </c>
      <c r="D308" s="84">
        <f>A308/A297</f>
        <v>144.864</v>
      </c>
      <c r="E308" s="84">
        <f>B308/B297</f>
        <v>57.721804511278194</v>
      </c>
    </row>
    <row r="309" spans="1:5" ht="21" x14ac:dyDescent="0.25">
      <c r="B309" s="81"/>
    </row>
    <row r="310" spans="1:5" ht="110" x14ac:dyDescent="0.25">
      <c r="A310" s="90" t="s">
        <v>81</v>
      </c>
      <c r="B310" s="89" t="s">
        <v>82</v>
      </c>
      <c r="D310" s="90" t="s">
        <v>81</v>
      </c>
      <c r="E310" s="90" t="s">
        <v>82</v>
      </c>
    </row>
    <row r="311" spans="1:5" ht="21" x14ac:dyDescent="0.25">
      <c r="A311" s="88">
        <f>'[1]MCF7 10w MonoPalbo-AltICI #3'!E311</f>
        <v>2182000</v>
      </c>
      <c r="B311" s="81">
        <f>'[1]MCF7 10w MonoPalbo-AltICI #3'!M311</f>
        <v>183000</v>
      </c>
      <c r="D311" s="90">
        <f>A311/A302</f>
        <v>46.098591549295769</v>
      </c>
      <c r="E311" s="90">
        <f>B311/B302</f>
        <v>4.5</v>
      </c>
    </row>
    <row r="312" spans="1:5" ht="21" x14ac:dyDescent="0.25">
      <c r="A312" s="88">
        <f>'[1]MCF7 10w MonoPalbo-AltICI #3'!E311</f>
        <v>2182000</v>
      </c>
      <c r="B312" s="81">
        <f>'[1]MCF7 10w MonoPalbo-AltICI #3'!M312</f>
        <v>167000</v>
      </c>
      <c r="D312" s="90">
        <f>A312/A302</f>
        <v>46.098591549295769</v>
      </c>
      <c r="E312" s="90">
        <f>B312/B302</f>
        <v>4.1065573770491808</v>
      </c>
    </row>
    <row r="313" spans="1:5" ht="22" thickBot="1" x14ac:dyDescent="0.3">
      <c r="A313" s="91">
        <f>'[1]MCF7 10w MonoPalbo-AltICI #3'!E313</f>
        <v>2113000</v>
      </c>
      <c r="B313" s="92">
        <f>'[1]MCF7 10w MonoPalbo-AltICI #3'!M313</f>
        <v>185000</v>
      </c>
      <c r="D313" s="90">
        <f>A313/A302</f>
        <v>44.640845070422536</v>
      </c>
      <c r="E313" s="90">
        <f>B313/B302</f>
        <v>4.5491803278688527</v>
      </c>
    </row>
    <row r="314" spans="1:5" ht="16" thickBot="1" x14ac:dyDescent="0.25"/>
    <row r="315" spans="1:5" ht="21" x14ac:dyDescent="0.25">
      <c r="A315" s="77" t="s">
        <v>83</v>
      </c>
      <c r="B315" s="96"/>
    </row>
    <row r="316" spans="1:5" ht="22" x14ac:dyDescent="0.25">
      <c r="A316" s="88" t="s">
        <v>11</v>
      </c>
      <c r="B316" s="81" t="s">
        <v>12</v>
      </c>
    </row>
    <row r="317" spans="1:5" ht="21" x14ac:dyDescent="0.25">
      <c r="A317" s="88">
        <f>'[1]MCF7 10w MonoPalbo-AltICI #3'!E321</f>
        <v>59000</v>
      </c>
      <c r="B317" s="81">
        <f>'[1]MCF7 10w MonoPalbo-AltICI #3'!M321</f>
        <v>67000</v>
      </c>
    </row>
    <row r="318" spans="1:5" ht="21" x14ac:dyDescent="0.25">
      <c r="A318" s="88">
        <f>'[1]MCF7 10w MonoPalbo-AltICI #3'!E322</f>
        <v>70000</v>
      </c>
      <c r="B318" s="81">
        <f>'[1]MCF7 10w MonoPalbo-AltICI #3'!M322</f>
        <v>73000</v>
      </c>
    </row>
    <row r="319" spans="1:5" ht="21" x14ac:dyDescent="0.25">
      <c r="A319" s="88">
        <f>'[1]MCF7 10w MonoPalbo-AltICI #3'!E323</f>
        <v>69000</v>
      </c>
      <c r="B319" s="81">
        <f>'[1]MCF7 10w MonoPalbo-AltICI #3'!M323</f>
        <v>78000</v>
      </c>
    </row>
    <row r="320" spans="1:5" ht="21" x14ac:dyDescent="0.25">
      <c r="A320" s="88">
        <f>AVERAGE(A317:A319)</f>
        <v>66000</v>
      </c>
      <c r="B320" s="81">
        <f>AVERAGE(B317:B319)</f>
        <v>72666.666666666672</v>
      </c>
    </row>
    <row r="321" spans="1:5" ht="88" x14ac:dyDescent="0.25">
      <c r="A321" s="90" t="s">
        <v>81</v>
      </c>
      <c r="B321" s="89" t="s">
        <v>82</v>
      </c>
    </row>
    <row r="322" spans="1:5" ht="21" x14ac:dyDescent="0.25">
      <c r="A322" s="88">
        <f>'[1]MCF7 10w MonoPalbo-AltICI #3'!E326</f>
        <v>58000</v>
      </c>
      <c r="B322" s="81">
        <f>'[1]MCF7 10w MonoPalbo-AltICI #3'!M326</f>
        <v>58000</v>
      </c>
    </row>
    <row r="323" spans="1:5" ht="21" x14ac:dyDescent="0.25">
      <c r="A323" s="88">
        <f>'[1]MCF7 10w MonoPalbo-AltICI #3'!E327</f>
        <v>63000</v>
      </c>
      <c r="B323" s="81">
        <f>'[1]MCF7 10w MonoPalbo-AltICI #3'!M327</f>
        <v>60000</v>
      </c>
    </row>
    <row r="324" spans="1:5" ht="21" x14ac:dyDescent="0.25">
      <c r="A324" s="90">
        <f>'[1]MCF7 10w MonoPalbo-AltICI #3'!E328</f>
        <v>73000</v>
      </c>
      <c r="B324" s="81">
        <f>'[1]MCF7 10w MonoPalbo-AltICI #3'!M328</f>
        <v>62000</v>
      </c>
    </row>
    <row r="325" spans="1:5" ht="22" thickBot="1" x14ac:dyDescent="0.3">
      <c r="A325" s="91">
        <f>AVERAGE(A322:A324)</f>
        <v>64666.666666666664</v>
      </c>
      <c r="B325" s="92">
        <f>AVERAGE(B322:B324)</f>
        <v>60000</v>
      </c>
    </row>
    <row r="326" spans="1:5" ht="21" x14ac:dyDescent="0.25">
      <c r="A326" s="90"/>
    </row>
    <row r="327" spans="1:5" ht="16" thickBot="1" x14ac:dyDescent="0.25"/>
    <row r="328" spans="1:5" ht="21" x14ac:dyDescent="0.25">
      <c r="A328" s="77" t="s">
        <v>84</v>
      </c>
      <c r="B328" s="96"/>
      <c r="D328" s="84" t="s">
        <v>84</v>
      </c>
    </row>
    <row r="329" spans="1:5" ht="22" x14ac:dyDescent="0.25">
      <c r="A329" s="88" t="s">
        <v>11</v>
      </c>
      <c r="B329" s="81" t="s">
        <v>12</v>
      </c>
      <c r="D329" s="84" t="s">
        <v>11</v>
      </c>
      <c r="E329" s="84" t="s">
        <v>12</v>
      </c>
    </row>
    <row r="330" spans="1:5" ht="21" x14ac:dyDescent="0.25">
      <c r="A330" s="88">
        <f>'[1]MCF7 10w MonoPalbo-AltICI #3'!E333</f>
        <v>5544000</v>
      </c>
      <c r="B330" s="81">
        <f>'[1]MCF7 10w MonoPalbo-AltICI #3'!M333</f>
        <v>2560000</v>
      </c>
      <c r="D330" s="84">
        <f>A330/A320</f>
        <v>84</v>
      </c>
      <c r="E330" s="84">
        <f>B330/[1]Sheet1!B264</f>
        <v>35.229357798165132</v>
      </c>
    </row>
    <row r="331" spans="1:5" ht="21" x14ac:dyDescent="0.25">
      <c r="A331" s="88">
        <f>'[1]MCF7 10w MonoPalbo-AltICI #3'!E334</f>
        <v>4958000</v>
      </c>
      <c r="B331" s="81">
        <f>'[1]MCF7 10w MonoPalbo-AltICI #3'!M334</f>
        <v>2437000</v>
      </c>
      <c r="D331" s="84">
        <f>A331/A320</f>
        <v>75.121212121212125</v>
      </c>
      <c r="E331" s="84">
        <f>B331/B320</f>
        <v>33.536697247706421</v>
      </c>
    </row>
    <row r="332" spans="1:5" ht="21" x14ac:dyDescent="0.25">
      <c r="A332" s="88">
        <f>'[1]MCF7 10w MonoPalbo-AltICI #3'!E335</f>
        <v>4983000</v>
      </c>
      <c r="B332" s="81">
        <f>'[1]MCF7 10w MonoPalbo-AltICI #3'!M335</f>
        <v>2553000</v>
      </c>
      <c r="D332" s="84">
        <f>A332/A320</f>
        <v>75.5</v>
      </c>
      <c r="E332" s="84">
        <f>B332/B320</f>
        <v>35.133027522935777</v>
      </c>
    </row>
    <row r="333" spans="1:5" ht="21" x14ac:dyDescent="0.25">
      <c r="B333" s="81"/>
    </row>
    <row r="334" spans="1:5" ht="132" x14ac:dyDescent="0.25">
      <c r="A334" s="90" t="s">
        <v>85</v>
      </c>
      <c r="B334" s="89" t="s">
        <v>86</v>
      </c>
      <c r="D334" s="90" t="s">
        <v>85</v>
      </c>
      <c r="E334" s="90" t="s">
        <v>86</v>
      </c>
    </row>
    <row r="335" spans="1:5" ht="21" x14ac:dyDescent="0.25">
      <c r="A335" s="88">
        <f>'[1]MCF7 10w MonoPalbo-AltICI #3'!E338</f>
        <v>2534000</v>
      </c>
      <c r="B335" s="81">
        <f>'[1]MCF7 10w MonoPalbo-AltICI #3'!M338</f>
        <v>344000</v>
      </c>
      <c r="D335" s="84">
        <f>A335/A325</f>
        <v>39.185567010309278</v>
      </c>
      <c r="E335" s="84">
        <f>B335/B325</f>
        <v>5.7333333333333334</v>
      </c>
    </row>
    <row r="336" spans="1:5" ht="21" x14ac:dyDescent="0.25">
      <c r="A336" s="88">
        <f>'[1]MCF7 10w MonoPalbo-AltICI #3'!E339</f>
        <v>2712000</v>
      </c>
      <c r="B336" s="81">
        <f>'[1]MCF7 10w MonoPalbo-AltICI #3'!M339</f>
        <v>420000</v>
      </c>
      <c r="D336" s="84">
        <f>A336/A325</f>
        <v>41.938144329896907</v>
      </c>
      <c r="E336" s="84">
        <f>B336/B325</f>
        <v>7</v>
      </c>
    </row>
    <row r="337" spans="1:5" ht="22" thickBot="1" x14ac:dyDescent="0.3">
      <c r="A337" s="91">
        <f>'[1]MCF7 10w MonoPalbo-AltICI #3'!E340</f>
        <v>2540000</v>
      </c>
      <c r="B337" s="92">
        <f>'[1]MCF7 10w MonoPalbo-AltICI #3'!M340</f>
        <v>299000</v>
      </c>
      <c r="D337" s="84">
        <f>A337/A325</f>
        <v>39.27835051546392</v>
      </c>
      <c r="E337" s="84">
        <f>B337/B325</f>
        <v>4.9833333333333334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ddema</dc:creator>
  <cp:lastModifiedBy>Microsoft Office User</cp:lastModifiedBy>
  <dcterms:created xsi:type="dcterms:W3CDTF">2023-06-14T15:05:03Z</dcterms:created>
  <dcterms:modified xsi:type="dcterms:W3CDTF">2025-08-05T20:19:38Z</dcterms:modified>
</cp:coreProperties>
</file>