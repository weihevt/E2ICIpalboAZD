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Craftsman/Documents/Wei He/Blacksburg/Study/research/R01/Data/"/>
    </mc:Choice>
  </mc:AlternateContent>
  <xr:revisionPtr revIDLastSave="0" documentId="13_ncr:1_{C3A859B6-658E-BC4C-B5C8-4FE4BE9739ED}" xr6:coauthVersionLast="45" xr6:coauthVersionMax="45" xr10:uidLastSave="{00000000-0000-0000-0000-000000000000}"/>
  <bookViews>
    <workbookView xWindow="4040" yWindow="2400" windowWidth="28860" windowHeight="19520" activeTab="5" xr2:uid="{00000000-000D-0000-FFFF-FFFF00000000}"/>
  </bookViews>
  <sheets>
    <sheet name="Sheet1 3w" sheetId="1" r:id="rId1"/>
    <sheet name="Sheet2 2.5w" sheetId="4" r:id="rId2"/>
    <sheet name="Sheet3 2.5w" sheetId="5" r:id="rId3"/>
    <sheet name="Sheet4 2.5w" sheetId="8" r:id="rId4"/>
    <sheet name="Rep1 3w" sheetId="2" r:id="rId5"/>
    <sheet name="Rep2 2.5w" sheetId="6" r:id="rId6"/>
    <sheet name="Rep3 2.5w" sheetId="7" r:id="rId7"/>
    <sheet name="Rep4 2.5w" sheetId="9" r:id="rId8"/>
  </sheets>
  <externalReferences>
    <externalReference r:id="rId9"/>
    <externalReference r:id="rId10"/>
  </externalReferences>
  <calcPr calcId="191029"/>
</workbook>
</file>

<file path=xl/calcChain.xml><?xml version="1.0" encoding="utf-8"?>
<calcChain xmlns="http://schemas.openxmlformats.org/spreadsheetml/2006/main">
  <c r="B6" i="9" l="1"/>
  <c r="B29" i="9"/>
  <c r="B28" i="9"/>
  <c r="B27" i="9"/>
  <c r="B21" i="9"/>
  <c r="B20" i="9"/>
  <c r="B19" i="9"/>
  <c r="B14" i="9"/>
  <c r="B13" i="9"/>
  <c r="B12" i="9"/>
  <c r="B5" i="9"/>
  <c r="B4" i="9"/>
  <c r="B7" i="9"/>
  <c r="B44" i="8"/>
  <c r="B43" i="8"/>
  <c r="B42" i="8"/>
  <c r="C28" i="8"/>
  <c r="E28" i="8" s="1"/>
  <c r="C27" i="8"/>
  <c r="E27" i="8" s="1"/>
  <c r="E26" i="8"/>
  <c r="C26" i="8"/>
  <c r="K22" i="8"/>
  <c r="M22" i="8" s="1"/>
  <c r="E22" i="8"/>
  <c r="C22" i="8"/>
  <c r="K21" i="8"/>
  <c r="M21" i="8" s="1"/>
  <c r="E21" i="8"/>
  <c r="C21" i="8"/>
  <c r="M20" i="8"/>
  <c r="K20" i="8"/>
  <c r="G20" i="8"/>
  <c r="F20" i="8"/>
  <c r="E20" i="8"/>
  <c r="C20" i="8"/>
  <c r="C14" i="8"/>
  <c r="E14" i="8" s="1"/>
  <c r="E13" i="8"/>
  <c r="C13" i="8"/>
  <c r="E12" i="8"/>
  <c r="C12" i="8"/>
  <c r="E13" i="9" l="1"/>
  <c r="E21" i="9"/>
  <c r="E14" i="9"/>
  <c r="E27" i="9"/>
  <c r="E19" i="9"/>
  <c r="E28" i="9"/>
  <c r="E12" i="9"/>
  <c r="I4" i="9" s="1"/>
  <c r="E20" i="9"/>
  <c r="E29" i="9"/>
  <c r="F12" i="8"/>
  <c r="G12" i="8"/>
  <c r="N20" i="8"/>
  <c r="F26" i="8"/>
  <c r="G26" i="8"/>
  <c r="O20" i="8"/>
  <c r="I6" i="9" l="1"/>
  <c r="I5" i="9"/>
  <c r="B29" i="7"/>
  <c r="B28" i="7"/>
  <c r="B27" i="7"/>
  <c r="B21" i="7"/>
  <c r="B20" i="7"/>
  <c r="B19" i="7"/>
  <c r="B14" i="7"/>
  <c r="B13" i="7"/>
  <c r="B12" i="7"/>
  <c r="B6" i="7"/>
  <c r="B5" i="7"/>
  <c r="B4" i="7"/>
  <c r="B7" i="7"/>
  <c r="B29" i="6"/>
  <c r="B28" i="6"/>
  <c r="B27" i="6"/>
  <c r="B21" i="6"/>
  <c r="B20" i="6"/>
  <c r="B19" i="6"/>
  <c r="B14" i="6"/>
  <c r="B13" i="6"/>
  <c r="B12" i="6"/>
  <c r="B6" i="6"/>
  <c r="B5" i="6"/>
  <c r="B4" i="6"/>
  <c r="B7" i="6"/>
  <c r="B44" i="5"/>
  <c r="B43" i="5"/>
  <c r="B42" i="5"/>
  <c r="C28" i="5"/>
  <c r="E28" i="5" s="1"/>
  <c r="E27" i="5"/>
  <c r="C27" i="5"/>
  <c r="E26" i="5"/>
  <c r="C26" i="5"/>
  <c r="K22" i="5"/>
  <c r="M22" i="5" s="1"/>
  <c r="E22" i="5"/>
  <c r="C22" i="5"/>
  <c r="K21" i="5"/>
  <c r="M21" i="5" s="1"/>
  <c r="E21" i="5"/>
  <c r="C21" i="5"/>
  <c r="O20" i="5"/>
  <c r="M20" i="5"/>
  <c r="N20" i="5" s="1"/>
  <c r="K20" i="5"/>
  <c r="E20" i="5"/>
  <c r="F20" i="5" s="1"/>
  <c r="C20" i="5"/>
  <c r="E14" i="5"/>
  <c r="C14" i="5"/>
  <c r="E13" i="5"/>
  <c r="C13" i="5"/>
  <c r="E12" i="5"/>
  <c r="F12" i="5" s="1"/>
  <c r="C12" i="5"/>
  <c r="B44" i="4"/>
  <c r="B43" i="4"/>
  <c r="B42" i="4"/>
  <c r="E28" i="4"/>
  <c r="F26" i="4" s="1"/>
  <c r="C28" i="4"/>
  <c r="E27" i="4"/>
  <c r="C27" i="4"/>
  <c r="G26" i="4"/>
  <c r="E26" i="4"/>
  <c r="C26" i="4"/>
  <c r="K22" i="4"/>
  <c r="M22" i="4" s="1"/>
  <c r="N20" i="4" s="1"/>
  <c r="E22" i="4"/>
  <c r="C22" i="4"/>
  <c r="M21" i="4"/>
  <c r="K21" i="4"/>
  <c r="E21" i="4"/>
  <c r="C21" i="4"/>
  <c r="O20" i="4"/>
  <c r="M20" i="4"/>
  <c r="K20" i="4"/>
  <c r="G20" i="4"/>
  <c r="F20" i="4"/>
  <c r="E20" i="4"/>
  <c r="C20" i="4"/>
  <c r="E14" i="4"/>
  <c r="F12" i="4" s="1"/>
  <c r="C14" i="4"/>
  <c r="E13" i="4"/>
  <c r="C13" i="4"/>
  <c r="G12" i="4"/>
  <c r="E12" i="4"/>
  <c r="C12" i="4"/>
  <c r="E12" i="7" l="1"/>
  <c r="E20" i="7"/>
  <c r="E13" i="7"/>
  <c r="I4" i="7" s="1"/>
  <c r="E21" i="7"/>
  <c r="E14" i="7"/>
  <c r="E27" i="7"/>
  <c r="E19" i="7"/>
  <c r="E28" i="7"/>
  <c r="E29" i="7"/>
  <c r="E19" i="6"/>
  <c r="E28" i="6"/>
  <c r="E14" i="6"/>
  <c r="E12" i="6"/>
  <c r="E20" i="6"/>
  <c r="E29" i="6"/>
  <c r="E27" i="6"/>
  <c r="E13" i="6"/>
  <c r="E21" i="6"/>
  <c r="F26" i="5"/>
  <c r="G12" i="5"/>
  <c r="G20" i="5"/>
  <c r="G26" i="5"/>
  <c r="I6" i="2"/>
  <c r="I5" i="2"/>
  <c r="I4" i="2"/>
  <c r="E29" i="2"/>
  <c r="E28" i="2"/>
  <c r="E27" i="2"/>
  <c r="E21" i="2"/>
  <c r="E20" i="2"/>
  <c r="E19" i="2"/>
  <c r="E14" i="2"/>
  <c r="E13" i="2"/>
  <c r="E12" i="2"/>
  <c r="B7" i="2"/>
  <c r="B21" i="2"/>
  <c r="B20" i="2"/>
  <c r="B19" i="2"/>
  <c r="B29" i="2"/>
  <c r="B28" i="2"/>
  <c r="B27" i="2"/>
  <c r="B14" i="2"/>
  <c r="B13" i="2"/>
  <c r="B12" i="2"/>
  <c r="B6" i="2"/>
  <c r="B5" i="2"/>
  <c r="B4" i="2"/>
  <c r="I5" i="7" l="1"/>
  <c r="I6" i="7"/>
  <c r="I5" i="6"/>
  <c r="I4" i="6"/>
  <c r="I6" i="6"/>
  <c r="B44" i="1"/>
  <c r="B43" i="1"/>
  <c r="F13" i="1"/>
  <c r="B45" i="1"/>
  <c r="C15" i="1"/>
  <c r="E15" i="1"/>
  <c r="C14" i="1"/>
  <c r="E14" i="1"/>
  <c r="C13" i="1"/>
  <c r="E13" i="1"/>
  <c r="C27" i="1"/>
  <c r="E27" i="1"/>
  <c r="C29" i="1"/>
  <c r="E29" i="1"/>
  <c r="C28" i="1"/>
  <c r="E28" i="1"/>
  <c r="K23" i="1"/>
  <c r="M23" i="1"/>
  <c r="K21" i="1"/>
  <c r="M21" i="1"/>
  <c r="N21" i="1"/>
  <c r="K22" i="1"/>
  <c r="M22" i="1"/>
  <c r="C23" i="1"/>
  <c r="E23" i="1"/>
  <c r="C22" i="1"/>
  <c r="E22" i="1"/>
  <c r="C21" i="1"/>
  <c r="E21" i="1"/>
  <c r="O21" i="1"/>
  <c r="G13" i="1"/>
  <c r="G27" i="1"/>
  <c r="F21" i="1"/>
  <c r="G21" i="1"/>
  <c r="F27" i="1"/>
</calcChain>
</file>

<file path=xl/sharedStrings.xml><?xml version="1.0" encoding="utf-8"?>
<sst xmlns="http://schemas.openxmlformats.org/spreadsheetml/2006/main" count="448" uniqueCount="61">
  <si>
    <t>Sample</t>
  </si>
  <si>
    <t>Counter Read</t>
  </si>
  <si>
    <t>Cells/mL</t>
  </si>
  <si>
    <t>mL of cells</t>
  </si>
  <si>
    <t>Total cell number</t>
  </si>
  <si>
    <t>Average total cell #</t>
  </si>
  <si>
    <t>Stdev</t>
  </si>
  <si>
    <t>Averages:</t>
  </si>
  <si>
    <t>MCF7f</t>
  </si>
  <si>
    <t>Normalized to T=0</t>
  </si>
  <si>
    <t>T=0</t>
  </si>
  <si>
    <t xml:space="preserve"> T=0 </t>
  </si>
  <si>
    <t xml:space="preserve"> T=0 #1</t>
  </si>
  <si>
    <t xml:space="preserve"> T=0 #2</t>
  </si>
  <si>
    <t xml:space="preserve"> T=0 #3</t>
  </si>
  <si>
    <r>
      <t xml:space="preserve">Thursday 9/24/20: Plated 45k cells on (4) </t>
    </r>
    <r>
      <rPr>
        <b/>
        <sz val="11"/>
        <color indexed="8"/>
        <rFont val="Calibri"/>
        <family val="2"/>
      </rPr>
      <t>60mm dishes</t>
    </r>
    <r>
      <rPr>
        <sz val="11"/>
        <color theme="1"/>
        <rFont val="Calibri"/>
        <family val="2"/>
        <scheme val="minor"/>
      </rPr>
      <t xml:space="preserve"> of MCF7f p82+12+15+38.</t>
    </r>
  </si>
  <si>
    <t>Re-dose plates every Tuesday and Friday</t>
  </si>
  <si>
    <t>T=0 9/25</t>
  </si>
  <si>
    <t xml:space="preserve"> 200nM ICI</t>
  </si>
  <si>
    <t xml:space="preserve"> 200nM ICI #1</t>
  </si>
  <si>
    <t xml:space="preserve"> 200nM ICI #2</t>
  </si>
  <si>
    <t xml:space="preserve"> 200nM ICI #3</t>
  </si>
  <si>
    <t xml:space="preserve"> 200nM ICI+50nM Palbo</t>
  </si>
  <si>
    <t xml:space="preserve"> 200nM ICI+50nM Palbo #1</t>
  </si>
  <si>
    <t xml:space="preserve"> 200nM ICI+50nM Palbo #2</t>
  </si>
  <si>
    <t xml:space="preserve"> 200nM ICI+50nM Palbo #3</t>
  </si>
  <si>
    <t>200nM ICI+100nM Palbo</t>
  </si>
  <si>
    <t>200nM ICI+100nM Palbo #1</t>
  </si>
  <si>
    <t>200nM ICI+100nM Palbo #2</t>
  </si>
  <si>
    <t>200nM ICI+100nM Palbo #3</t>
  </si>
  <si>
    <t>3 weeks 10/16</t>
  </si>
  <si>
    <r>
      <t>Friday 9/25/20: Count T=0 plate. Dosed other 3 plates accordingly:</t>
    </r>
    <r>
      <rPr>
        <sz val="11"/>
        <color indexed="30"/>
        <rFont val="Calibri"/>
        <family val="2"/>
      </rPr>
      <t xml:space="preserve"> 200nM ICI only, </t>
    </r>
    <r>
      <rPr>
        <b/>
        <sz val="11"/>
        <rFont val="Calibri"/>
        <family val="2"/>
      </rPr>
      <t>200nM ICI+50nM Palbo</t>
    </r>
    <r>
      <rPr>
        <sz val="11"/>
        <rFont val="Calibri"/>
        <family val="2"/>
      </rPr>
      <t>,</t>
    </r>
    <r>
      <rPr>
        <sz val="11"/>
        <color indexed="10"/>
        <rFont val="Calibri"/>
        <family val="2"/>
      </rPr>
      <t xml:space="preserve"> 200nM ICI+100nM Palbo</t>
    </r>
  </si>
  <si>
    <r>
      <rPr>
        <b/>
        <sz val="11"/>
        <color indexed="8"/>
        <rFont val="Calibri"/>
        <family val="2"/>
      </rPr>
      <t>Notes:</t>
    </r>
    <r>
      <rPr>
        <sz val="11"/>
        <color theme="1"/>
        <rFont val="Calibri"/>
        <family val="2"/>
        <scheme val="minor"/>
      </rPr>
      <t xml:space="preserve"> Friday 10/2/20: After one week,</t>
    </r>
    <r>
      <rPr>
        <sz val="11"/>
        <color indexed="30"/>
        <rFont val="Calibri"/>
        <family val="2"/>
      </rPr>
      <t xml:space="preserve"> ICI only plate ~40% confluent with large flat colonies.</t>
    </r>
    <r>
      <rPr>
        <b/>
        <sz val="11"/>
        <color indexed="8"/>
        <rFont val="Calibri"/>
        <family val="2"/>
      </rPr>
      <t xml:space="preserve"> ICI+50nM Palbo</t>
    </r>
    <r>
      <rPr>
        <sz val="11"/>
        <color theme="1"/>
        <rFont val="Calibri"/>
        <family val="2"/>
        <scheme val="minor"/>
      </rPr>
      <t xml:space="preserve"> plate is about one third of that.</t>
    </r>
    <r>
      <rPr>
        <sz val="11"/>
        <color indexed="10"/>
        <rFont val="Calibri"/>
        <family val="2"/>
      </rPr>
      <t xml:space="preserve"> ICI+100nM Palbo, about a forth of that, has grown very little and cells look more rounded up on this plate. </t>
    </r>
  </si>
  <si>
    <r>
      <t>Coulter Counter Counts MCF7f:</t>
    </r>
    <r>
      <rPr>
        <b/>
        <sz val="14"/>
        <color indexed="30"/>
        <rFont val="Calibri"/>
        <family val="2"/>
      </rPr>
      <t xml:space="preserve"> ICI</t>
    </r>
    <r>
      <rPr>
        <b/>
        <sz val="14"/>
        <color indexed="10"/>
        <rFont val="Calibri"/>
        <family val="2"/>
      </rPr>
      <t>+Palbo combo 3weeks</t>
    </r>
  </si>
  <si>
    <r>
      <rPr>
        <b/>
        <sz val="11"/>
        <color indexed="8"/>
        <rFont val="Calibri"/>
        <family val="2"/>
      </rPr>
      <t>Notes:</t>
    </r>
    <r>
      <rPr>
        <sz val="11"/>
        <color theme="1"/>
        <rFont val="Calibri"/>
        <family val="2"/>
        <scheme val="minor"/>
      </rPr>
      <t xml:space="preserve"> Friday 10/9/20: After two weeks,</t>
    </r>
    <r>
      <rPr>
        <sz val="11"/>
        <color indexed="30"/>
        <rFont val="Calibri"/>
        <family val="2"/>
      </rPr>
      <t xml:space="preserve"> ICI only plate ~70 confluent.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indexed="8"/>
        <rFont val="Calibri"/>
        <family val="2"/>
      </rPr>
      <t>ICI+50nM Palbo</t>
    </r>
    <r>
      <rPr>
        <sz val="11"/>
        <color theme="1"/>
        <rFont val="Calibri"/>
        <family val="2"/>
        <scheme val="minor"/>
      </rPr>
      <t xml:space="preserve"> plate ~15%, </t>
    </r>
    <r>
      <rPr>
        <sz val="11"/>
        <color indexed="10"/>
        <rFont val="Calibri"/>
        <family val="2"/>
      </rPr>
      <t>ICI+100nM Palbo plate ~5%.</t>
    </r>
  </si>
  <si>
    <r>
      <t xml:space="preserve">Friday 10/16/20: </t>
    </r>
    <r>
      <rPr>
        <b/>
        <sz val="11"/>
        <color indexed="8"/>
        <rFont val="Calibri"/>
        <family val="2"/>
      </rPr>
      <t>Ended at Week 3</t>
    </r>
    <r>
      <rPr>
        <sz val="11"/>
        <color theme="1"/>
        <rFont val="Calibri"/>
        <family val="2"/>
        <scheme val="minor"/>
      </rPr>
      <t xml:space="preserve"> Trypsinized and counted each plate (3 reps each) using coulter counter (ended one week early due to ICI plate being confluent). </t>
    </r>
    <r>
      <rPr>
        <b/>
        <sz val="11"/>
        <color indexed="8"/>
        <rFont val="Calibri"/>
        <family val="2"/>
      </rPr>
      <t xml:space="preserve">Notes: </t>
    </r>
    <r>
      <rPr>
        <sz val="11"/>
        <color indexed="30"/>
        <rFont val="Calibri"/>
        <family val="2"/>
      </rPr>
      <t>ICI plate 95% confluent,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indexed="8"/>
        <rFont val="Calibri"/>
        <family val="2"/>
      </rPr>
      <t>ICI+50nM Palbo</t>
    </r>
    <r>
      <rPr>
        <sz val="11"/>
        <color theme="1"/>
        <rFont val="Calibri"/>
        <family val="2"/>
        <scheme val="minor"/>
      </rPr>
      <t xml:space="preserve"> 20% confluent</t>
    </r>
    <r>
      <rPr>
        <sz val="11"/>
        <color indexed="10"/>
        <rFont val="Calibri"/>
        <family val="2"/>
      </rPr>
      <t xml:space="preserve">, ICI+100nM Palbo 7% confluent, very sparce but still small colonies. </t>
    </r>
    <r>
      <rPr>
        <sz val="11"/>
        <color theme="1"/>
        <rFont val="Calibri"/>
        <family val="2"/>
        <scheme val="minor"/>
      </rPr>
      <t>None of the plates showed severe rounding of cells like in the other 4+week Palbo, ICI experiments.</t>
    </r>
  </si>
  <si>
    <t>Day 0</t>
  </si>
  <si>
    <t xml:space="preserve"> #1</t>
  </si>
  <si>
    <t>#2</t>
  </si>
  <si>
    <t>#3</t>
  </si>
  <si>
    <t>Week 3</t>
  </si>
  <si>
    <t>200nM ICI</t>
  </si>
  <si>
    <t xml:space="preserve">200nM ICI+100nM Palbo						</t>
  </si>
  <si>
    <t xml:space="preserve"> 200nM ICI+50nM Palbo						</t>
  </si>
  <si>
    <r>
      <t>Coulter Counter Counts MCF7f:</t>
    </r>
    <r>
      <rPr>
        <b/>
        <sz val="14"/>
        <color indexed="30"/>
        <rFont val="Calibri"/>
        <family val="2"/>
      </rPr>
      <t xml:space="preserve"> ICI</t>
    </r>
    <r>
      <rPr>
        <b/>
        <sz val="14"/>
        <color indexed="10"/>
        <rFont val="Calibri"/>
        <family val="2"/>
      </rPr>
      <t>+Palbo combo 3weeks</t>
    </r>
    <r>
      <rPr>
        <b/>
        <sz val="14"/>
        <color indexed="10"/>
        <rFont val="Calibri"/>
        <family val="2"/>
      </rPr>
      <t xml:space="preserve"> Rep#3</t>
    </r>
  </si>
  <si>
    <r>
      <t xml:space="preserve">Monday 11/2/20: Plated 45k cells on (4) </t>
    </r>
    <r>
      <rPr>
        <b/>
        <sz val="11"/>
        <color indexed="8"/>
        <rFont val="Calibri"/>
        <family val="2"/>
      </rPr>
      <t>60mm dishes</t>
    </r>
    <r>
      <rPr>
        <sz val="11"/>
        <color theme="1"/>
        <rFont val="Calibri"/>
        <family val="2"/>
        <scheme val="minor"/>
      </rPr>
      <t xml:space="preserve"> of MCF7f p82+12+15+46.</t>
    </r>
  </si>
  <si>
    <r>
      <t>Friday 11/3/20: Count T=0 plate. Dosed other 3 plates accordingly:</t>
    </r>
    <r>
      <rPr>
        <sz val="11"/>
        <color indexed="30"/>
        <rFont val="Calibri"/>
        <family val="2"/>
      </rPr>
      <t xml:space="preserve"> 200nM ICI only, </t>
    </r>
    <r>
      <rPr>
        <b/>
        <sz val="11"/>
        <rFont val="Calibri"/>
        <family val="2"/>
      </rPr>
      <t>200nM ICI+50nM Palbo</t>
    </r>
    <r>
      <rPr>
        <sz val="11"/>
        <rFont val="Calibri"/>
        <family val="2"/>
      </rPr>
      <t>,</t>
    </r>
    <r>
      <rPr>
        <sz val="11"/>
        <color indexed="10"/>
        <rFont val="Calibri"/>
        <family val="2"/>
      </rPr>
      <t xml:space="preserve"> 200nM ICI+100nM Palbo</t>
    </r>
  </si>
  <si>
    <r>
      <rPr>
        <b/>
        <sz val="11"/>
        <color indexed="8"/>
        <rFont val="Calibri"/>
        <family val="2"/>
      </rPr>
      <t>Notes:</t>
    </r>
    <r>
      <rPr>
        <sz val="11"/>
        <color theme="1"/>
        <rFont val="Calibri"/>
        <family val="2"/>
        <scheme val="minor"/>
      </rPr>
      <t xml:space="preserve"> Tues 11/10/20: </t>
    </r>
    <r>
      <rPr>
        <b/>
        <sz val="11"/>
        <color indexed="8"/>
        <rFont val="Calibri"/>
        <family val="2"/>
      </rPr>
      <t>After one week,</t>
    </r>
    <r>
      <rPr>
        <sz val="11"/>
        <color indexed="30"/>
        <rFont val="Calibri"/>
        <family val="2"/>
      </rPr>
      <t xml:space="preserve"> ICI only plate ~30% confluent with larger flat colonies.</t>
    </r>
    <r>
      <rPr>
        <b/>
        <sz val="11"/>
        <color indexed="8"/>
        <rFont val="Calibri"/>
        <family val="2"/>
      </rPr>
      <t xml:space="preserve"> ICI+50nM Palbo (~15%)</t>
    </r>
    <r>
      <rPr>
        <sz val="11"/>
        <color theme="1"/>
        <rFont val="Calibri"/>
        <family val="2"/>
        <scheme val="minor"/>
      </rPr>
      <t xml:space="preserve"> and </t>
    </r>
    <r>
      <rPr>
        <sz val="11"/>
        <color indexed="10"/>
        <rFont val="Calibri"/>
        <family val="2"/>
      </rPr>
      <t xml:space="preserve">ICI+100nM Palbo (~5%) </t>
    </r>
    <r>
      <rPr>
        <sz val="11"/>
        <rFont val="Calibri"/>
        <family val="2"/>
      </rPr>
      <t>plates more sparce and isolated, cell not forming large flat colonies like ICI only.</t>
    </r>
  </si>
  <si>
    <r>
      <rPr>
        <b/>
        <sz val="11"/>
        <color indexed="8"/>
        <rFont val="Calibri"/>
        <family val="2"/>
      </rPr>
      <t>Friday 11/20/20: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indexed="8"/>
        <rFont val="Calibri"/>
        <family val="2"/>
      </rPr>
      <t xml:space="preserve">Ended at 2.5 weeks, didn't want ICI plates to overgrow over weekend. </t>
    </r>
    <r>
      <rPr>
        <sz val="11"/>
        <color theme="1"/>
        <rFont val="Calibri"/>
        <family val="2"/>
        <scheme val="minor"/>
      </rPr>
      <t xml:space="preserve">Trypsinized and counted each plate (3 reps each) using coulter counter.  </t>
    </r>
    <r>
      <rPr>
        <b/>
        <sz val="11"/>
        <color indexed="8"/>
        <rFont val="Calibri"/>
        <family val="2"/>
      </rPr>
      <t xml:space="preserve">Notes: </t>
    </r>
    <r>
      <rPr>
        <sz val="11"/>
        <color indexed="30"/>
        <rFont val="Calibri"/>
        <family val="2"/>
      </rPr>
      <t>ICI plate ~80% confluent,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indexed="8"/>
        <rFont val="Calibri"/>
        <family val="2"/>
      </rPr>
      <t>ICI+50nM Palbo</t>
    </r>
    <r>
      <rPr>
        <sz val="11"/>
        <color theme="1"/>
        <rFont val="Calibri"/>
        <family val="2"/>
        <scheme val="minor"/>
      </rPr>
      <t xml:space="preserve"> ~20% confluent</t>
    </r>
    <r>
      <rPr>
        <sz val="11"/>
        <color indexed="10"/>
        <rFont val="Calibri"/>
        <family val="2"/>
      </rPr>
      <t xml:space="preserve">, ICI+100nM Palbo 7% confluent, very sparce but still small isolated colonies. </t>
    </r>
    <r>
      <rPr>
        <sz val="11"/>
        <color theme="1"/>
        <rFont val="Calibri"/>
        <family val="2"/>
        <scheme val="minor"/>
      </rPr>
      <t>None of the plates showed severe rounding of cells like in the other 4+week Palbo, ICI experiments.</t>
    </r>
  </si>
  <si>
    <t>T=0 11/3</t>
  </si>
  <si>
    <t>2.5 weeks 11/20</t>
  </si>
  <si>
    <r>
      <t>Coulter Counter Counts MCF7f:</t>
    </r>
    <r>
      <rPr>
        <b/>
        <sz val="14"/>
        <color indexed="30"/>
        <rFont val="Calibri"/>
        <family val="2"/>
      </rPr>
      <t xml:space="preserve"> ICI</t>
    </r>
    <r>
      <rPr>
        <b/>
        <sz val="14"/>
        <color indexed="10"/>
        <rFont val="Calibri"/>
        <family val="2"/>
      </rPr>
      <t>+Palbo combo 3weeks</t>
    </r>
    <r>
      <rPr>
        <b/>
        <sz val="14"/>
        <color indexed="10"/>
        <rFont val="Calibri"/>
        <family val="2"/>
      </rPr>
      <t xml:space="preserve"> Rep#2</t>
    </r>
  </si>
  <si>
    <r>
      <t xml:space="preserve">Monday 11/2/20: Plated 45k cells on (4) </t>
    </r>
    <r>
      <rPr>
        <b/>
        <sz val="11"/>
        <color indexed="8"/>
        <rFont val="Calibri"/>
        <family val="2"/>
      </rPr>
      <t>60mm dishes</t>
    </r>
    <r>
      <rPr>
        <sz val="11"/>
        <color theme="1"/>
        <rFont val="Calibri"/>
        <family val="2"/>
        <scheme val="minor"/>
      </rPr>
      <t xml:space="preserve"> of MCF7f p82+12+15+45.</t>
    </r>
  </si>
  <si>
    <r>
      <rPr>
        <b/>
        <sz val="11"/>
        <color indexed="8"/>
        <rFont val="Calibri"/>
        <family val="2"/>
      </rPr>
      <t>Friday 11/20/20: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indexed="8"/>
        <rFont val="Calibri"/>
        <family val="2"/>
      </rPr>
      <t xml:space="preserve">Ended at 2.5 weeks, didn't want ICI plates to overgrow over weekend. </t>
    </r>
    <r>
      <rPr>
        <sz val="11"/>
        <color theme="1"/>
        <rFont val="Calibri"/>
        <family val="2"/>
        <scheme val="minor"/>
      </rPr>
      <t xml:space="preserve">Trypsinized and counted each plate (3 reps each) using coulter counter.  </t>
    </r>
    <r>
      <rPr>
        <b/>
        <sz val="11"/>
        <color indexed="8"/>
        <rFont val="Calibri"/>
        <family val="2"/>
      </rPr>
      <t xml:space="preserve">Notes: </t>
    </r>
    <r>
      <rPr>
        <sz val="11"/>
        <color indexed="30"/>
        <rFont val="Calibri"/>
        <family val="2"/>
      </rPr>
      <t>ICI plate ~70% confluent,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indexed="8"/>
        <rFont val="Calibri"/>
        <family val="2"/>
      </rPr>
      <t>ICI+50nM Palbo</t>
    </r>
    <r>
      <rPr>
        <sz val="11"/>
        <color theme="1"/>
        <rFont val="Calibri"/>
        <family val="2"/>
        <scheme val="minor"/>
      </rPr>
      <t xml:space="preserve"> ~15-20% confluent</t>
    </r>
    <r>
      <rPr>
        <sz val="11"/>
        <color indexed="10"/>
        <rFont val="Calibri"/>
        <family val="2"/>
      </rPr>
      <t xml:space="preserve">, ICI+100nM Palbo 5-7% confluent, very sparce but still small isolated colonies. </t>
    </r>
    <r>
      <rPr>
        <sz val="11"/>
        <color theme="1"/>
        <rFont val="Calibri"/>
        <family val="2"/>
        <scheme val="minor"/>
      </rPr>
      <t>None of the plates showed severe rounding of cells like in the other 4+week Palbo, ICI experiments.</t>
    </r>
  </si>
  <si>
    <t>Week 18day</t>
  </si>
  <si>
    <r>
      <t>Coulter Counter Counts MCF7f:</t>
    </r>
    <r>
      <rPr>
        <b/>
        <sz val="14"/>
        <color indexed="30"/>
        <rFont val="Calibri"/>
        <family val="2"/>
      </rPr>
      <t xml:space="preserve"> ICI</t>
    </r>
    <r>
      <rPr>
        <b/>
        <sz val="14"/>
        <color indexed="10"/>
        <rFont val="Calibri"/>
        <family val="2"/>
      </rPr>
      <t>+Palbo combo 2.5weeks</t>
    </r>
    <r>
      <rPr>
        <b/>
        <sz val="14"/>
        <color indexed="10"/>
        <rFont val="Calibri"/>
        <family val="2"/>
      </rPr>
      <t xml:space="preserve"> Rep#3</t>
    </r>
  </si>
  <si>
    <r>
      <t xml:space="preserve">Monday 3/22/21: Plated 45k cells on (4) </t>
    </r>
    <r>
      <rPr>
        <b/>
        <sz val="11"/>
        <color indexed="8"/>
        <rFont val="Calibri"/>
        <family val="2"/>
      </rPr>
      <t>60mm dishes</t>
    </r>
    <r>
      <rPr>
        <sz val="11"/>
        <color theme="1"/>
        <rFont val="Calibri"/>
        <family val="2"/>
        <scheme val="minor"/>
      </rPr>
      <t xml:space="preserve"> of MCF7f p82+12+15+36.</t>
    </r>
  </si>
  <si>
    <r>
      <t>Tuesday 3/23/21: Count T=0 plate. Dosed other 3 plates accordingly:</t>
    </r>
    <r>
      <rPr>
        <sz val="11"/>
        <color indexed="30"/>
        <rFont val="Calibri"/>
        <family val="2"/>
      </rPr>
      <t xml:space="preserve"> 200nM ICI only, </t>
    </r>
    <r>
      <rPr>
        <b/>
        <sz val="11"/>
        <rFont val="Calibri"/>
        <family val="2"/>
      </rPr>
      <t>200nM ICI+50nM Palbo</t>
    </r>
    <r>
      <rPr>
        <sz val="11"/>
        <rFont val="Calibri"/>
        <family val="2"/>
      </rPr>
      <t>,</t>
    </r>
    <r>
      <rPr>
        <sz val="11"/>
        <color indexed="10"/>
        <rFont val="Calibri"/>
        <family val="2"/>
      </rPr>
      <t xml:space="preserve"> 200nM ICI+100nM Palbo</t>
    </r>
  </si>
  <si>
    <t>T=0 (3/23)</t>
  </si>
  <si>
    <t>2.5 weeks (4/9)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</si>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</sst>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000"/>
  </numFmts>
  <fonts count="2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4"/>
      <color indexed="10"/>
      <name val="Calibri"/>
      <family val="2"/>
    </font>
    <font>
      <sz val="11"/>
      <color indexed="30"/>
      <name val="Calibri"/>
      <family val="2"/>
    </font>
    <font>
      <b/>
      <sz val="14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Border="1"/>
    <xf numFmtId="0" fontId="0" fillId="0" borderId="3" xfId="0" applyBorder="1"/>
    <xf numFmtId="0" fontId="8" fillId="0" borderId="0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12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11" fillId="0" borderId="0" xfId="0" applyNumberFormat="1" applyFont="1" applyBorder="1" applyAlignment="1">
      <alignment horizontal="center"/>
    </xf>
    <xf numFmtId="11" fontId="12" fillId="0" borderId="0" xfId="0" applyNumberFormat="1" applyFont="1" applyBorder="1"/>
    <xf numFmtId="11" fontId="10" fillId="0" borderId="0" xfId="0" applyNumberFormat="1" applyFont="1"/>
    <xf numFmtId="165" fontId="12" fillId="0" borderId="0" xfId="0" applyNumberFormat="1" applyFont="1" applyBorder="1" applyAlignment="1"/>
    <xf numFmtId="0" fontId="13" fillId="0" borderId="0" xfId="0" applyFont="1" applyBorder="1" applyAlignment="1"/>
    <xf numFmtId="0" fontId="14" fillId="0" borderId="0" xfId="0" applyFont="1" applyFill="1" applyBorder="1" applyAlignment="1">
      <alignment horizontal="center"/>
    </xf>
    <xf numFmtId="0" fontId="8" fillId="0" borderId="0" xfId="0" applyFont="1"/>
    <xf numFmtId="0" fontId="12" fillId="0" borderId="0" xfId="0" applyFont="1" applyBorder="1"/>
    <xf numFmtId="0" fontId="14" fillId="0" borderId="0" xfId="0" applyFont="1" applyAlignment="1">
      <alignment horizontal="right"/>
    </xf>
    <xf numFmtId="0" fontId="12" fillId="0" borderId="0" xfId="0" applyNumberFormat="1" applyFont="1" applyBorder="1" applyAlignment="1">
      <alignment horizontal="center"/>
    </xf>
    <xf numFmtId="0" fontId="14" fillId="0" borderId="0" xfId="0" applyNumberFormat="1" applyFont="1" applyFill="1" applyBorder="1" applyAlignment="1">
      <alignment horizontal="right"/>
    </xf>
    <xf numFmtId="0" fontId="10" fillId="0" borderId="0" xfId="0" applyNumberFormat="1" applyFont="1" applyBorder="1" applyAlignment="1">
      <alignment horizontal="center"/>
    </xf>
    <xf numFmtId="0" fontId="14" fillId="0" borderId="0" xfId="0" applyNumberFormat="1" applyFont="1" applyAlignment="1">
      <alignment horizontal="right"/>
    </xf>
    <xf numFmtId="0" fontId="10" fillId="0" borderId="0" xfId="0" applyNumberFormat="1" applyFont="1" applyBorder="1" applyAlignment="1"/>
    <xf numFmtId="0" fontId="12" fillId="0" borderId="0" xfId="0" applyNumberFormat="1" applyFont="1" applyBorder="1"/>
    <xf numFmtId="166" fontId="10" fillId="0" borderId="0" xfId="0" applyNumberFormat="1" applyFont="1" applyBorder="1" applyAlignment="1">
      <alignment horizontal="center"/>
    </xf>
    <xf numFmtId="166" fontId="12" fillId="0" borderId="0" xfId="0" applyNumberFormat="1" applyFont="1" applyBorder="1" applyAlignment="1">
      <alignment horizontal="center"/>
    </xf>
    <xf numFmtId="0" fontId="13" fillId="0" borderId="9" xfId="0" applyFont="1" applyBorder="1" applyAlignment="1"/>
    <xf numFmtId="0" fontId="13" fillId="0" borderId="10" xfId="0" applyFont="1" applyBorder="1" applyAlignment="1"/>
    <xf numFmtId="0" fontId="13" fillId="0" borderId="11" xfId="0" applyFont="1" applyBorder="1" applyAlignment="1"/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9" fillId="0" borderId="0" xfId="0" applyFont="1" applyBorder="1"/>
    <xf numFmtId="2" fontId="10" fillId="0" borderId="0" xfId="0" applyNumberFormat="1" applyFont="1" applyBorder="1" applyAlignment="1">
      <alignment horizontal="right"/>
    </xf>
    <xf numFmtId="2" fontId="10" fillId="0" borderId="0" xfId="0" applyNumberFormat="1" applyFont="1" applyAlignment="1">
      <alignment horizontal="right"/>
    </xf>
    <xf numFmtId="0" fontId="0" fillId="0" borderId="0" xfId="0" applyAlignment="1">
      <alignment vertical="center" wrapText="1"/>
    </xf>
    <xf numFmtId="0" fontId="15" fillId="0" borderId="0" xfId="0" applyFont="1" applyBorder="1" applyAlignment="1"/>
    <xf numFmtId="0" fontId="8" fillId="0" borderId="0" xfId="0" applyFont="1" applyBorder="1" applyAlignment="1">
      <alignment horizontal="center"/>
    </xf>
    <xf numFmtId="0" fontId="0" fillId="0" borderId="0" xfId="0" applyBorder="1" applyAlignment="1"/>
    <xf numFmtId="0" fontId="15" fillId="0" borderId="2" xfId="0" applyFont="1" applyBorder="1" applyAlignment="1"/>
    <xf numFmtId="0" fontId="0" fillId="0" borderId="2" xfId="0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164" fontId="14" fillId="0" borderId="0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right"/>
    </xf>
    <xf numFmtId="0" fontId="10" fillId="0" borderId="0" xfId="0" applyFont="1"/>
    <xf numFmtId="0" fontId="0" fillId="0" borderId="0" xfId="0" applyFont="1" applyBorder="1"/>
    <xf numFmtId="2" fontId="12" fillId="0" borderId="0" xfId="0" applyNumberFormat="1" applyFont="1" applyBorder="1" applyAlignment="1">
      <alignment horizontal="right"/>
    </xf>
    <xf numFmtId="0" fontId="11" fillId="0" borderId="0" xfId="0" applyFont="1" applyAlignment="1">
      <alignment horizontal="right"/>
    </xf>
    <xf numFmtId="2" fontId="14" fillId="0" borderId="0" xfId="0" applyNumberFormat="1" applyFont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0" fillId="0" borderId="0" xfId="0" applyNumberFormat="1" applyFont="1" applyAlignment="1">
      <alignment horizontal="center"/>
    </xf>
    <xf numFmtId="0" fontId="13" fillId="0" borderId="0" xfId="0" applyFont="1"/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164" fontId="12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5" fillId="0" borderId="0" xfId="0" applyFont="1"/>
    <xf numFmtId="0" fontId="15" fillId="0" borderId="2" xfId="0" applyFont="1" applyBorder="1"/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9" fillId="0" borderId="0" xfId="0" applyFont="1"/>
    <xf numFmtId="0" fontId="12" fillId="0" borderId="0" xfId="0" applyFont="1" applyAlignment="1">
      <alignment horizontal="right"/>
    </xf>
    <xf numFmtId="164" fontId="11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11" fontId="12" fillId="0" borderId="0" xfId="0" applyNumberFormat="1" applyFont="1"/>
    <xf numFmtId="0" fontId="12" fillId="0" borderId="0" xfId="0" applyFont="1"/>
    <xf numFmtId="0" fontId="10" fillId="0" borderId="0" xfId="0" applyFont="1" applyAlignment="1">
      <alignment horizontal="center"/>
    </xf>
    <xf numFmtId="166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right"/>
    </xf>
    <xf numFmtId="165" fontId="12" fillId="0" borderId="0" xfId="0" applyNumberFormat="1" applyFont="1"/>
    <xf numFmtId="2" fontId="14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166" fontId="10" fillId="0" borderId="0" xfId="0" applyNumberFormat="1" applyFont="1" applyAlignment="1">
      <alignment horizontal="center"/>
    </xf>
    <xf numFmtId="165" fontId="0" fillId="0" borderId="0" xfId="0" applyNumberFormat="1"/>
    <xf numFmtId="2" fontId="0" fillId="0" borderId="0" xfId="0" applyNumberFormat="1"/>
    <xf numFmtId="2" fontId="10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19" fillId="0" borderId="0" xfId="0" applyFont="1" applyBorder="1" applyAlignment="1">
      <alignment horizontal="center" wrapText="1"/>
    </xf>
    <xf numFmtId="0" fontId="19" fillId="0" borderId="2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3" fillId="0" borderId="10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3w'!$B$41</c:f>
              <c:strCache>
                <c:ptCount val="1"/>
                <c:pt idx="0">
                  <c:v>MCF7f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007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FD39-F740-8D79-ED7CC6746E2D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39-F740-8D79-ED7CC6746E2D}"/>
              </c:ext>
            </c:extLst>
          </c:dPt>
          <c:cat>
            <c:strRef>
              <c:f>'Sheet1 3w'!$A$42:$A$46</c:f>
              <c:strCache>
                <c:ptCount val="4"/>
                <c:pt idx="0">
                  <c:v>T=0</c:v>
                </c:pt>
                <c:pt idx="1">
                  <c:v> 200nM ICI</c:v>
                </c:pt>
                <c:pt idx="2">
                  <c:v> 200nM ICI+50nM Palbo</c:v>
                </c:pt>
                <c:pt idx="3">
                  <c:v>200nM ICI+100nM Palbo</c:v>
                </c:pt>
              </c:strCache>
            </c:strRef>
          </c:cat>
          <c:val>
            <c:numRef>
              <c:f>'Sheet1 3w'!$B$42:$B$46</c:f>
              <c:numCache>
                <c:formatCode>0.00</c:formatCode>
                <c:ptCount val="5"/>
                <c:pt idx="0" formatCode="General">
                  <c:v>1</c:v>
                </c:pt>
                <c:pt idx="1">
                  <c:v>67.40625</c:v>
                </c:pt>
                <c:pt idx="2">
                  <c:v>9.609375</c:v>
                </c:pt>
                <c:pt idx="3">
                  <c:v>2.65625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39-F740-8D79-ED7CC6746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454576"/>
        <c:axId val="1"/>
      </c:barChart>
      <c:catAx>
        <c:axId val="46045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4545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[1]Rep2!$B$40</c:f>
              <c:strCache>
                <c:ptCount val="1"/>
                <c:pt idx="0">
                  <c:v>MCF7f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007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8488-A14B-90E9-C64029E5D6E9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88-A14B-90E9-C64029E5D6E9}"/>
              </c:ext>
            </c:extLst>
          </c:dPt>
          <c:cat>
            <c:strRef>
              <c:f>[1]Rep2!$A$41:$A$45</c:f>
              <c:strCache>
                <c:ptCount val="5"/>
                <c:pt idx="0">
                  <c:v>T=0</c:v>
                </c:pt>
                <c:pt idx="1">
                  <c:v> 200nM ICI</c:v>
                </c:pt>
                <c:pt idx="2">
                  <c:v> 200nM ICI+50nM Palbo</c:v>
                </c:pt>
                <c:pt idx="3">
                  <c:v>200nM ICI+100nM Palbo</c:v>
                </c:pt>
              </c:strCache>
            </c:strRef>
          </c:cat>
          <c:val>
            <c:numRef>
              <c:f>[1]Rep2!$B$41:$B$45</c:f>
              <c:numCache>
                <c:formatCode>General</c:formatCode>
                <c:ptCount val="5"/>
                <c:pt idx="0">
                  <c:v>1</c:v>
                </c:pt>
                <c:pt idx="1">
                  <c:v>34.256198347107436</c:v>
                </c:pt>
                <c:pt idx="2">
                  <c:v>6.9669421487603298</c:v>
                </c:pt>
                <c:pt idx="3">
                  <c:v>2.3223140495867769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88-A14B-90E9-C64029E5D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462159"/>
        <c:axId val="1"/>
      </c:barChart>
      <c:catAx>
        <c:axId val="118546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46215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[1]Rep3!$B$40</c:f>
              <c:strCache>
                <c:ptCount val="1"/>
                <c:pt idx="0">
                  <c:v>MCF7f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007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B26A-0E4D-8B35-14671A3005F5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6A-0E4D-8B35-14671A3005F5}"/>
              </c:ext>
            </c:extLst>
          </c:dPt>
          <c:cat>
            <c:strRef>
              <c:f>[1]Rep3!$A$41:$A$45</c:f>
              <c:strCache>
                <c:ptCount val="5"/>
                <c:pt idx="0">
                  <c:v>T=0</c:v>
                </c:pt>
                <c:pt idx="1">
                  <c:v> 200nM ICI</c:v>
                </c:pt>
                <c:pt idx="2">
                  <c:v> 200nM ICI+50nM Palbo</c:v>
                </c:pt>
                <c:pt idx="3">
                  <c:v>200nM ICI+100nM Palbo</c:v>
                </c:pt>
              </c:strCache>
            </c:strRef>
          </c:cat>
          <c:val>
            <c:numRef>
              <c:f>[1]Rep3!$B$41:$B$45</c:f>
              <c:numCache>
                <c:formatCode>General</c:formatCode>
                <c:ptCount val="5"/>
                <c:pt idx="0">
                  <c:v>1</c:v>
                </c:pt>
                <c:pt idx="1">
                  <c:v>35.390977443609017</c:v>
                </c:pt>
                <c:pt idx="2">
                  <c:v>7.3458646616541357</c:v>
                </c:pt>
                <c:pt idx="3">
                  <c:v>2.4135338345864659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6A-0E4D-8B35-14671A300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474367"/>
        <c:axId val="1"/>
      </c:barChart>
      <c:catAx>
        <c:axId val="118547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547436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'[2]Rep3 2.5w'!$B$40</c:f>
              <c:strCache>
                <c:ptCount val="1"/>
                <c:pt idx="0">
                  <c:v>MCF7f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0070C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C042-DB4B-9640-E3396CAD71BC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42-DB4B-9640-E3396CAD71BC}"/>
              </c:ext>
            </c:extLst>
          </c:dPt>
          <c:cat>
            <c:strRef>
              <c:f>'[2]Rep3 2.5w'!$A$41:$A$45</c:f>
              <c:strCache>
                <c:ptCount val="5"/>
                <c:pt idx="0">
                  <c:v>T=0</c:v>
                </c:pt>
                <c:pt idx="1">
                  <c:v> 200nM ICI</c:v>
                </c:pt>
                <c:pt idx="2">
                  <c:v> 200nM ICI+50nM Palbo</c:v>
                </c:pt>
                <c:pt idx="3">
                  <c:v>200nM ICI+100nM Palbo</c:v>
                </c:pt>
              </c:strCache>
            </c:strRef>
          </c:cat>
          <c:val>
            <c:numRef>
              <c:f>'[2]Rep3 2.5w'!$B$41:$B$45</c:f>
              <c:numCache>
                <c:formatCode>General</c:formatCode>
                <c:ptCount val="5"/>
                <c:pt idx="0">
                  <c:v>1</c:v>
                </c:pt>
                <c:pt idx="1">
                  <c:v>48.311594202898554</c:v>
                </c:pt>
                <c:pt idx="2">
                  <c:v>7.0507246376811592</c:v>
                </c:pt>
                <c:pt idx="3">
                  <c:v>2.3768115942028984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42-DB4B-9640-E3396CAD7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288271"/>
        <c:axId val="1"/>
      </c:barChart>
      <c:catAx>
        <c:axId val="38928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928827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30</xdr:row>
      <xdr:rowOff>25400</xdr:rowOff>
    </xdr:from>
    <xdr:to>
      <xdr:col>14</xdr:col>
      <xdr:colOff>12700</xdr:colOff>
      <xdr:row>44</xdr:row>
      <xdr:rowOff>101600</xdr:rowOff>
    </xdr:to>
    <xdr:graphicFrame macro="">
      <xdr:nvGraphicFramePr>
        <xdr:cNvPr id="1030" name="Chart 1">
          <a:extLst>
            <a:ext uri="{FF2B5EF4-FFF2-40B4-BE49-F238E27FC236}">
              <a16:creationId xmlns:a16="http://schemas.microsoft.com/office/drawing/2014/main" id="{554EA1CB-3C27-CD45-A4ED-CA7CEBCD3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29</xdr:row>
      <xdr:rowOff>25400</xdr:rowOff>
    </xdr:from>
    <xdr:to>
      <xdr:col>14</xdr:col>
      <xdr:colOff>12700</xdr:colOff>
      <xdr:row>43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C5BE33-26AC-9248-9260-0CCFA0490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29</xdr:row>
      <xdr:rowOff>25400</xdr:rowOff>
    </xdr:from>
    <xdr:to>
      <xdr:col>14</xdr:col>
      <xdr:colOff>12700</xdr:colOff>
      <xdr:row>43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7F97F-E285-2E49-A3AD-031BA8AE2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29</xdr:row>
      <xdr:rowOff>25400</xdr:rowOff>
    </xdr:from>
    <xdr:to>
      <xdr:col>14</xdr:col>
      <xdr:colOff>12700</xdr:colOff>
      <xdr:row>43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A659DC-ED9B-0D4A-8B42-59D1A6C8C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raftsman/Desktop/10.16.20%20MCF7%20200nM%20ICI+Palbo%20combo%203weeks%20Reps1-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raftsman/Desktop/3.23.21%20MCF7%20200nM%20ICI+PALBO%20combo%202.5weeks%20Reps1-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1"/>
      <sheetName val="Rep2"/>
      <sheetName val="Rep3"/>
    </sheetNames>
    <sheetDataSet>
      <sheetData sheetId="0"/>
      <sheetData sheetId="1">
        <row r="40">
          <cell r="B40" t="str">
            <v>MCF7f</v>
          </cell>
        </row>
        <row r="41">
          <cell r="A41" t="str">
            <v>T=0</v>
          </cell>
          <cell r="B41">
            <v>1</v>
          </cell>
        </row>
        <row r="42">
          <cell r="A42" t="str">
            <v xml:space="preserve"> 200nM ICI</v>
          </cell>
          <cell r="B42">
            <v>34.256198347107436</v>
          </cell>
        </row>
        <row r="43">
          <cell r="A43" t="str">
            <v xml:space="preserve"> 200nM ICI+50nM Palbo</v>
          </cell>
          <cell r="B43">
            <v>6.9669421487603298</v>
          </cell>
        </row>
        <row r="44">
          <cell r="A44" t="str">
            <v>200nM ICI+100nM Palbo</v>
          </cell>
          <cell r="B44">
            <v>2.3223140495867769</v>
          </cell>
        </row>
      </sheetData>
      <sheetData sheetId="2">
        <row r="40">
          <cell r="B40" t="str">
            <v>MCF7f</v>
          </cell>
        </row>
        <row r="41">
          <cell r="A41" t="str">
            <v>T=0</v>
          </cell>
          <cell r="B41">
            <v>1</v>
          </cell>
        </row>
        <row r="42">
          <cell r="A42" t="str">
            <v xml:space="preserve"> 200nM ICI</v>
          </cell>
          <cell r="B42">
            <v>35.390977443609017</v>
          </cell>
        </row>
        <row r="43">
          <cell r="A43" t="str">
            <v xml:space="preserve"> 200nM ICI+50nM Palbo</v>
          </cell>
          <cell r="B43">
            <v>7.3458646616541357</v>
          </cell>
        </row>
        <row r="44">
          <cell r="A44" t="str">
            <v>200nM ICI+100nM Palbo</v>
          </cell>
          <cell r="B44">
            <v>2.4135338345864659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1 3w"/>
      <sheetName val="Rep1 2.5w"/>
      <sheetName val="Rep2 2.5w"/>
      <sheetName val="Rep3 2.5w"/>
    </sheetNames>
    <sheetDataSet>
      <sheetData sheetId="0" refreshError="1"/>
      <sheetData sheetId="1" refreshError="1"/>
      <sheetData sheetId="2" refreshError="1"/>
      <sheetData sheetId="3">
        <row r="40">
          <cell r="B40" t="str">
            <v>MCF7f</v>
          </cell>
        </row>
        <row r="41">
          <cell r="A41" t="str">
            <v>T=0</v>
          </cell>
          <cell r="B41">
            <v>1</v>
          </cell>
        </row>
        <row r="42">
          <cell r="A42" t="str">
            <v xml:space="preserve"> 200nM ICI</v>
          </cell>
          <cell r="B42">
            <v>48.311594202898554</v>
          </cell>
        </row>
        <row r="43">
          <cell r="A43" t="str">
            <v xml:space="preserve"> 200nM ICI+50nM Palbo</v>
          </cell>
          <cell r="B43">
            <v>7.0507246376811592</v>
          </cell>
        </row>
        <row r="44">
          <cell r="A44" t="str">
            <v>200nM ICI+100nM Palbo</v>
          </cell>
          <cell r="B44">
            <v>2.3768115942028984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opLeftCell="A5" workbookViewId="0">
      <selection activeCell="D44" sqref="D44"/>
    </sheetView>
  </sheetViews>
  <sheetFormatPr baseColWidth="10" defaultRowHeight="15" x14ac:dyDescent="0.2"/>
  <cols>
    <col min="1" max="1" width="24.6640625" customWidth="1"/>
    <col min="2" max="2" width="12.33203125" customWidth="1"/>
    <col min="3" max="7" width="9.5" bestFit="1" customWidth="1"/>
    <col min="8" max="8" width="8.5" customWidth="1"/>
    <col min="9" max="9" width="24.6640625" customWidth="1"/>
    <col min="10" max="10" width="8.83203125" customWidth="1"/>
    <col min="11" max="11" width="9.5" bestFit="1" customWidth="1"/>
    <col min="12" max="12" width="8.83203125" customWidth="1"/>
    <col min="13" max="15" width="9.5" bestFit="1" customWidth="1"/>
    <col min="16" max="256" width="8.83203125" customWidth="1"/>
  </cols>
  <sheetData>
    <row r="1" spans="1:22" ht="19" x14ac:dyDescent="0.25">
      <c r="A1" s="107" t="s">
        <v>33</v>
      </c>
      <c r="B1" s="107"/>
      <c r="C1" s="107"/>
      <c r="D1" s="107"/>
      <c r="E1" s="107"/>
      <c r="F1" s="107"/>
    </row>
    <row r="2" spans="1:22" x14ac:dyDescent="0.2">
      <c r="A2" s="108" t="s">
        <v>15</v>
      </c>
      <c r="B2" s="108"/>
      <c r="C2" s="108"/>
      <c r="D2" s="108"/>
      <c r="E2" s="108"/>
      <c r="F2" s="108"/>
      <c r="G2" s="108"/>
    </row>
    <row r="3" spans="1:22" x14ac:dyDescent="0.2">
      <c r="A3" s="110" t="s">
        <v>31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"/>
    </row>
    <row r="4" spans="1:22" x14ac:dyDescent="0.2">
      <c r="A4" s="110" t="s">
        <v>16</v>
      </c>
      <c r="B4" s="110"/>
      <c r="C4" s="110"/>
      <c r="D4" s="1"/>
      <c r="E4" s="1"/>
      <c r="F4" s="1"/>
      <c r="G4" s="1"/>
      <c r="H4" s="1"/>
      <c r="I4" s="1"/>
      <c r="J4" s="1"/>
      <c r="K4" s="1"/>
      <c r="L4" s="1"/>
    </row>
    <row r="5" spans="1:22" x14ac:dyDescent="0.2">
      <c r="A5" s="110" t="s">
        <v>32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</row>
    <row r="6" spans="1:22" x14ac:dyDescent="0.2">
      <c r="A6" s="110" t="s">
        <v>34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" customHeight="1" x14ac:dyDescent="0.2">
      <c r="A7" s="109" t="s">
        <v>35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50"/>
      <c r="N7" s="50"/>
      <c r="O7" s="1"/>
    </row>
    <row r="8" spans="1:22" x14ac:dyDescent="0.2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50"/>
      <c r="N8" s="50"/>
      <c r="O8" s="1"/>
    </row>
    <row r="9" spans="1:22" x14ac:dyDescent="0.2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50"/>
      <c r="N9" s="50"/>
      <c r="O9" s="1"/>
    </row>
    <row r="10" spans="1:22" ht="19" x14ac:dyDescent="0.2">
      <c r="A10" s="44"/>
      <c r="B10" s="45"/>
      <c r="C10" s="111" t="s">
        <v>17</v>
      </c>
      <c r="D10" s="111"/>
      <c r="E10" s="45"/>
      <c r="F10" s="45"/>
      <c r="G10" s="46"/>
      <c r="H10" s="1"/>
      <c r="I10" s="1"/>
      <c r="J10" s="1"/>
      <c r="K10" s="1"/>
      <c r="L10" s="1"/>
    </row>
    <row r="11" spans="1:22" ht="16" x14ac:dyDescent="0.2">
      <c r="A11" s="122" t="s">
        <v>11</v>
      </c>
      <c r="B11" s="123"/>
      <c r="C11" s="123"/>
      <c r="D11" s="123"/>
      <c r="E11" s="123"/>
      <c r="F11" s="123"/>
      <c r="G11" s="124"/>
      <c r="H11" s="1"/>
      <c r="I11" s="1"/>
      <c r="J11" s="1"/>
      <c r="K11" s="1"/>
      <c r="L11" s="1"/>
    </row>
    <row r="12" spans="1:22" ht="32" x14ac:dyDescent="0.2">
      <c r="A12" s="2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7" t="s">
        <v>5</v>
      </c>
      <c r="G12" s="4" t="s">
        <v>6</v>
      </c>
      <c r="H12" s="1"/>
      <c r="I12" s="1"/>
      <c r="J12" s="1"/>
      <c r="K12" s="1"/>
      <c r="L12" s="1"/>
    </row>
    <row r="13" spans="1:22" x14ac:dyDescent="0.2">
      <c r="A13" s="12" t="s">
        <v>12</v>
      </c>
      <c r="B13" s="13">
        <v>44</v>
      </c>
      <c r="C13" s="14">
        <f>B13*400</f>
        <v>17600</v>
      </c>
      <c r="D13" s="13">
        <v>2.5</v>
      </c>
      <c r="E13" s="14">
        <f>C13*D13</f>
        <v>44000</v>
      </c>
      <c r="F13" s="15">
        <f>AVERAGE(E13:E15)</f>
        <v>42666.666666666664</v>
      </c>
      <c r="G13" s="16">
        <f>_xlfn.STDEV.S(E13:E15)</f>
        <v>4163.3319989322654</v>
      </c>
      <c r="H13" s="1"/>
      <c r="I13" s="1"/>
      <c r="J13" s="1"/>
      <c r="K13" s="1"/>
      <c r="L13" s="1"/>
    </row>
    <row r="14" spans="1:22" x14ac:dyDescent="0.2">
      <c r="A14" s="12" t="s">
        <v>13</v>
      </c>
      <c r="B14" s="13">
        <v>46</v>
      </c>
      <c r="C14" s="14">
        <f>B14*400</f>
        <v>18400</v>
      </c>
      <c r="D14" s="13">
        <v>2.5</v>
      </c>
      <c r="E14" s="14">
        <f>C14*D14</f>
        <v>46000</v>
      </c>
      <c r="F14" s="14"/>
      <c r="G14" s="17"/>
      <c r="H14" s="1"/>
      <c r="I14" s="1"/>
      <c r="J14" s="1"/>
      <c r="K14" s="1"/>
      <c r="L14" s="1"/>
    </row>
    <row r="15" spans="1:22" x14ac:dyDescent="0.2">
      <c r="A15" s="18" t="s">
        <v>14</v>
      </c>
      <c r="B15" s="19">
        <v>38</v>
      </c>
      <c r="C15" s="20">
        <f>B15*400</f>
        <v>15200</v>
      </c>
      <c r="D15" s="19">
        <v>2.5</v>
      </c>
      <c r="E15" s="20">
        <f>C15*D15</f>
        <v>38000</v>
      </c>
      <c r="F15" s="20"/>
      <c r="G15" s="21"/>
      <c r="H15" s="1"/>
      <c r="I15" s="1"/>
      <c r="J15" s="1"/>
      <c r="K15" s="1"/>
      <c r="L15" s="1"/>
    </row>
    <row r="16" spans="1:22" ht="19" x14ac:dyDescent="0.25">
      <c r="A16" s="28"/>
      <c r="B16" s="28"/>
      <c r="C16" s="28"/>
      <c r="D16" s="28"/>
      <c r="E16" s="28"/>
      <c r="F16" s="28"/>
      <c r="G16" s="28"/>
    </row>
    <row r="17" spans="1:15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9" x14ac:dyDescent="0.25">
      <c r="A18" s="41"/>
      <c r="B18" s="42"/>
      <c r="C18" s="42"/>
      <c r="D18" s="42"/>
      <c r="E18" s="42"/>
      <c r="F18" s="42"/>
      <c r="G18" s="121" t="s">
        <v>30</v>
      </c>
      <c r="H18" s="121"/>
      <c r="I18" s="121"/>
      <c r="J18" s="42"/>
      <c r="K18" s="42"/>
      <c r="L18" s="42"/>
      <c r="M18" s="42"/>
      <c r="N18" s="42"/>
      <c r="O18" s="43"/>
    </row>
    <row r="19" spans="1:15" ht="16" x14ac:dyDescent="0.2">
      <c r="A19" s="112" t="s">
        <v>18</v>
      </c>
      <c r="B19" s="113"/>
      <c r="C19" s="113"/>
      <c r="D19" s="113"/>
      <c r="E19" s="113"/>
      <c r="F19" s="113"/>
      <c r="G19" s="114"/>
      <c r="H19" s="13"/>
      <c r="I19" s="115" t="s">
        <v>22</v>
      </c>
      <c r="J19" s="116"/>
      <c r="K19" s="116"/>
      <c r="L19" s="116"/>
      <c r="M19" s="116"/>
      <c r="N19" s="116"/>
      <c r="O19" s="117"/>
    </row>
    <row r="20" spans="1:15" ht="32" x14ac:dyDescent="0.2">
      <c r="A20" s="2" t="s">
        <v>0</v>
      </c>
      <c r="B20" s="3" t="s">
        <v>1</v>
      </c>
      <c r="C20" s="3" t="s">
        <v>2</v>
      </c>
      <c r="D20" s="3" t="s">
        <v>3</v>
      </c>
      <c r="E20" s="3" t="s">
        <v>4</v>
      </c>
      <c r="F20" s="7" t="s">
        <v>5</v>
      </c>
      <c r="G20" s="4" t="s">
        <v>6</v>
      </c>
      <c r="H20" s="13"/>
      <c r="I20" s="8" t="s">
        <v>0</v>
      </c>
      <c r="J20" s="9" t="s">
        <v>1</v>
      </c>
      <c r="K20" s="9" t="s">
        <v>2</v>
      </c>
      <c r="L20" s="9" t="s">
        <v>3</v>
      </c>
      <c r="M20" s="9" t="s">
        <v>4</v>
      </c>
      <c r="N20" s="10" t="s">
        <v>5</v>
      </c>
      <c r="O20" s="11" t="s">
        <v>6</v>
      </c>
    </row>
    <row r="21" spans="1:15" x14ac:dyDescent="0.2">
      <c r="A21" s="57" t="s">
        <v>19</v>
      </c>
      <c r="B21" s="13">
        <v>2792</v>
      </c>
      <c r="C21" s="14">
        <f>B21*400</f>
        <v>1116800</v>
      </c>
      <c r="D21" s="13">
        <v>2.5</v>
      </c>
      <c r="E21" s="14">
        <f>C21*D21</f>
        <v>2792000</v>
      </c>
      <c r="F21" s="22">
        <f>AVERAGE(E21:E23)</f>
        <v>2876000</v>
      </c>
      <c r="G21" s="16">
        <f>_xlfn.STDEV.S(E21:E23)</f>
        <v>106658.33300778706</v>
      </c>
      <c r="H21" s="13"/>
      <c r="I21" s="60" t="s">
        <v>23</v>
      </c>
      <c r="J21" s="13">
        <v>424</v>
      </c>
      <c r="K21" s="14">
        <f>J21*400</f>
        <v>169600</v>
      </c>
      <c r="L21" s="13">
        <v>2.5</v>
      </c>
      <c r="M21" s="14">
        <f>K21*L21</f>
        <v>424000</v>
      </c>
      <c r="N21" s="59">
        <f>AVERAGE(M21:M23)</f>
        <v>410000</v>
      </c>
      <c r="O21" s="16">
        <f>_xlfn.STDEV.S(K21:K23)</f>
        <v>8352.2452071284406</v>
      </c>
    </row>
    <row r="22" spans="1:15" x14ac:dyDescent="0.2">
      <c r="A22" s="57" t="s">
        <v>20</v>
      </c>
      <c r="B22" s="13">
        <v>2996</v>
      </c>
      <c r="C22" s="14">
        <f>B22*400</f>
        <v>1198400</v>
      </c>
      <c r="D22" s="13">
        <v>2.5</v>
      </c>
      <c r="E22" s="14">
        <f>C22*D22</f>
        <v>2996000</v>
      </c>
      <c r="F22" s="14"/>
      <c r="G22" s="17"/>
      <c r="H22" s="13"/>
      <c r="I22" s="60" t="s">
        <v>24</v>
      </c>
      <c r="J22" s="13">
        <v>386</v>
      </c>
      <c r="K22" s="14">
        <f>J22*400</f>
        <v>154400</v>
      </c>
      <c r="L22" s="13">
        <v>2.5</v>
      </c>
      <c r="M22" s="14">
        <f>K22*L22</f>
        <v>386000</v>
      </c>
      <c r="N22" s="14"/>
      <c r="O22" s="17"/>
    </row>
    <row r="23" spans="1:15" x14ac:dyDescent="0.2">
      <c r="A23" s="58" t="s">
        <v>21</v>
      </c>
      <c r="B23" s="19">
        <v>2840</v>
      </c>
      <c r="C23" s="20">
        <f>B23*400</f>
        <v>1136000</v>
      </c>
      <c r="D23" s="19">
        <v>2.5</v>
      </c>
      <c r="E23" s="20">
        <f>C23*D23</f>
        <v>2840000</v>
      </c>
      <c r="F23" s="20"/>
      <c r="G23" s="21"/>
      <c r="H23" s="13"/>
      <c r="I23" s="61" t="s">
        <v>25</v>
      </c>
      <c r="J23" s="19">
        <v>420</v>
      </c>
      <c r="K23" s="20">
        <f>J23*400</f>
        <v>168000</v>
      </c>
      <c r="L23" s="19">
        <v>2.5</v>
      </c>
      <c r="M23" s="20">
        <f>K23*L23</f>
        <v>420000</v>
      </c>
      <c r="N23" s="20"/>
      <c r="O23" s="21"/>
    </row>
    <row r="24" spans="1:15" x14ac:dyDescent="0.2">
      <c r="A24" s="12"/>
      <c r="B24" s="13"/>
      <c r="C24" s="14"/>
      <c r="D24" s="13"/>
      <c r="E24" s="14"/>
      <c r="F24" s="14"/>
      <c r="G24" s="14"/>
      <c r="H24" s="13"/>
      <c r="I24" s="23"/>
      <c r="J24" s="13"/>
      <c r="K24" s="14"/>
      <c r="L24" s="13"/>
      <c r="M24" s="14"/>
      <c r="N24" s="14"/>
      <c r="O24" s="17"/>
    </row>
    <row r="25" spans="1:15" ht="16" x14ac:dyDescent="0.2">
      <c r="A25" s="118" t="s">
        <v>26</v>
      </c>
      <c r="B25" s="119"/>
      <c r="C25" s="119"/>
      <c r="D25" s="119"/>
      <c r="E25" s="119"/>
      <c r="F25" s="119"/>
      <c r="G25" s="120"/>
      <c r="H25" s="5"/>
      <c r="I25" s="51"/>
      <c r="J25" s="51"/>
      <c r="K25" s="51"/>
      <c r="L25" s="51"/>
      <c r="M25" s="51"/>
      <c r="N25" s="51"/>
      <c r="O25" s="54"/>
    </row>
    <row r="26" spans="1:15" ht="32" x14ac:dyDescent="0.2">
      <c r="A26" s="8" t="s">
        <v>0</v>
      </c>
      <c r="B26" s="9" t="s">
        <v>1</v>
      </c>
      <c r="C26" s="9" t="s">
        <v>2</v>
      </c>
      <c r="D26" s="9" t="s">
        <v>3</v>
      </c>
      <c r="E26" s="9" t="s">
        <v>4</v>
      </c>
      <c r="F26" s="10" t="s">
        <v>5</v>
      </c>
      <c r="G26" s="11" t="s">
        <v>6</v>
      </c>
      <c r="H26" s="5"/>
      <c r="I26" s="13"/>
      <c r="J26" s="13"/>
      <c r="K26" s="13"/>
      <c r="L26" s="13"/>
      <c r="M26" s="13"/>
      <c r="N26" s="52"/>
      <c r="O26" s="55"/>
    </row>
    <row r="27" spans="1:15" x14ac:dyDescent="0.2">
      <c r="A27" s="12" t="s">
        <v>27</v>
      </c>
      <c r="B27" s="13">
        <v>134</v>
      </c>
      <c r="C27" s="14">
        <f>B27*400</f>
        <v>53600</v>
      </c>
      <c r="D27" s="13">
        <v>2.5</v>
      </c>
      <c r="E27" s="14">
        <f>C27*D27</f>
        <v>134000</v>
      </c>
      <c r="F27" s="15">
        <f>AVERAGE(E27:E29)</f>
        <v>113333.33333333333</v>
      </c>
      <c r="G27" s="16">
        <f>_xlfn.STDEV.S(E27:E29)</f>
        <v>18583.146486355105</v>
      </c>
      <c r="H27" s="5"/>
      <c r="I27" s="23"/>
      <c r="J27" s="13"/>
      <c r="K27" s="14"/>
      <c r="L27" s="13"/>
      <c r="M27" s="14"/>
      <c r="N27" s="15"/>
      <c r="O27" s="16"/>
    </row>
    <row r="28" spans="1:15" x14ac:dyDescent="0.2">
      <c r="A28" s="12" t="s">
        <v>28</v>
      </c>
      <c r="B28" s="13">
        <v>98</v>
      </c>
      <c r="C28" s="14">
        <f>B28*400</f>
        <v>39200</v>
      </c>
      <c r="D28" s="13">
        <v>2.5</v>
      </c>
      <c r="E28" s="14">
        <f>C28*D28</f>
        <v>98000</v>
      </c>
      <c r="F28" s="14"/>
      <c r="G28" s="17"/>
      <c r="H28" s="5"/>
      <c r="I28" s="23"/>
      <c r="J28" s="13"/>
      <c r="K28" s="14"/>
      <c r="L28" s="13"/>
      <c r="M28" s="14"/>
      <c r="N28" s="14"/>
      <c r="O28" s="17"/>
    </row>
    <row r="29" spans="1:15" x14ac:dyDescent="0.2">
      <c r="A29" s="18" t="s">
        <v>29</v>
      </c>
      <c r="B29" s="19">
        <v>108</v>
      </c>
      <c r="C29" s="20">
        <f>B29*400</f>
        <v>43200</v>
      </c>
      <c r="D29" s="19">
        <v>2.5</v>
      </c>
      <c r="E29" s="20">
        <f>C29*D29</f>
        <v>108000</v>
      </c>
      <c r="F29" s="20"/>
      <c r="G29" s="21"/>
      <c r="H29" s="6"/>
      <c r="I29" s="56"/>
      <c r="J29" s="19"/>
      <c r="K29" s="20"/>
      <c r="L29" s="19"/>
      <c r="M29" s="20"/>
      <c r="N29" s="20"/>
      <c r="O29" s="21"/>
    </row>
    <row r="30" spans="1:15" x14ac:dyDescent="0.2">
      <c r="H30" s="5"/>
      <c r="I30" s="53"/>
      <c r="J30" s="53"/>
      <c r="K30" s="53"/>
      <c r="L30" s="53"/>
      <c r="M30" s="53"/>
      <c r="N30" s="53"/>
      <c r="O30" s="53"/>
    </row>
    <row r="31" spans="1:15" x14ac:dyDescent="0.2">
      <c r="I31" s="53"/>
      <c r="J31" s="53"/>
      <c r="K31" s="53"/>
      <c r="L31" s="53"/>
      <c r="M31" s="53"/>
      <c r="N31" s="53"/>
      <c r="O31" s="53"/>
    </row>
    <row r="33" spans="1:8" x14ac:dyDescent="0.2">
      <c r="A33" s="29" t="s">
        <v>7</v>
      </c>
      <c r="F33" s="64" t="s">
        <v>8</v>
      </c>
      <c r="G33" t="s">
        <v>6</v>
      </c>
    </row>
    <row r="34" spans="1:8" x14ac:dyDescent="0.2">
      <c r="B34" s="64" t="s">
        <v>8</v>
      </c>
      <c r="C34" s="47" t="s">
        <v>6</v>
      </c>
      <c r="E34" s="65" t="s">
        <v>10</v>
      </c>
      <c r="F34" s="15">
        <v>42666.666666666664</v>
      </c>
      <c r="G34" s="16">
        <v>4163.3319989322654</v>
      </c>
    </row>
    <row r="35" spans="1:8" x14ac:dyDescent="0.2">
      <c r="A35" s="62" t="s">
        <v>18</v>
      </c>
      <c r="B35" s="22">
        <v>2876000</v>
      </c>
      <c r="C35" s="24">
        <v>106658.33300778706</v>
      </c>
      <c r="D35" s="22"/>
      <c r="E35" s="22"/>
      <c r="F35" s="24"/>
      <c r="H35" s="26"/>
    </row>
    <row r="36" spans="1:8" x14ac:dyDescent="0.2">
      <c r="A36" s="32" t="s">
        <v>22</v>
      </c>
      <c r="B36" s="59">
        <v>410000</v>
      </c>
      <c r="C36" s="24">
        <v>8352.2452071284406</v>
      </c>
      <c r="D36" s="22"/>
      <c r="E36" s="22"/>
      <c r="F36" s="24"/>
    </row>
    <row r="37" spans="1:8" x14ac:dyDescent="0.2">
      <c r="A37" s="69" t="s">
        <v>26</v>
      </c>
      <c r="B37" s="15">
        <v>113333.33333333333</v>
      </c>
      <c r="C37" s="24">
        <v>18583.146486355105</v>
      </c>
      <c r="D37" s="22"/>
      <c r="E37" s="22"/>
      <c r="F37" s="24"/>
    </row>
    <row r="38" spans="1:8" x14ac:dyDescent="0.2">
      <c r="A38" s="32"/>
      <c r="B38" s="15"/>
      <c r="C38" s="24"/>
      <c r="D38" s="25"/>
      <c r="E38" s="25"/>
      <c r="F38" s="5"/>
    </row>
    <row r="39" spans="1:8" x14ac:dyDescent="0.2">
      <c r="B39" s="30"/>
      <c r="C39" s="31"/>
      <c r="D39" s="5"/>
      <c r="E39" s="5"/>
      <c r="F39" s="5"/>
    </row>
    <row r="40" spans="1:8" x14ac:dyDescent="0.2">
      <c r="A40" s="34" t="s">
        <v>9</v>
      </c>
      <c r="B40" s="35"/>
      <c r="C40" s="40"/>
    </row>
    <row r="41" spans="1:8" x14ac:dyDescent="0.2">
      <c r="B41" s="30" t="s">
        <v>8</v>
      </c>
      <c r="C41" s="40"/>
      <c r="D41" s="5"/>
      <c r="E41" s="5"/>
    </row>
    <row r="42" spans="1:8" x14ac:dyDescent="0.2">
      <c r="A42" s="63" t="s">
        <v>10</v>
      </c>
      <c r="B42" s="67">
        <v>1</v>
      </c>
      <c r="C42" s="40"/>
      <c r="D42" s="5"/>
      <c r="E42" s="5"/>
    </row>
    <row r="43" spans="1:8" x14ac:dyDescent="0.2">
      <c r="A43" s="62" t="s">
        <v>18</v>
      </c>
      <c r="B43" s="66">
        <f>B35/F34</f>
        <v>67.40625</v>
      </c>
      <c r="C43" s="37"/>
      <c r="D43" s="27"/>
      <c r="E43" s="27"/>
    </row>
    <row r="44" spans="1:8" x14ac:dyDescent="0.2">
      <c r="A44" s="32" t="s">
        <v>22</v>
      </c>
      <c r="B44" s="68">
        <f>B36/F34</f>
        <v>9.609375</v>
      </c>
      <c r="C44" s="33"/>
      <c r="D44" s="27"/>
      <c r="E44" s="27"/>
    </row>
    <row r="45" spans="1:8" x14ac:dyDescent="0.2">
      <c r="A45" s="69" t="s">
        <v>26</v>
      </c>
      <c r="B45" s="48">
        <f>B37/F34</f>
        <v>2.65625</v>
      </c>
      <c r="C45" s="38"/>
      <c r="D45" s="27"/>
      <c r="E45" s="27"/>
    </row>
    <row r="46" spans="1:8" x14ac:dyDescent="0.2">
      <c r="A46" s="32"/>
      <c r="B46" s="49"/>
      <c r="C46" s="33"/>
      <c r="D46" s="27"/>
      <c r="E46" s="27"/>
    </row>
    <row r="47" spans="1:8" x14ac:dyDescent="0.2">
      <c r="A47" s="36"/>
      <c r="B47" s="39"/>
      <c r="C47" s="40"/>
    </row>
  </sheetData>
  <mergeCells count="13">
    <mergeCell ref="C10:D10"/>
    <mergeCell ref="A19:G19"/>
    <mergeCell ref="I19:O19"/>
    <mergeCell ref="A25:G25"/>
    <mergeCell ref="G18:I18"/>
    <mergeCell ref="A11:G11"/>
    <mergeCell ref="A1:F1"/>
    <mergeCell ref="A2:G2"/>
    <mergeCell ref="A7:L9"/>
    <mergeCell ref="A5:V5"/>
    <mergeCell ref="A6:K6"/>
    <mergeCell ref="A4:C4"/>
    <mergeCell ref="A3:K3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1044-BB52-1D47-9437-DFAB2C9599AC}">
  <dimension ref="A1:V50"/>
  <sheetViews>
    <sheetView topLeftCell="A7" workbookViewId="0">
      <selection activeCell="D46" sqref="D46"/>
    </sheetView>
  </sheetViews>
  <sheetFormatPr baseColWidth="10" defaultRowHeight="15" x14ac:dyDescent="0.2"/>
  <cols>
    <col min="1" max="1" width="24.6640625" customWidth="1"/>
    <col min="2" max="2" width="12.33203125" customWidth="1"/>
    <col min="3" max="7" width="9.5" bestFit="1" customWidth="1"/>
    <col min="8" max="8" width="8.5" customWidth="1"/>
    <col min="9" max="9" width="24.6640625" customWidth="1"/>
    <col min="10" max="10" width="8.83203125" customWidth="1"/>
    <col min="11" max="11" width="9.5" bestFit="1" customWidth="1"/>
    <col min="12" max="12" width="8.83203125" customWidth="1"/>
    <col min="13" max="15" width="9.5" bestFit="1" customWidth="1"/>
    <col min="16" max="256" width="8.83203125" customWidth="1"/>
    <col min="257" max="257" width="24.6640625" customWidth="1"/>
    <col min="258" max="258" width="12.33203125" customWidth="1"/>
    <col min="259" max="263" width="9.5" bestFit="1" customWidth="1"/>
    <col min="264" max="264" width="8.5" customWidth="1"/>
    <col min="265" max="265" width="24.6640625" customWidth="1"/>
    <col min="266" max="266" width="8.83203125" customWidth="1"/>
    <col min="267" max="267" width="9.5" bestFit="1" customWidth="1"/>
    <col min="268" max="268" width="8.83203125" customWidth="1"/>
    <col min="269" max="271" width="9.5" bestFit="1" customWidth="1"/>
    <col min="272" max="512" width="8.83203125" customWidth="1"/>
    <col min="513" max="513" width="24.6640625" customWidth="1"/>
    <col min="514" max="514" width="12.33203125" customWidth="1"/>
    <col min="515" max="519" width="9.5" bestFit="1" customWidth="1"/>
    <col min="520" max="520" width="8.5" customWidth="1"/>
    <col min="521" max="521" width="24.6640625" customWidth="1"/>
    <col min="522" max="522" width="8.83203125" customWidth="1"/>
    <col min="523" max="523" width="9.5" bestFit="1" customWidth="1"/>
    <col min="524" max="524" width="8.83203125" customWidth="1"/>
    <col min="525" max="527" width="9.5" bestFit="1" customWidth="1"/>
    <col min="528" max="768" width="8.83203125" customWidth="1"/>
    <col min="769" max="769" width="24.6640625" customWidth="1"/>
    <col min="770" max="770" width="12.33203125" customWidth="1"/>
    <col min="771" max="775" width="9.5" bestFit="1" customWidth="1"/>
    <col min="776" max="776" width="8.5" customWidth="1"/>
    <col min="777" max="777" width="24.6640625" customWidth="1"/>
    <col min="778" max="778" width="8.83203125" customWidth="1"/>
    <col min="779" max="779" width="9.5" bestFit="1" customWidth="1"/>
    <col min="780" max="780" width="8.83203125" customWidth="1"/>
    <col min="781" max="783" width="9.5" bestFit="1" customWidth="1"/>
    <col min="784" max="1024" width="8.83203125" customWidth="1"/>
    <col min="1025" max="1025" width="24.6640625" customWidth="1"/>
    <col min="1026" max="1026" width="12.33203125" customWidth="1"/>
    <col min="1027" max="1031" width="9.5" bestFit="1" customWidth="1"/>
    <col min="1032" max="1032" width="8.5" customWidth="1"/>
    <col min="1033" max="1033" width="24.6640625" customWidth="1"/>
    <col min="1034" max="1034" width="8.83203125" customWidth="1"/>
    <col min="1035" max="1035" width="9.5" bestFit="1" customWidth="1"/>
    <col min="1036" max="1036" width="8.83203125" customWidth="1"/>
    <col min="1037" max="1039" width="9.5" bestFit="1" customWidth="1"/>
    <col min="1040" max="1280" width="8.83203125" customWidth="1"/>
    <col min="1281" max="1281" width="24.6640625" customWidth="1"/>
    <col min="1282" max="1282" width="12.33203125" customWidth="1"/>
    <col min="1283" max="1287" width="9.5" bestFit="1" customWidth="1"/>
    <col min="1288" max="1288" width="8.5" customWidth="1"/>
    <col min="1289" max="1289" width="24.6640625" customWidth="1"/>
    <col min="1290" max="1290" width="8.83203125" customWidth="1"/>
    <col min="1291" max="1291" width="9.5" bestFit="1" customWidth="1"/>
    <col min="1292" max="1292" width="8.83203125" customWidth="1"/>
    <col min="1293" max="1295" width="9.5" bestFit="1" customWidth="1"/>
    <col min="1296" max="1536" width="8.83203125" customWidth="1"/>
    <col min="1537" max="1537" width="24.6640625" customWidth="1"/>
    <col min="1538" max="1538" width="12.33203125" customWidth="1"/>
    <col min="1539" max="1543" width="9.5" bestFit="1" customWidth="1"/>
    <col min="1544" max="1544" width="8.5" customWidth="1"/>
    <col min="1545" max="1545" width="24.6640625" customWidth="1"/>
    <col min="1546" max="1546" width="8.83203125" customWidth="1"/>
    <col min="1547" max="1547" width="9.5" bestFit="1" customWidth="1"/>
    <col min="1548" max="1548" width="8.83203125" customWidth="1"/>
    <col min="1549" max="1551" width="9.5" bestFit="1" customWidth="1"/>
    <col min="1552" max="1792" width="8.83203125" customWidth="1"/>
    <col min="1793" max="1793" width="24.6640625" customWidth="1"/>
    <col min="1794" max="1794" width="12.33203125" customWidth="1"/>
    <col min="1795" max="1799" width="9.5" bestFit="1" customWidth="1"/>
    <col min="1800" max="1800" width="8.5" customWidth="1"/>
    <col min="1801" max="1801" width="24.6640625" customWidth="1"/>
    <col min="1802" max="1802" width="8.83203125" customWidth="1"/>
    <col min="1803" max="1803" width="9.5" bestFit="1" customWidth="1"/>
    <col min="1804" max="1804" width="8.83203125" customWidth="1"/>
    <col min="1805" max="1807" width="9.5" bestFit="1" customWidth="1"/>
    <col min="1808" max="2048" width="8.83203125" customWidth="1"/>
    <col min="2049" max="2049" width="24.6640625" customWidth="1"/>
    <col min="2050" max="2050" width="12.33203125" customWidth="1"/>
    <col min="2051" max="2055" width="9.5" bestFit="1" customWidth="1"/>
    <col min="2056" max="2056" width="8.5" customWidth="1"/>
    <col min="2057" max="2057" width="24.6640625" customWidth="1"/>
    <col min="2058" max="2058" width="8.83203125" customWidth="1"/>
    <col min="2059" max="2059" width="9.5" bestFit="1" customWidth="1"/>
    <col min="2060" max="2060" width="8.83203125" customWidth="1"/>
    <col min="2061" max="2063" width="9.5" bestFit="1" customWidth="1"/>
    <col min="2064" max="2304" width="8.83203125" customWidth="1"/>
    <col min="2305" max="2305" width="24.6640625" customWidth="1"/>
    <col min="2306" max="2306" width="12.33203125" customWidth="1"/>
    <col min="2307" max="2311" width="9.5" bestFit="1" customWidth="1"/>
    <col min="2312" max="2312" width="8.5" customWidth="1"/>
    <col min="2313" max="2313" width="24.6640625" customWidth="1"/>
    <col min="2314" max="2314" width="8.83203125" customWidth="1"/>
    <col min="2315" max="2315" width="9.5" bestFit="1" customWidth="1"/>
    <col min="2316" max="2316" width="8.83203125" customWidth="1"/>
    <col min="2317" max="2319" width="9.5" bestFit="1" customWidth="1"/>
    <col min="2320" max="2560" width="8.83203125" customWidth="1"/>
    <col min="2561" max="2561" width="24.6640625" customWidth="1"/>
    <col min="2562" max="2562" width="12.33203125" customWidth="1"/>
    <col min="2563" max="2567" width="9.5" bestFit="1" customWidth="1"/>
    <col min="2568" max="2568" width="8.5" customWidth="1"/>
    <col min="2569" max="2569" width="24.6640625" customWidth="1"/>
    <col min="2570" max="2570" width="8.83203125" customWidth="1"/>
    <col min="2571" max="2571" width="9.5" bestFit="1" customWidth="1"/>
    <col min="2572" max="2572" width="8.83203125" customWidth="1"/>
    <col min="2573" max="2575" width="9.5" bestFit="1" customWidth="1"/>
    <col min="2576" max="2816" width="8.83203125" customWidth="1"/>
    <col min="2817" max="2817" width="24.6640625" customWidth="1"/>
    <col min="2818" max="2818" width="12.33203125" customWidth="1"/>
    <col min="2819" max="2823" width="9.5" bestFit="1" customWidth="1"/>
    <col min="2824" max="2824" width="8.5" customWidth="1"/>
    <col min="2825" max="2825" width="24.6640625" customWidth="1"/>
    <col min="2826" max="2826" width="8.83203125" customWidth="1"/>
    <col min="2827" max="2827" width="9.5" bestFit="1" customWidth="1"/>
    <col min="2828" max="2828" width="8.83203125" customWidth="1"/>
    <col min="2829" max="2831" width="9.5" bestFit="1" customWidth="1"/>
    <col min="2832" max="3072" width="8.83203125" customWidth="1"/>
    <col min="3073" max="3073" width="24.6640625" customWidth="1"/>
    <col min="3074" max="3074" width="12.33203125" customWidth="1"/>
    <col min="3075" max="3079" width="9.5" bestFit="1" customWidth="1"/>
    <col min="3080" max="3080" width="8.5" customWidth="1"/>
    <col min="3081" max="3081" width="24.6640625" customWidth="1"/>
    <col min="3082" max="3082" width="8.83203125" customWidth="1"/>
    <col min="3083" max="3083" width="9.5" bestFit="1" customWidth="1"/>
    <col min="3084" max="3084" width="8.83203125" customWidth="1"/>
    <col min="3085" max="3087" width="9.5" bestFit="1" customWidth="1"/>
    <col min="3088" max="3328" width="8.83203125" customWidth="1"/>
    <col min="3329" max="3329" width="24.6640625" customWidth="1"/>
    <col min="3330" max="3330" width="12.33203125" customWidth="1"/>
    <col min="3331" max="3335" width="9.5" bestFit="1" customWidth="1"/>
    <col min="3336" max="3336" width="8.5" customWidth="1"/>
    <col min="3337" max="3337" width="24.6640625" customWidth="1"/>
    <col min="3338" max="3338" width="8.83203125" customWidth="1"/>
    <col min="3339" max="3339" width="9.5" bestFit="1" customWidth="1"/>
    <col min="3340" max="3340" width="8.83203125" customWidth="1"/>
    <col min="3341" max="3343" width="9.5" bestFit="1" customWidth="1"/>
    <col min="3344" max="3584" width="8.83203125" customWidth="1"/>
    <col min="3585" max="3585" width="24.6640625" customWidth="1"/>
    <col min="3586" max="3586" width="12.33203125" customWidth="1"/>
    <col min="3587" max="3591" width="9.5" bestFit="1" customWidth="1"/>
    <col min="3592" max="3592" width="8.5" customWidth="1"/>
    <col min="3593" max="3593" width="24.6640625" customWidth="1"/>
    <col min="3594" max="3594" width="8.83203125" customWidth="1"/>
    <col min="3595" max="3595" width="9.5" bestFit="1" customWidth="1"/>
    <col min="3596" max="3596" width="8.83203125" customWidth="1"/>
    <col min="3597" max="3599" width="9.5" bestFit="1" customWidth="1"/>
    <col min="3600" max="3840" width="8.83203125" customWidth="1"/>
    <col min="3841" max="3841" width="24.6640625" customWidth="1"/>
    <col min="3842" max="3842" width="12.33203125" customWidth="1"/>
    <col min="3843" max="3847" width="9.5" bestFit="1" customWidth="1"/>
    <col min="3848" max="3848" width="8.5" customWidth="1"/>
    <col min="3849" max="3849" width="24.6640625" customWidth="1"/>
    <col min="3850" max="3850" width="8.83203125" customWidth="1"/>
    <col min="3851" max="3851" width="9.5" bestFit="1" customWidth="1"/>
    <col min="3852" max="3852" width="8.83203125" customWidth="1"/>
    <col min="3853" max="3855" width="9.5" bestFit="1" customWidth="1"/>
    <col min="3856" max="4096" width="8.83203125" customWidth="1"/>
    <col min="4097" max="4097" width="24.6640625" customWidth="1"/>
    <col min="4098" max="4098" width="12.33203125" customWidth="1"/>
    <col min="4099" max="4103" width="9.5" bestFit="1" customWidth="1"/>
    <col min="4104" max="4104" width="8.5" customWidth="1"/>
    <col min="4105" max="4105" width="24.6640625" customWidth="1"/>
    <col min="4106" max="4106" width="8.83203125" customWidth="1"/>
    <col min="4107" max="4107" width="9.5" bestFit="1" customWidth="1"/>
    <col min="4108" max="4108" width="8.83203125" customWidth="1"/>
    <col min="4109" max="4111" width="9.5" bestFit="1" customWidth="1"/>
    <col min="4112" max="4352" width="8.83203125" customWidth="1"/>
    <col min="4353" max="4353" width="24.6640625" customWidth="1"/>
    <col min="4354" max="4354" width="12.33203125" customWidth="1"/>
    <col min="4355" max="4359" width="9.5" bestFit="1" customWidth="1"/>
    <col min="4360" max="4360" width="8.5" customWidth="1"/>
    <col min="4361" max="4361" width="24.6640625" customWidth="1"/>
    <col min="4362" max="4362" width="8.83203125" customWidth="1"/>
    <col min="4363" max="4363" width="9.5" bestFit="1" customWidth="1"/>
    <col min="4364" max="4364" width="8.83203125" customWidth="1"/>
    <col min="4365" max="4367" width="9.5" bestFit="1" customWidth="1"/>
    <col min="4368" max="4608" width="8.83203125" customWidth="1"/>
    <col min="4609" max="4609" width="24.6640625" customWidth="1"/>
    <col min="4610" max="4610" width="12.33203125" customWidth="1"/>
    <col min="4611" max="4615" width="9.5" bestFit="1" customWidth="1"/>
    <col min="4616" max="4616" width="8.5" customWidth="1"/>
    <col min="4617" max="4617" width="24.6640625" customWidth="1"/>
    <col min="4618" max="4618" width="8.83203125" customWidth="1"/>
    <col min="4619" max="4619" width="9.5" bestFit="1" customWidth="1"/>
    <col min="4620" max="4620" width="8.83203125" customWidth="1"/>
    <col min="4621" max="4623" width="9.5" bestFit="1" customWidth="1"/>
    <col min="4624" max="4864" width="8.83203125" customWidth="1"/>
    <col min="4865" max="4865" width="24.6640625" customWidth="1"/>
    <col min="4866" max="4866" width="12.33203125" customWidth="1"/>
    <col min="4867" max="4871" width="9.5" bestFit="1" customWidth="1"/>
    <col min="4872" max="4872" width="8.5" customWidth="1"/>
    <col min="4873" max="4873" width="24.6640625" customWidth="1"/>
    <col min="4874" max="4874" width="8.83203125" customWidth="1"/>
    <col min="4875" max="4875" width="9.5" bestFit="1" customWidth="1"/>
    <col min="4876" max="4876" width="8.83203125" customWidth="1"/>
    <col min="4877" max="4879" width="9.5" bestFit="1" customWidth="1"/>
    <col min="4880" max="5120" width="8.83203125" customWidth="1"/>
    <col min="5121" max="5121" width="24.6640625" customWidth="1"/>
    <col min="5122" max="5122" width="12.33203125" customWidth="1"/>
    <col min="5123" max="5127" width="9.5" bestFit="1" customWidth="1"/>
    <col min="5128" max="5128" width="8.5" customWidth="1"/>
    <col min="5129" max="5129" width="24.6640625" customWidth="1"/>
    <col min="5130" max="5130" width="8.83203125" customWidth="1"/>
    <col min="5131" max="5131" width="9.5" bestFit="1" customWidth="1"/>
    <col min="5132" max="5132" width="8.83203125" customWidth="1"/>
    <col min="5133" max="5135" width="9.5" bestFit="1" customWidth="1"/>
    <col min="5136" max="5376" width="8.83203125" customWidth="1"/>
    <col min="5377" max="5377" width="24.6640625" customWidth="1"/>
    <col min="5378" max="5378" width="12.33203125" customWidth="1"/>
    <col min="5379" max="5383" width="9.5" bestFit="1" customWidth="1"/>
    <col min="5384" max="5384" width="8.5" customWidth="1"/>
    <col min="5385" max="5385" width="24.6640625" customWidth="1"/>
    <col min="5386" max="5386" width="8.83203125" customWidth="1"/>
    <col min="5387" max="5387" width="9.5" bestFit="1" customWidth="1"/>
    <col min="5388" max="5388" width="8.83203125" customWidth="1"/>
    <col min="5389" max="5391" width="9.5" bestFit="1" customWidth="1"/>
    <col min="5392" max="5632" width="8.83203125" customWidth="1"/>
    <col min="5633" max="5633" width="24.6640625" customWidth="1"/>
    <col min="5634" max="5634" width="12.33203125" customWidth="1"/>
    <col min="5635" max="5639" width="9.5" bestFit="1" customWidth="1"/>
    <col min="5640" max="5640" width="8.5" customWidth="1"/>
    <col min="5641" max="5641" width="24.6640625" customWidth="1"/>
    <col min="5642" max="5642" width="8.83203125" customWidth="1"/>
    <col min="5643" max="5643" width="9.5" bestFit="1" customWidth="1"/>
    <col min="5644" max="5644" width="8.83203125" customWidth="1"/>
    <col min="5645" max="5647" width="9.5" bestFit="1" customWidth="1"/>
    <col min="5648" max="5888" width="8.83203125" customWidth="1"/>
    <col min="5889" max="5889" width="24.6640625" customWidth="1"/>
    <col min="5890" max="5890" width="12.33203125" customWidth="1"/>
    <col min="5891" max="5895" width="9.5" bestFit="1" customWidth="1"/>
    <col min="5896" max="5896" width="8.5" customWidth="1"/>
    <col min="5897" max="5897" width="24.6640625" customWidth="1"/>
    <col min="5898" max="5898" width="8.83203125" customWidth="1"/>
    <col min="5899" max="5899" width="9.5" bestFit="1" customWidth="1"/>
    <col min="5900" max="5900" width="8.83203125" customWidth="1"/>
    <col min="5901" max="5903" width="9.5" bestFit="1" customWidth="1"/>
    <col min="5904" max="6144" width="8.83203125" customWidth="1"/>
    <col min="6145" max="6145" width="24.6640625" customWidth="1"/>
    <col min="6146" max="6146" width="12.33203125" customWidth="1"/>
    <col min="6147" max="6151" width="9.5" bestFit="1" customWidth="1"/>
    <col min="6152" max="6152" width="8.5" customWidth="1"/>
    <col min="6153" max="6153" width="24.6640625" customWidth="1"/>
    <col min="6154" max="6154" width="8.83203125" customWidth="1"/>
    <col min="6155" max="6155" width="9.5" bestFit="1" customWidth="1"/>
    <col min="6156" max="6156" width="8.83203125" customWidth="1"/>
    <col min="6157" max="6159" width="9.5" bestFit="1" customWidth="1"/>
    <col min="6160" max="6400" width="8.83203125" customWidth="1"/>
    <col min="6401" max="6401" width="24.6640625" customWidth="1"/>
    <col min="6402" max="6402" width="12.33203125" customWidth="1"/>
    <col min="6403" max="6407" width="9.5" bestFit="1" customWidth="1"/>
    <col min="6408" max="6408" width="8.5" customWidth="1"/>
    <col min="6409" max="6409" width="24.6640625" customWidth="1"/>
    <col min="6410" max="6410" width="8.83203125" customWidth="1"/>
    <col min="6411" max="6411" width="9.5" bestFit="1" customWidth="1"/>
    <col min="6412" max="6412" width="8.83203125" customWidth="1"/>
    <col min="6413" max="6415" width="9.5" bestFit="1" customWidth="1"/>
    <col min="6416" max="6656" width="8.83203125" customWidth="1"/>
    <col min="6657" max="6657" width="24.6640625" customWidth="1"/>
    <col min="6658" max="6658" width="12.33203125" customWidth="1"/>
    <col min="6659" max="6663" width="9.5" bestFit="1" customWidth="1"/>
    <col min="6664" max="6664" width="8.5" customWidth="1"/>
    <col min="6665" max="6665" width="24.6640625" customWidth="1"/>
    <col min="6666" max="6666" width="8.83203125" customWidth="1"/>
    <col min="6667" max="6667" width="9.5" bestFit="1" customWidth="1"/>
    <col min="6668" max="6668" width="8.83203125" customWidth="1"/>
    <col min="6669" max="6671" width="9.5" bestFit="1" customWidth="1"/>
    <col min="6672" max="6912" width="8.83203125" customWidth="1"/>
    <col min="6913" max="6913" width="24.6640625" customWidth="1"/>
    <col min="6914" max="6914" width="12.33203125" customWidth="1"/>
    <col min="6915" max="6919" width="9.5" bestFit="1" customWidth="1"/>
    <col min="6920" max="6920" width="8.5" customWidth="1"/>
    <col min="6921" max="6921" width="24.6640625" customWidth="1"/>
    <col min="6922" max="6922" width="8.83203125" customWidth="1"/>
    <col min="6923" max="6923" width="9.5" bestFit="1" customWidth="1"/>
    <col min="6924" max="6924" width="8.83203125" customWidth="1"/>
    <col min="6925" max="6927" width="9.5" bestFit="1" customWidth="1"/>
    <col min="6928" max="7168" width="8.83203125" customWidth="1"/>
    <col min="7169" max="7169" width="24.6640625" customWidth="1"/>
    <col min="7170" max="7170" width="12.33203125" customWidth="1"/>
    <col min="7171" max="7175" width="9.5" bestFit="1" customWidth="1"/>
    <col min="7176" max="7176" width="8.5" customWidth="1"/>
    <col min="7177" max="7177" width="24.6640625" customWidth="1"/>
    <col min="7178" max="7178" width="8.83203125" customWidth="1"/>
    <col min="7179" max="7179" width="9.5" bestFit="1" customWidth="1"/>
    <col min="7180" max="7180" width="8.83203125" customWidth="1"/>
    <col min="7181" max="7183" width="9.5" bestFit="1" customWidth="1"/>
    <col min="7184" max="7424" width="8.83203125" customWidth="1"/>
    <col min="7425" max="7425" width="24.6640625" customWidth="1"/>
    <col min="7426" max="7426" width="12.33203125" customWidth="1"/>
    <col min="7427" max="7431" width="9.5" bestFit="1" customWidth="1"/>
    <col min="7432" max="7432" width="8.5" customWidth="1"/>
    <col min="7433" max="7433" width="24.6640625" customWidth="1"/>
    <col min="7434" max="7434" width="8.83203125" customWidth="1"/>
    <col min="7435" max="7435" width="9.5" bestFit="1" customWidth="1"/>
    <col min="7436" max="7436" width="8.83203125" customWidth="1"/>
    <col min="7437" max="7439" width="9.5" bestFit="1" customWidth="1"/>
    <col min="7440" max="7680" width="8.83203125" customWidth="1"/>
    <col min="7681" max="7681" width="24.6640625" customWidth="1"/>
    <col min="7682" max="7682" width="12.33203125" customWidth="1"/>
    <col min="7683" max="7687" width="9.5" bestFit="1" customWidth="1"/>
    <col min="7688" max="7688" width="8.5" customWidth="1"/>
    <col min="7689" max="7689" width="24.6640625" customWidth="1"/>
    <col min="7690" max="7690" width="8.83203125" customWidth="1"/>
    <col min="7691" max="7691" width="9.5" bestFit="1" customWidth="1"/>
    <col min="7692" max="7692" width="8.83203125" customWidth="1"/>
    <col min="7693" max="7695" width="9.5" bestFit="1" customWidth="1"/>
    <col min="7696" max="7936" width="8.83203125" customWidth="1"/>
    <col min="7937" max="7937" width="24.6640625" customWidth="1"/>
    <col min="7938" max="7938" width="12.33203125" customWidth="1"/>
    <col min="7939" max="7943" width="9.5" bestFit="1" customWidth="1"/>
    <col min="7944" max="7944" width="8.5" customWidth="1"/>
    <col min="7945" max="7945" width="24.6640625" customWidth="1"/>
    <col min="7946" max="7946" width="8.83203125" customWidth="1"/>
    <col min="7947" max="7947" width="9.5" bestFit="1" customWidth="1"/>
    <col min="7948" max="7948" width="8.83203125" customWidth="1"/>
    <col min="7949" max="7951" width="9.5" bestFit="1" customWidth="1"/>
    <col min="7952" max="8192" width="8.83203125" customWidth="1"/>
    <col min="8193" max="8193" width="24.6640625" customWidth="1"/>
    <col min="8194" max="8194" width="12.33203125" customWidth="1"/>
    <col min="8195" max="8199" width="9.5" bestFit="1" customWidth="1"/>
    <col min="8200" max="8200" width="8.5" customWidth="1"/>
    <col min="8201" max="8201" width="24.6640625" customWidth="1"/>
    <col min="8202" max="8202" width="8.83203125" customWidth="1"/>
    <col min="8203" max="8203" width="9.5" bestFit="1" customWidth="1"/>
    <col min="8204" max="8204" width="8.83203125" customWidth="1"/>
    <col min="8205" max="8207" width="9.5" bestFit="1" customWidth="1"/>
    <col min="8208" max="8448" width="8.83203125" customWidth="1"/>
    <col min="8449" max="8449" width="24.6640625" customWidth="1"/>
    <col min="8450" max="8450" width="12.33203125" customWidth="1"/>
    <col min="8451" max="8455" width="9.5" bestFit="1" customWidth="1"/>
    <col min="8456" max="8456" width="8.5" customWidth="1"/>
    <col min="8457" max="8457" width="24.6640625" customWidth="1"/>
    <col min="8458" max="8458" width="8.83203125" customWidth="1"/>
    <col min="8459" max="8459" width="9.5" bestFit="1" customWidth="1"/>
    <col min="8460" max="8460" width="8.83203125" customWidth="1"/>
    <col min="8461" max="8463" width="9.5" bestFit="1" customWidth="1"/>
    <col min="8464" max="8704" width="8.83203125" customWidth="1"/>
    <col min="8705" max="8705" width="24.6640625" customWidth="1"/>
    <col min="8706" max="8706" width="12.33203125" customWidth="1"/>
    <col min="8707" max="8711" width="9.5" bestFit="1" customWidth="1"/>
    <col min="8712" max="8712" width="8.5" customWidth="1"/>
    <col min="8713" max="8713" width="24.6640625" customWidth="1"/>
    <col min="8714" max="8714" width="8.83203125" customWidth="1"/>
    <col min="8715" max="8715" width="9.5" bestFit="1" customWidth="1"/>
    <col min="8716" max="8716" width="8.83203125" customWidth="1"/>
    <col min="8717" max="8719" width="9.5" bestFit="1" customWidth="1"/>
    <col min="8720" max="8960" width="8.83203125" customWidth="1"/>
    <col min="8961" max="8961" width="24.6640625" customWidth="1"/>
    <col min="8962" max="8962" width="12.33203125" customWidth="1"/>
    <col min="8963" max="8967" width="9.5" bestFit="1" customWidth="1"/>
    <col min="8968" max="8968" width="8.5" customWidth="1"/>
    <col min="8969" max="8969" width="24.6640625" customWidth="1"/>
    <col min="8970" max="8970" width="8.83203125" customWidth="1"/>
    <col min="8971" max="8971" width="9.5" bestFit="1" customWidth="1"/>
    <col min="8972" max="8972" width="8.83203125" customWidth="1"/>
    <col min="8973" max="8975" width="9.5" bestFit="1" customWidth="1"/>
    <col min="8976" max="9216" width="8.83203125" customWidth="1"/>
    <col min="9217" max="9217" width="24.6640625" customWidth="1"/>
    <col min="9218" max="9218" width="12.33203125" customWidth="1"/>
    <col min="9219" max="9223" width="9.5" bestFit="1" customWidth="1"/>
    <col min="9224" max="9224" width="8.5" customWidth="1"/>
    <col min="9225" max="9225" width="24.6640625" customWidth="1"/>
    <col min="9226" max="9226" width="8.83203125" customWidth="1"/>
    <col min="9227" max="9227" width="9.5" bestFit="1" customWidth="1"/>
    <col min="9228" max="9228" width="8.83203125" customWidth="1"/>
    <col min="9229" max="9231" width="9.5" bestFit="1" customWidth="1"/>
    <col min="9232" max="9472" width="8.83203125" customWidth="1"/>
    <col min="9473" max="9473" width="24.6640625" customWidth="1"/>
    <col min="9474" max="9474" width="12.33203125" customWidth="1"/>
    <col min="9475" max="9479" width="9.5" bestFit="1" customWidth="1"/>
    <col min="9480" max="9480" width="8.5" customWidth="1"/>
    <col min="9481" max="9481" width="24.6640625" customWidth="1"/>
    <col min="9482" max="9482" width="8.83203125" customWidth="1"/>
    <col min="9483" max="9483" width="9.5" bestFit="1" customWidth="1"/>
    <col min="9484" max="9484" width="8.83203125" customWidth="1"/>
    <col min="9485" max="9487" width="9.5" bestFit="1" customWidth="1"/>
    <col min="9488" max="9728" width="8.83203125" customWidth="1"/>
    <col min="9729" max="9729" width="24.6640625" customWidth="1"/>
    <col min="9730" max="9730" width="12.33203125" customWidth="1"/>
    <col min="9731" max="9735" width="9.5" bestFit="1" customWidth="1"/>
    <col min="9736" max="9736" width="8.5" customWidth="1"/>
    <col min="9737" max="9737" width="24.6640625" customWidth="1"/>
    <col min="9738" max="9738" width="8.83203125" customWidth="1"/>
    <col min="9739" max="9739" width="9.5" bestFit="1" customWidth="1"/>
    <col min="9740" max="9740" width="8.83203125" customWidth="1"/>
    <col min="9741" max="9743" width="9.5" bestFit="1" customWidth="1"/>
    <col min="9744" max="9984" width="8.83203125" customWidth="1"/>
    <col min="9985" max="9985" width="24.6640625" customWidth="1"/>
    <col min="9986" max="9986" width="12.33203125" customWidth="1"/>
    <col min="9987" max="9991" width="9.5" bestFit="1" customWidth="1"/>
    <col min="9992" max="9992" width="8.5" customWidth="1"/>
    <col min="9993" max="9993" width="24.6640625" customWidth="1"/>
    <col min="9994" max="9994" width="8.83203125" customWidth="1"/>
    <col min="9995" max="9995" width="9.5" bestFit="1" customWidth="1"/>
    <col min="9996" max="9996" width="8.83203125" customWidth="1"/>
    <col min="9997" max="9999" width="9.5" bestFit="1" customWidth="1"/>
    <col min="10000" max="10240" width="8.83203125" customWidth="1"/>
    <col min="10241" max="10241" width="24.6640625" customWidth="1"/>
    <col min="10242" max="10242" width="12.33203125" customWidth="1"/>
    <col min="10243" max="10247" width="9.5" bestFit="1" customWidth="1"/>
    <col min="10248" max="10248" width="8.5" customWidth="1"/>
    <col min="10249" max="10249" width="24.6640625" customWidth="1"/>
    <col min="10250" max="10250" width="8.83203125" customWidth="1"/>
    <col min="10251" max="10251" width="9.5" bestFit="1" customWidth="1"/>
    <col min="10252" max="10252" width="8.83203125" customWidth="1"/>
    <col min="10253" max="10255" width="9.5" bestFit="1" customWidth="1"/>
    <col min="10256" max="10496" width="8.83203125" customWidth="1"/>
    <col min="10497" max="10497" width="24.6640625" customWidth="1"/>
    <col min="10498" max="10498" width="12.33203125" customWidth="1"/>
    <col min="10499" max="10503" width="9.5" bestFit="1" customWidth="1"/>
    <col min="10504" max="10504" width="8.5" customWidth="1"/>
    <col min="10505" max="10505" width="24.6640625" customWidth="1"/>
    <col min="10506" max="10506" width="8.83203125" customWidth="1"/>
    <col min="10507" max="10507" width="9.5" bestFit="1" customWidth="1"/>
    <col min="10508" max="10508" width="8.83203125" customWidth="1"/>
    <col min="10509" max="10511" width="9.5" bestFit="1" customWidth="1"/>
    <col min="10512" max="10752" width="8.83203125" customWidth="1"/>
    <col min="10753" max="10753" width="24.6640625" customWidth="1"/>
    <col min="10754" max="10754" width="12.33203125" customWidth="1"/>
    <col min="10755" max="10759" width="9.5" bestFit="1" customWidth="1"/>
    <col min="10760" max="10760" width="8.5" customWidth="1"/>
    <col min="10761" max="10761" width="24.6640625" customWidth="1"/>
    <col min="10762" max="10762" width="8.83203125" customWidth="1"/>
    <col min="10763" max="10763" width="9.5" bestFit="1" customWidth="1"/>
    <col min="10764" max="10764" width="8.83203125" customWidth="1"/>
    <col min="10765" max="10767" width="9.5" bestFit="1" customWidth="1"/>
    <col min="10768" max="11008" width="8.83203125" customWidth="1"/>
    <col min="11009" max="11009" width="24.6640625" customWidth="1"/>
    <col min="11010" max="11010" width="12.33203125" customWidth="1"/>
    <col min="11011" max="11015" width="9.5" bestFit="1" customWidth="1"/>
    <col min="11016" max="11016" width="8.5" customWidth="1"/>
    <col min="11017" max="11017" width="24.6640625" customWidth="1"/>
    <col min="11018" max="11018" width="8.83203125" customWidth="1"/>
    <col min="11019" max="11019" width="9.5" bestFit="1" customWidth="1"/>
    <col min="11020" max="11020" width="8.83203125" customWidth="1"/>
    <col min="11021" max="11023" width="9.5" bestFit="1" customWidth="1"/>
    <col min="11024" max="11264" width="8.83203125" customWidth="1"/>
    <col min="11265" max="11265" width="24.6640625" customWidth="1"/>
    <col min="11266" max="11266" width="12.33203125" customWidth="1"/>
    <col min="11267" max="11271" width="9.5" bestFit="1" customWidth="1"/>
    <col min="11272" max="11272" width="8.5" customWidth="1"/>
    <col min="11273" max="11273" width="24.6640625" customWidth="1"/>
    <col min="11274" max="11274" width="8.83203125" customWidth="1"/>
    <col min="11275" max="11275" width="9.5" bestFit="1" customWidth="1"/>
    <col min="11276" max="11276" width="8.83203125" customWidth="1"/>
    <col min="11277" max="11279" width="9.5" bestFit="1" customWidth="1"/>
    <col min="11280" max="11520" width="8.83203125" customWidth="1"/>
    <col min="11521" max="11521" width="24.6640625" customWidth="1"/>
    <col min="11522" max="11522" width="12.33203125" customWidth="1"/>
    <col min="11523" max="11527" width="9.5" bestFit="1" customWidth="1"/>
    <col min="11528" max="11528" width="8.5" customWidth="1"/>
    <col min="11529" max="11529" width="24.6640625" customWidth="1"/>
    <col min="11530" max="11530" width="8.83203125" customWidth="1"/>
    <col min="11531" max="11531" width="9.5" bestFit="1" customWidth="1"/>
    <col min="11532" max="11532" width="8.83203125" customWidth="1"/>
    <col min="11533" max="11535" width="9.5" bestFit="1" customWidth="1"/>
    <col min="11536" max="11776" width="8.83203125" customWidth="1"/>
    <col min="11777" max="11777" width="24.6640625" customWidth="1"/>
    <col min="11778" max="11778" width="12.33203125" customWidth="1"/>
    <col min="11779" max="11783" width="9.5" bestFit="1" customWidth="1"/>
    <col min="11784" max="11784" width="8.5" customWidth="1"/>
    <col min="11785" max="11785" width="24.6640625" customWidth="1"/>
    <col min="11786" max="11786" width="8.83203125" customWidth="1"/>
    <col min="11787" max="11787" width="9.5" bestFit="1" customWidth="1"/>
    <col min="11788" max="11788" width="8.83203125" customWidth="1"/>
    <col min="11789" max="11791" width="9.5" bestFit="1" customWidth="1"/>
    <col min="11792" max="12032" width="8.83203125" customWidth="1"/>
    <col min="12033" max="12033" width="24.6640625" customWidth="1"/>
    <col min="12034" max="12034" width="12.33203125" customWidth="1"/>
    <col min="12035" max="12039" width="9.5" bestFit="1" customWidth="1"/>
    <col min="12040" max="12040" width="8.5" customWidth="1"/>
    <col min="12041" max="12041" width="24.6640625" customWidth="1"/>
    <col min="12042" max="12042" width="8.83203125" customWidth="1"/>
    <col min="12043" max="12043" width="9.5" bestFit="1" customWidth="1"/>
    <col min="12044" max="12044" width="8.83203125" customWidth="1"/>
    <col min="12045" max="12047" width="9.5" bestFit="1" customWidth="1"/>
    <col min="12048" max="12288" width="8.83203125" customWidth="1"/>
    <col min="12289" max="12289" width="24.6640625" customWidth="1"/>
    <col min="12290" max="12290" width="12.33203125" customWidth="1"/>
    <col min="12291" max="12295" width="9.5" bestFit="1" customWidth="1"/>
    <col min="12296" max="12296" width="8.5" customWidth="1"/>
    <col min="12297" max="12297" width="24.6640625" customWidth="1"/>
    <col min="12298" max="12298" width="8.83203125" customWidth="1"/>
    <col min="12299" max="12299" width="9.5" bestFit="1" customWidth="1"/>
    <col min="12300" max="12300" width="8.83203125" customWidth="1"/>
    <col min="12301" max="12303" width="9.5" bestFit="1" customWidth="1"/>
    <col min="12304" max="12544" width="8.83203125" customWidth="1"/>
    <col min="12545" max="12545" width="24.6640625" customWidth="1"/>
    <col min="12546" max="12546" width="12.33203125" customWidth="1"/>
    <col min="12547" max="12551" width="9.5" bestFit="1" customWidth="1"/>
    <col min="12552" max="12552" width="8.5" customWidth="1"/>
    <col min="12553" max="12553" width="24.6640625" customWidth="1"/>
    <col min="12554" max="12554" width="8.83203125" customWidth="1"/>
    <col min="12555" max="12555" width="9.5" bestFit="1" customWidth="1"/>
    <col min="12556" max="12556" width="8.83203125" customWidth="1"/>
    <col min="12557" max="12559" width="9.5" bestFit="1" customWidth="1"/>
    <col min="12560" max="12800" width="8.83203125" customWidth="1"/>
    <col min="12801" max="12801" width="24.6640625" customWidth="1"/>
    <col min="12802" max="12802" width="12.33203125" customWidth="1"/>
    <col min="12803" max="12807" width="9.5" bestFit="1" customWidth="1"/>
    <col min="12808" max="12808" width="8.5" customWidth="1"/>
    <col min="12809" max="12809" width="24.6640625" customWidth="1"/>
    <col min="12810" max="12810" width="8.83203125" customWidth="1"/>
    <col min="12811" max="12811" width="9.5" bestFit="1" customWidth="1"/>
    <col min="12812" max="12812" width="8.83203125" customWidth="1"/>
    <col min="12813" max="12815" width="9.5" bestFit="1" customWidth="1"/>
    <col min="12816" max="13056" width="8.83203125" customWidth="1"/>
    <col min="13057" max="13057" width="24.6640625" customWidth="1"/>
    <col min="13058" max="13058" width="12.33203125" customWidth="1"/>
    <col min="13059" max="13063" width="9.5" bestFit="1" customWidth="1"/>
    <col min="13064" max="13064" width="8.5" customWidth="1"/>
    <col min="13065" max="13065" width="24.6640625" customWidth="1"/>
    <col min="13066" max="13066" width="8.83203125" customWidth="1"/>
    <col min="13067" max="13067" width="9.5" bestFit="1" customWidth="1"/>
    <col min="13068" max="13068" width="8.83203125" customWidth="1"/>
    <col min="13069" max="13071" width="9.5" bestFit="1" customWidth="1"/>
    <col min="13072" max="13312" width="8.83203125" customWidth="1"/>
    <col min="13313" max="13313" width="24.6640625" customWidth="1"/>
    <col min="13314" max="13314" width="12.33203125" customWidth="1"/>
    <col min="13315" max="13319" width="9.5" bestFit="1" customWidth="1"/>
    <col min="13320" max="13320" width="8.5" customWidth="1"/>
    <col min="13321" max="13321" width="24.6640625" customWidth="1"/>
    <col min="13322" max="13322" width="8.83203125" customWidth="1"/>
    <col min="13323" max="13323" width="9.5" bestFit="1" customWidth="1"/>
    <col min="13324" max="13324" width="8.83203125" customWidth="1"/>
    <col min="13325" max="13327" width="9.5" bestFit="1" customWidth="1"/>
    <col min="13328" max="13568" width="8.83203125" customWidth="1"/>
    <col min="13569" max="13569" width="24.6640625" customWidth="1"/>
    <col min="13570" max="13570" width="12.33203125" customWidth="1"/>
    <col min="13571" max="13575" width="9.5" bestFit="1" customWidth="1"/>
    <col min="13576" max="13576" width="8.5" customWidth="1"/>
    <col min="13577" max="13577" width="24.6640625" customWidth="1"/>
    <col min="13578" max="13578" width="8.83203125" customWidth="1"/>
    <col min="13579" max="13579" width="9.5" bestFit="1" customWidth="1"/>
    <col min="13580" max="13580" width="8.83203125" customWidth="1"/>
    <col min="13581" max="13583" width="9.5" bestFit="1" customWidth="1"/>
    <col min="13584" max="13824" width="8.83203125" customWidth="1"/>
    <col min="13825" max="13825" width="24.6640625" customWidth="1"/>
    <col min="13826" max="13826" width="12.33203125" customWidth="1"/>
    <col min="13827" max="13831" width="9.5" bestFit="1" customWidth="1"/>
    <col min="13832" max="13832" width="8.5" customWidth="1"/>
    <col min="13833" max="13833" width="24.6640625" customWidth="1"/>
    <col min="13834" max="13834" width="8.83203125" customWidth="1"/>
    <col min="13835" max="13835" width="9.5" bestFit="1" customWidth="1"/>
    <col min="13836" max="13836" width="8.83203125" customWidth="1"/>
    <col min="13837" max="13839" width="9.5" bestFit="1" customWidth="1"/>
    <col min="13840" max="14080" width="8.83203125" customWidth="1"/>
    <col min="14081" max="14081" width="24.6640625" customWidth="1"/>
    <col min="14082" max="14082" width="12.33203125" customWidth="1"/>
    <col min="14083" max="14087" width="9.5" bestFit="1" customWidth="1"/>
    <col min="14088" max="14088" width="8.5" customWidth="1"/>
    <col min="14089" max="14089" width="24.6640625" customWidth="1"/>
    <col min="14090" max="14090" width="8.83203125" customWidth="1"/>
    <col min="14091" max="14091" width="9.5" bestFit="1" customWidth="1"/>
    <col min="14092" max="14092" width="8.83203125" customWidth="1"/>
    <col min="14093" max="14095" width="9.5" bestFit="1" customWidth="1"/>
    <col min="14096" max="14336" width="8.83203125" customWidth="1"/>
    <col min="14337" max="14337" width="24.6640625" customWidth="1"/>
    <col min="14338" max="14338" width="12.33203125" customWidth="1"/>
    <col min="14339" max="14343" width="9.5" bestFit="1" customWidth="1"/>
    <col min="14344" max="14344" width="8.5" customWidth="1"/>
    <col min="14345" max="14345" width="24.6640625" customWidth="1"/>
    <col min="14346" max="14346" width="8.83203125" customWidth="1"/>
    <col min="14347" max="14347" width="9.5" bestFit="1" customWidth="1"/>
    <col min="14348" max="14348" width="8.83203125" customWidth="1"/>
    <col min="14349" max="14351" width="9.5" bestFit="1" customWidth="1"/>
    <col min="14352" max="14592" width="8.83203125" customWidth="1"/>
    <col min="14593" max="14593" width="24.6640625" customWidth="1"/>
    <col min="14594" max="14594" width="12.33203125" customWidth="1"/>
    <col min="14595" max="14599" width="9.5" bestFit="1" customWidth="1"/>
    <col min="14600" max="14600" width="8.5" customWidth="1"/>
    <col min="14601" max="14601" width="24.6640625" customWidth="1"/>
    <col min="14602" max="14602" width="8.83203125" customWidth="1"/>
    <col min="14603" max="14603" width="9.5" bestFit="1" customWidth="1"/>
    <col min="14604" max="14604" width="8.83203125" customWidth="1"/>
    <col min="14605" max="14607" width="9.5" bestFit="1" customWidth="1"/>
    <col min="14608" max="14848" width="8.83203125" customWidth="1"/>
    <col min="14849" max="14849" width="24.6640625" customWidth="1"/>
    <col min="14850" max="14850" width="12.33203125" customWidth="1"/>
    <col min="14851" max="14855" width="9.5" bestFit="1" customWidth="1"/>
    <col min="14856" max="14856" width="8.5" customWidth="1"/>
    <col min="14857" max="14857" width="24.6640625" customWidth="1"/>
    <col min="14858" max="14858" width="8.83203125" customWidth="1"/>
    <col min="14859" max="14859" width="9.5" bestFit="1" customWidth="1"/>
    <col min="14860" max="14860" width="8.83203125" customWidth="1"/>
    <col min="14861" max="14863" width="9.5" bestFit="1" customWidth="1"/>
    <col min="14864" max="15104" width="8.83203125" customWidth="1"/>
    <col min="15105" max="15105" width="24.6640625" customWidth="1"/>
    <col min="15106" max="15106" width="12.33203125" customWidth="1"/>
    <col min="15107" max="15111" width="9.5" bestFit="1" customWidth="1"/>
    <col min="15112" max="15112" width="8.5" customWidth="1"/>
    <col min="15113" max="15113" width="24.6640625" customWidth="1"/>
    <col min="15114" max="15114" width="8.83203125" customWidth="1"/>
    <col min="15115" max="15115" width="9.5" bestFit="1" customWidth="1"/>
    <col min="15116" max="15116" width="8.83203125" customWidth="1"/>
    <col min="15117" max="15119" width="9.5" bestFit="1" customWidth="1"/>
    <col min="15120" max="15360" width="8.83203125" customWidth="1"/>
    <col min="15361" max="15361" width="24.6640625" customWidth="1"/>
    <col min="15362" max="15362" width="12.33203125" customWidth="1"/>
    <col min="15363" max="15367" width="9.5" bestFit="1" customWidth="1"/>
    <col min="15368" max="15368" width="8.5" customWidth="1"/>
    <col min="15369" max="15369" width="24.6640625" customWidth="1"/>
    <col min="15370" max="15370" width="8.83203125" customWidth="1"/>
    <col min="15371" max="15371" width="9.5" bestFit="1" customWidth="1"/>
    <col min="15372" max="15372" width="8.83203125" customWidth="1"/>
    <col min="15373" max="15375" width="9.5" bestFit="1" customWidth="1"/>
    <col min="15376" max="15616" width="8.83203125" customWidth="1"/>
    <col min="15617" max="15617" width="24.6640625" customWidth="1"/>
    <col min="15618" max="15618" width="12.33203125" customWidth="1"/>
    <col min="15619" max="15623" width="9.5" bestFit="1" customWidth="1"/>
    <col min="15624" max="15624" width="8.5" customWidth="1"/>
    <col min="15625" max="15625" width="24.6640625" customWidth="1"/>
    <col min="15626" max="15626" width="8.83203125" customWidth="1"/>
    <col min="15627" max="15627" width="9.5" bestFit="1" customWidth="1"/>
    <col min="15628" max="15628" width="8.83203125" customWidth="1"/>
    <col min="15629" max="15631" width="9.5" bestFit="1" customWidth="1"/>
    <col min="15632" max="15872" width="8.83203125" customWidth="1"/>
    <col min="15873" max="15873" width="24.6640625" customWidth="1"/>
    <col min="15874" max="15874" width="12.33203125" customWidth="1"/>
    <col min="15875" max="15879" width="9.5" bestFit="1" customWidth="1"/>
    <col min="15880" max="15880" width="8.5" customWidth="1"/>
    <col min="15881" max="15881" width="24.6640625" customWidth="1"/>
    <col min="15882" max="15882" width="8.83203125" customWidth="1"/>
    <col min="15883" max="15883" width="9.5" bestFit="1" customWidth="1"/>
    <col min="15884" max="15884" width="8.83203125" customWidth="1"/>
    <col min="15885" max="15887" width="9.5" bestFit="1" customWidth="1"/>
    <col min="15888" max="16128" width="8.83203125" customWidth="1"/>
    <col min="16129" max="16129" width="24.6640625" customWidth="1"/>
    <col min="16130" max="16130" width="12.33203125" customWidth="1"/>
    <col min="16131" max="16135" width="9.5" bestFit="1" customWidth="1"/>
    <col min="16136" max="16136" width="8.5" customWidth="1"/>
    <col min="16137" max="16137" width="24.6640625" customWidth="1"/>
    <col min="16138" max="16138" width="8.83203125" customWidth="1"/>
    <col min="16139" max="16139" width="9.5" bestFit="1" customWidth="1"/>
    <col min="16140" max="16140" width="8.83203125" customWidth="1"/>
    <col min="16141" max="16143" width="9.5" bestFit="1" customWidth="1"/>
    <col min="16144" max="16384" width="8.83203125" customWidth="1"/>
  </cols>
  <sheetData>
    <row r="1" spans="1:22" ht="19" x14ac:dyDescent="0.25">
      <c r="A1" s="107" t="s">
        <v>51</v>
      </c>
      <c r="B1" s="107"/>
      <c r="C1" s="107"/>
      <c r="D1" s="107"/>
      <c r="E1" s="107"/>
      <c r="F1" s="107"/>
    </row>
    <row r="2" spans="1:22" x14ac:dyDescent="0.2">
      <c r="A2" s="108" t="s">
        <v>52</v>
      </c>
      <c r="B2" s="108"/>
      <c r="C2" s="108"/>
      <c r="D2" s="108"/>
      <c r="E2" s="108"/>
      <c r="F2" s="108"/>
      <c r="G2" s="108"/>
    </row>
    <row r="3" spans="1:22" x14ac:dyDescent="0.2">
      <c r="A3" s="110" t="s">
        <v>46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"/>
    </row>
    <row r="4" spans="1:22" x14ac:dyDescent="0.2">
      <c r="A4" s="110" t="s">
        <v>16</v>
      </c>
      <c r="B4" s="110"/>
      <c r="C4" s="110"/>
      <c r="D4" s="1"/>
      <c r="E4" s="1"/>
      <c r="F4" s="1"/>
      <c r="G4" s="1"/>
      <c r="H4" s="1"/>
      <c r="I4" s="1"/>
      <c r="J4" s="1"/>
      <c r="K4" s="1"/>
      <c r="L4" s="1"/>
    </row>
    <row r="5" spans="1:22" x14ac:dyDescent="0.2">
      <c r="A5" s="110" t="s">
        <v>47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</row>
    <row r="6" spans="1:22" ht="15" customHeight="1" x14ac:dyDescent="0.2">
      <c r="A6" s="109" t="s">
        <v>53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50"/>
      <c r="N6" s="50"/>
      <c r="O6" s="1"/>
    </row>
    <row r="7" spans="1:22" x14ac:dyDescent="0.2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50"/>
      <c r="N7" s="50"/>
      <c r="O7" s="1"/>
    </row>
    <row r="8" spans="1:22" x14ac:dyDescent="0.2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50"/>
      <c r="N8" s="50"/>
      <c r="O8" s="1"/>
    </row>
    <row r="9" spans="1:22" ht="19" x14ac:dyDescent="0.2">
      <c r="A9" s="44"/>
      <c r="B9" s="45"/>
      <c r="C9" s="111" t="s">
        <v>49</v>
      </c>
      <c r="D9" s="111"/>
      <c r="E9" s="45"/>
      <c r="F9" s="45"/>
      <c r="G9" s="46"/>
      <c r="H9" s="1"/>
      <c r="I9" s="1"/>
      <c r="J9" s="1"/>
      <c r="K9" s="1"/>
      <c r="L9" s="1"/>
    </row>
    <row r="10" spans="1:22" ht="16" x14ac:dyDescent="0.2">
      <c r="A10" s="122" t="s">
        <v>11</v>
      </c>
      <c r="B10" s="123"/>
      <c r="C10" s="123"/>
      <c r="D10" s="123"/>
      <c r="E10" s="123"/>
      <c r="F10" s="123"/>
      <c r="G10" s="124"/>
      <c r="H10" s="1"/>
      <c r="I10" s="1"/>
      <c r="J10" s="1"/>
      <c r="K10" s="1"/>
      <c r="L10" s="1"/>
    </row>
    <row r="11" spans="1:22" ht="32" x14ac:dyDescent="0.2">
      <c r="A11" s="2" t="s">
        <v>0</v>
      </c>
      <c r="B11" s="75" t="s">
        <v>1</v>
      </c>
      <c r="C11" s="75" t="s">
        <v>2</v>
      </c>
      <c r="D11" s="75" t="s">
        <v>3</v>
      </c>
      <c r="E11" s="75" t="s">
        <v>4</v>
      </c>
      <c r="F11" s="76" t="s">
        <v>5</v>
      </c>
      <c r="G11" s="4" t="s">
        <v>6</v>
      </c>
      <c r="H11" s="1"/>
      <c r="I11" s="1"/>
      <c r="J11" s="1"/>
      <c r="K11" s="1"/>
      <c r="L11" s="1"/>
    </row>
    <row r="12" spans="1:22" x14ac:dyDescent="0.2">
      <c r="A12" s="12" t="s">
        <v>12</v>
      </c>
      <c r="B12" s="77">
        <v>39</v>
      </c>
      <c r="C12" s="78">
        <f>B12*400</f>
        <v>15600</v>
      </c>
      <c r="D12" s="77">
        <v>2.5</v>
      </c>
      <c r="E12" s="78">
        <f>C12*D12</f>
        <v>39000</v>
      </c>
      <c r="F12" s="79">
        <f>AVERAGE(E12:E14)</f>
        <v>40333.333333333336</v>
      </c>
      <c r="G12" s="16">
        <f>_xlfn.STDEV.S(E12:E14)</f>
        <v>3214.5502536643185</v>
      </c>
      <c r="H12" s="1"/>
      <c r="I12" s="1"/>
      <c r="J12" s="1"/>
      <c r="K12" s="1"/>
      <c r="L12" s="1"/>
    </row>
    <row r="13" spans="1:22" x14ac:dyDescent="0.2">
      <c r="A13" s="12" t="s">
        <v>13</v>
      </c>
      <c r="B13" s="77">
        <v>44</v>
      </c>
      <c r="C13" s="78">
        <f>B13*400</f>
        <v>17600</v>
      </c>
      <c r="D13" s="77">
        <v>2.5</v>
      </c>
      <c r="E13" s="78">
        <f>C13*D13</f>
        <v>44000</v>
      </c>
      <c r="F13" s="78"/>
      <c r="G13" s="17"/>
      <c r="H13" s="1"/>
      <c r="I13" s="1"/>
      <c r="J13" s="1"/>
      <c r="K13" s="1"/>
      <c r="L13" s="1"/>
    </row>
    <row r="14" spans="1:22" x14ac:dyDescent="0.2">
      <c r="A14" s="18" t="s">
        <v>14</v>
      </c>
      <c r="B14" s="19">
        <v>38</v>
      </c>
      <c r="C14" s="20">
        <f>B14*400</f>
        <v>15200</v>
      </c>
      <c r="D14" s="19">
        <v>2.5</v>
      </c>
      <c r="E14" s="20">
        <f>C14*D14</f>
        <v>38000</v>
      </c>
      <c r="F14" s="20"/>
      <c r="G14" s="21"/>
      <c r="H14" s="1"/>
      <c r="I14" s="1"/>
      <c r="J14" s="1"/>
      <c r="K14" s="1"/>
      <c r="L14" s="1"/>
    </row>
    <row r="15" spans="1:22" ht="19" x14ac:dyDescent="0.25">
      <c r="A15" s="80"/>
      <c r="B15" s="80"/>
      <c r="C15" s="80"/>
      <c r="D15" s="80"/>
      <c r="E15" s="80"/>
      <c r="F15" s="80"/>
      <c r="G15" s="80"/>
    </row>
    <row r="16" spans="1:22" x14ac:dyDescent="0.2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</row>
    <row r="17" spans="1:15" ht="19" x14ac:dyDescent="0.25">
      <c r="A17" s="81"/>
      <c r="B17" s="82"/>
      <c r="C17" s="82"/>
      <c r="D17" s="82"/>
      <c r="E17" s="82"/>
      <c r="F17" s="82"/>
      <c r="G17" s="121" t="s">
        <v>50</v>
      </c>
      <c r="H17" s="121"/>
      <c r="I17" s="121"/>
      <c r="J17" s="82"/>
      <c r="K17" s="82"/>
      <c r="L17" s="82"/>
      <c r="M17" s="82"/>
      <c r="N17" s="82"/>
      <c r="O17" s="83"/>
    </row>
    <row r="18" spans="1:15" ht="16" x14ac:dyDescent="0.2">
      <c r="A18" s="112" t="s">
        <v>18</v>
      </c>
      <c r="B18" s="113"/>
      <c r="C18" s="113"/>
      <c r="D18" s="113"/>
      <c r="E18" s="113"/>
      <c r="F18" s="113"/>
      <c r="G18" s="114"/>
      <c r="H18" s="77"/>
      <c r="I18" s="115" t="s">
        <v>22</v>
      </c>
      <c r="J18" s="125"/>
      <c r="K18" s="125"/>
      <c r="L18" s="125"/>
      <c r="M18" s="125"/>
      <c r="N18" s="125"/>
      <c r="O18" s="117"/>
    </row>
    <row r="19" spans="1:15" ht="32" x14ac:dyDescent="0.2">
      <c r="A19" s="2" t="s">
        <v>0</v>
      </c>
      <c r="B19" s="75" t="s">
        <v>1</v>
      </c>
      <c r="C19" s="75" t="s">
        <v>2</v>
      </c>
      <c r="D19" s="75" t="s">
        <v>3</v>
      </c>
      <c r="E19" s="75" t="s">
        <v>4</v>
      </c>
      <c r="F19" s="76" t="s">
        <v>5</v>
      </c>
      <c r="G19" s="4" t="s">
        <v>6</v>
      </c>
      <c r="H19" s="77"/>
      <c r="I19" s="8" t="s">
        <v>0</v>
      </c>
      <c r="J19" s="9" t="s">
        <v>1</v>
      </c>
      <c r="K19" s="9" t="s">
        <v>2</v>
      </c>
      <c r="L19" s="9" t="s">
        <v>3</v>
      </c>
      <c r="M19" s="9" t="s">
        <v>4</v>
      </c>
      <c r="N19" s="10" t="s">
        <v>5</v>
      </c>
      <c r="O19" s="11" t="s">
        <v>6</v>
      </c>
    </row>
    <row r="20" spans="1:15" x14ac:dyDescent="0.2">
      <c r="A20" s="57" t="s">
        <v>19</v>
      </c>
      <c r="B20" s="77">
        <v>1320</v>
      </c>
      <c r="C20" s="78">
        <f>B20*400</f>
        <v>528000</v>
      </c>
      <c r="D20" s="77">
        <v>2.5</v>
      </c>
      <c r="E20" s="78">
        <f>C20*D20</f>
        <v>1320000</v>
      </c>
      <c r="F20" s="84">
        <f>AVERAGE(E20:E22)</f>
        <v>1381666.6666666667</v>
      </c>
      <c r="G20" s="16">
        <f>_xlfn.STDEV.S(E20:E22)</f>
        <v>68879.121171319639</v>
      </c>
      <c r="H20" s="77"/>
      <c r="I20" s="60" t="s">
        <v>23</v>
      </c>
      <c r="J20" s="77">
        <v>288</v>
      </c>
      <c r="K20" s="78">
        <f>J20*400</f>
        <v>115200</v>
      </c>
      <c r="L20" s="77">
        <v>2.5</v>
      </c>
      <c r="M20" s="78">
        <f>K20*L20</f>
        <v>288000</v>
      </c>
      <c r="N20" s="85">
        <f>AVERAGE(M20:M22)</f>
        <v>281000</v>
      </c>
      <c r="O20" s="16">
        <f>_xlfn.STDEV.S(K20:K22)</f>
        <v>3274.1411087489801</v>
      </c>
    </row>
    <row r="21" spans="1:15" x14ac:dyDescent="0.2">
      <c r="A21" s="57" t="s">
        <v>20</v>
      </c>
      <c r="B21" s="77">
        <v>1369</v>
      </c>
      <c r="C21" s="78">
        <f>B21*400</f>
        <v>547600</v>
      </c>
      <c r="D21" s="77">
        <v>2.5</v>
      </c>
      <c r="E21" s="78">
        <f>C21*D21</f>
        <v>1369000</v>
      </c>
      <c r="F21" s="78"/>
      <c r="G21" s="17"/>
      <c r="H21" s="77"/>
      <c r="I21" s="60" t="s">
        <v>24</v>
      </c>
      <c r="J21" s="77">
        <v>283</v>
      </c>
      <c r="K21" s="78">
        <f>J21*400</f>
        <v>113200</v>
      </c>
      <c r="L21" s="77">
        <v>2.5</v>
      </c>
      <c r="M21" s="78">
        <f>K21*L21</f>
        <v>283000</v>
      </c>
      <c r="N21" s="78"/>
      <c r="O21" s="17"/>
    </row>
    <row r="22" spans="1:15" x14ac:dyDescent="0.2">
      <c r="A22" s="58" t="s">
        <v>21</v>
      </c>
      <c r="B22" s="19">
        <v>1456</v>
      </c>
      <c r="C22" s="20">
        <f>B22*400</f>
        <v>582400</v>
      </c>
      <c r="D22" s="19">
        <v>2.5</v>
      </c>
      <c r="E22" s="20">
        <f>C22*D22</f>
        <v>1456000</v>
      </c>
      <c r="F22" s="20"/>
      <c r="G22" s="21"/>
      <c r="H22" s="77"/>
      <c r="I22" s="61" t="s">
        <v>25</v>
      </c>
      <c r="J22" s="19">
        <v>272</v>
      </c>
      <c r="K22" s="20">
        <f>J22*400</f>
        <v>108800</v>
      </c>
      <c r="L22" s="19">
        <v>2.5</v>
      </c>
      <c r="M22" s="20">
        <f>K22*L22</f>
        <v>272000</v>
      </c>
      <c r="N22" s="20"/>
      <c r="O22" s="21"/>
    </row>
    <row r="23" spans="1:15" x14ac:dyDescent="0.2">
      <c r="A23" s="12"/>
      <c r="B23" s="77"/>
      <c r="C23" s="78"/>
      <c r="D23" s="77"/>
      <c r="E23" s="78"/>
      <c r="F23" s="78"/>
      <c r="G23" s="78"/>
      <c r="H23" s="77"/>
      <c r="I23" s="86"/>
      <c r="J23" s="77"/>
      <c r="K23" s="78"/>
      <c r="L23" s="77"/>
      <c r="M23" s="78"/>
      <c r="N23" s="78"/>
      <c r="O23" s="17"/>
    </row>
    <row r="24" spans="1:15" ht="16" x14ac:dyDescent="0.2">
      <c r="A24" s="118" t="s">
        <v>26</v>
      </c>
      <c r="B24" s="119"/>
      <c r="C24" s="119"/>
      <c r="D24" s="119"/>
      <c r="E24" s="119"/>
      <c r="F24" s="119"/>
      <c r="G24" s="120"/>
      <c r="I24" s="87"/>
      <c r="J24" s="87"/>
      <c r="K24" s="87"/>
      <c r="L24" s="87"/>
      <c r="M24" s="87"/>
      <c r="N24" s="87"/>
      <c r="O24" s="88"/>
    </row>
    <row r="25" spans="1:15" ht="32" x14ac:dyDescent="0.2">
      <c r="A25" s="8" t="s">
        <v>0</v>
      </c>
      <c r="B25" s="9" t="s">
        <v>1</v>
      </c>
      <c r="C25" s="9" t="s">
        <v>2</v>
      </c>
      <c r="D25" s="9" t="s">
        <v>3</v>
      </c>
      <c r="E25" s="9" t="s">
        <v>4</v>
      </c>
      <c r="F25" s="10" t="s">
        <v>5</v>
      </c>
      <c r="G25" s="11" t="s">
        <v>6</v>
      </c>
      <c r="I25" s="77"/>
      <c r="J25" s="77"/>
      <c r="K25" s="77"/>
      <c r="L25" s="77"/>
      <c r="M25" s="77"/>
      <c r="N25" s="89"/>
      <c r="O25" s="55"/>
    </row>
    <row r="26" spans="1:15" x14ac:dyDescent="0.2">
      <c r="A26" s="12" t="s">
        <v>27</v>
      </c>
      <c r="B26" s="77">
        <v>100</v>
      </c>
      <c r="C26" s="78">
        <f>B26*400</f>
        <v>40000</v>
      </c>
      <c r="D26" s="77">
        <v>2.5</v>
      </c>
      <c r="E26" s="78">
        <f>C26*D26</f>
        <v>100000</v>
      </c>
      <c r="F26" s="79">
        <f>AVERAGE(E26:E28)</f>
        <v>93666.666666666672</v>
      </c>
      <c r="G26" s="16">
        <f>_xlfn.STDEV.S(E26:E28)</f>
        <v>8504.9005481153818</v>
      </c>
      <c r="I26" s="86"/>
      <c r="J26" s="77"/>
      <c r="K26" s="78"/>
      <c r="L26" s="77"/>
      <c r="M26" s="78"/>
      <c r="N26" s="79"/>
      <c r="O26" s="16"/>
    </row>
    <row r="27" spans="1:15" x14ac:dyDescent="0.2">
      <c r="A27" s="12" t="s">
        <v>28</v>
      </c>
      <c r="B27" s="77">
        <v>84</v>
      </c>
      <c r="C27" s="78">
        <f>B27*400</f>
        <v>33600</v>
      </c>
      <c r="D27" s="77">
        <v>2.5</v>
      </c>
      <c r="E27" s="78">
        <f>C27*D27</f>
        <v>84000</v>
      </c>
      <c r="F27" s="78"/>
      <c r="G27" s="17"/>
      <c r="I27" s="86"/>
      <c r="J27" s="77"/>
      <c r="K27" s="78"/>
      <c r="L27" s="77"/>
      <c r="M27" s="78"/>
      <c r="N27" s="78"/>
      <c r="O27" s="17"/>
    </row>
    <row r="28" spans="1:15" x14ac:dyDescent="0.2">
      <c r="A28" s="18" t="s">
        <v>29</v>
      </c>
      <c r="B28" s="19">
        <v>97</v>
      </c>
      <c r="C28" s="20">
        <f>B28*400</f>
        <v>38800</v>
      </c>
      <c r="D28" s="19">
        <v>2.5</v>
      </c>
      <c r="E28" s="20">
        <f>C28*D28</f>
        <v>97000</v>
      </c>
      <c r="F28" s="20"/>
      <c r="G28" s="21"/>
      <c r="H28" s="6"/>
      <c r="I28" s="56"/>
      <c r="J28" s="19"/>
      <c r="K28" s="20"/>
      <c r="L28" s="19"/>
      <c r="M28" s="20"/>
      <c r="N28" s="20"/>
      <c r="O28" s="21"/>
    </row>
    <row r="32" spans="1:15" x14ac:dyDescent="0.2">
      <c r="A32" s="90" t="s">
        <v>7</v>
      </c>
      <c r="F32" s="64" t="s">
        <v>8</v>
      </c>
      <c r="G32" t="s">
        <v>6</v>
      </c>
    </row>
    <row r="33" spans="1:8" x14ac:dyDescent="0.2">
      <c r="B33" s="64" t="s">
        <v>8</v>
      </c>
      <c r="C33" s="91" t="s">
        <v>6</v>
      </c>
      <c r="E33" t="s">
        <v>10</v>
      </c>
      <c r="F33" s="79">
        <v>40333.333333333336</v>
      </c>
      <c r="G33" s="16">
        <v>3214.5502536643185</v>
      </c>
    </row>
    <row r="34" spans="1:8" x14ac:dyDescent="0.2">
      <c r="A34" s="92" t="s">
        <v>18</v>
      </c>
      <c r="B34" s="84">
        <v>1381666.6666666667</v>
      </c>
      <c r="C34" s="16">
        <v>68879.121171319639</v>
      </c>
      <c r="D34" s="84"/>
      <c r="E34" s="84"/>
      <c r="F34" s="93"/>
      <c r="H34" s="26"/>
    </row>
    <row r="35" spans="1:8" x14ac:dyDescent="0.2">
      <c r="A35" s="32" t="s">
        <v>22</v>
      </c>
      <c r="B35" s="85">
        <v>281000</v>
      </c>
      <c r="C35" s="16">
        <v>3274.1411087489801</v>
      </c>
      <c r="D35" s="84"/>
      <c r="E35" s="84"/>
      <c r="F35" s="93"/>
    </row>
    <row r="36" spans="1:8" x14ac:dyDescent="0.2">
      <c r="A36" s="94" t="s">
        <v>26</v>
      </c>
      <c r="B36" s="79">
        <v>93666.666666666672</v>
      </c>
      <c r="C36" s="16">
        <v>8504.9005481153818</v>
      </c>
      <c r="D36" s="84"/>
      <c r="E36" s="84"/>
      <c r="F36" s="93"/>
    </row>
    <row r="37" spans="1:8" x14ac:dyDescent="0.2">
      <c r="A37" s="32"/>
      <c r="B37" s="79"/>
      <c r="C37" s="93"/>
      <c r="D37" s="95"/>
      <c r="E37" s="95"/>
    </row>
    <row r="38" spans="1:8" x14ac:dyDescent="0.2">
      <c r="B38" s="30"/>
      <c r="C38" s="96"/>
    </row>
    <row r="39" spans="1:8" x14ac:dyDescent="0.2">
      <c r="A39" s="32" t="s">
        <v>9</v>
      </c>
      <c r="B39" s="97"/>
      <c r="C39" s="98"/>
    </row>
    <row r="40" spans="1:8" x14ac:dyDescent="0.2">
      <c r="B40" s="30" t="s">
        <v>8</v>
      </c>
      <c r="C40" s="98"/>
    </row>
    <row r="41" spans="1:8" x14ac:dyDescent="0.2">
      <c r="A41" s="67" t="s">
        <v>10</v>
      </c>
      <c r="B41" s="67">
        <v>1</v>
      </c>
      <c r="C41" s="67"/>
    </row>
    <row r="42" spans="1:8" x14ac:dyDescent="0.2">
      <c r="A42" s="92" t="s">
        <v>18</v>
      </c>
      <c r="B42" s="99">
        <f>B34/F33</f>
        <v>34.256198347107436</v>
      </c>
      <c r="C42" s="99"/>
      <c r="D42" s="100"/>
      <c r="E42" s="100"/>
    </row>
    <row r="43" spans="1:8" x14ac:dyDescent="0.2">
      <c r="A43" s="32" t="s">
        <v>22</v>
      </c>
      <c r="B43" s="101">
        <f>B35/F33</f>
        <v>6.9669421487603298</v>
      </c>
      <c r="C43" s="101"/>
      <c r="D43" s="100"/>
      <c r="E43" s="100"/>
    </row>
    <row r="44" spans="1:8" x14ac:dyDescent="0.2">
      <c r="A44" s="94" t="s">
        <v>26</v>
      </c>
      <c r="B44" s="49">
        <f>B36/F33</f>
        <v>2.3223140495867769</v>
      </c>
      <c r="C44" s="49"/>
      <c r="D44" s="100"/>
      <c r="E44" s="100"/>
    </row>
    <row r="45" spans="1:8" x14ac:dyDescent="0.2">
      <c r="A45" s="32"/>
      <c r="B45" s="49"/>
      <c r="C45" s="102"/>
      <c r="D45" s="100"/>
      <c r="E45" s="100"/>
    </row>
    <row r="46" spans="1:8" x14ac:dyDescent="0.2">
      <c r="A46" s="32"/>
      <c r="B46" s="103"/>
      <c r="C46" s="98"/>
    </row>
    <row r="47" spans="1:8" x14ac:dyDescent="0.2">
      <c r="A47" s="67"/>
    </row>
    <row r="48" spans="1:8" x14ac:dyDescent="0.2">
      <c r="A48" s="92"/>
      <c r="B48" s="104"/>
    </row>
    <row r="49" spans="1:4" x14ac:dyDescent="0.2">
      <c r="A49" s="32"/>
      <c r="B49" s="105"/>
      <c r="C49" s="106"/>
      <c r="D49" s="104"/>
    </row>
    <row r="50" spans="1:4" x14ac:dyDescent="0.2">
      <c r="A50" s="94"/>
      <c r="B50" s="105"/>
      <c r="C50" s="105"/>
    </row>
  </sheetData>
  <mergeCells count="12">
    <mergeCell ref="A24:G24"/>
    <mergeCell ref="A1:F1"/>
    <mergeCell ref="A2:G2"/>
    <mergeCell ref="A3:K3"/>
    <mergeCell ref="A4:C4"/>
    <mergeCell ref="A5:V5"/>
    <mergeCell ref="A6:L8"/>
    <mergeCell ref="C9:D9"/>
    <mergeCell ref="A10:G10"/>
    <mergeCell ref="G17:I17"/>
    <mergeCell ref="A18:G18"/>
    <mergeCell ref="I18:O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9EBD-6957-0C4F-B02C-055743F7F458}">
  <dimension ref="A1:V50"/>
  <sheetViews>
    <sheetView topLeftCell="A9" workbookViewId="0">
      <selection activeCell="E48" sqref="E48"/>
    </sheetView>
  </sheetViews>
  <sheetFormatPr baseColWidth="10" defaultRowHeight="15" x14ac:dyDescent="0.2"/>
  <cols>
    <col min="1" max="1" width="24.6640625" customWidth="1"/>
    <col min="2" max="2" width="12.33203125" customWidth="1"/>
    <col min="3" max="7" width="9.5" bestFit="1" customWidth="1"/>
    <col min="8" max="8" width="8.5" customWidth="1"/>
    <col min="9" max="9" width="24.6640625" customWidth="1"/>
    <col min="10" max="10" width="8.83203125" customWidth="1"/>
    <col min="11" max="11" width="9.5" bestFit="1" customWidth="1"/>
    <col min="12" max="12" width="8.83203125" customWidth="1"/>
    <col min="13" max="15" width="9.5" bestFit="1" customWidth="1"/>
    <col min="16" max="256" width="8.83203125" customWidth="1"/>
    <col min="257" max="257" width="24.6640625" customWidth="1"/>
    <col min="258" max="258" width="12.33203125" customWidth="1"/>
    <col min="259" max="263" width="9.5" bestFit="1" customWidth="1"/>
    <col min="264" max="264" width="8.5" customWidth="1"/>
    <col min="265" max="265" width="24.6640625" customWidth="1"/>
    <col min="266" max="266" width="8.83203125" customWidth="1"/>
    <col min="267" max="267" width="9.5" bestFit="1" customWidth="1"/>
    <col min="268" max="268" width="8.83203125" customWidth="1"/>
    <col min="269" max="271" width="9.5" bestFit="1" customWidth="1"/>
    <col min="272" max="512" width="8.83203125" customWidth="1"/>
    <col min="513" max="513" width="24.6640625" customWidth="1"/>
    <col min="514" max="514" width="12.33203125" customWidth="1"/>
    <col min="515" max="519" width="9.5" bestFit="1" customWidth="1"/>
    <col min="520" max="520" width="8.5" customWidth="1"/>
    <col min="521" max="521" width="24.6640625" customWidth="1"/>
    <col min="522" max="522" width="8.83203125" customWidth="1"/>
    <col min="523" max="523" width="9.5" bestFit="1" customWidth="1"/>
    <col min="524" max="524" width="8.83203125" customWidth="1"/>
    <col min="525" max="527" width="9.5" bestFit="1" customWidth="1"/>
    <col min="528" max="768" width="8.83203125" customWidth="1"/>
    <col min="769" max="769" width="24.6640625" customWidth="1"/>
    <col min="770" max="770" width="12.33203125" customWidth="1"/>
    <col min="771" max="775" width="9.5" bestFit="1" customWidth="1"/>
    <col min="776" max="776" width="8.5" customWidth="1"/>
    <col min="777" max="777" width="24.6640625" customWidth="1"/>
    <col min="778" max="778" width="8.83203125" customWidth="1"/>
    <col min="779" max="779" width="9.5" bestFit="1" customWidth="1"/>
    <col min="780" max="780" width="8.83203125" customWidth="1"/>
    <col min="781" max="783" width="9.5" bestFit="1" customWidth="1"/>
    <col min="784" max="1024" width="8.83203125" customWidth="1"/>
    <col min="1025" max="1025" width="24.6640625" customWidth="1"/>
    <col min="1026" max="1026" width="12.33203125" customWidth="1"/>
    <col min="1027" max="1031" width="9.5" bestFit="1" customWidth="1"/>
    <col min="1032" max="1032" width="8.5" customWidth="1"/>
    <col min="1033" max="1033" width="24.6640625" customWidth="1"/>
    <col min="1034" max="1034" width="8.83203125" customWidth="1"/>
    <col min="1035" max="1035" width="9.5" bestFit="1" customWidth="1"/>
    <col min="1036" max="1036" width="8.83203125" customWidth="1"/>
    <col min="1037" max="1039" width="9.5" bestFit="1" customWidth="1"/>
    <col min="1040" max="1280" width="8.83203125" customWidth="1"/>
    <col min="1281" max="1281" width="24.6640625" customWidth="1"/>
    <col min="1282" max="1282" width="12.33203125" customWidth="1"/>
    <col min="1283" max="1287" width="9.5" bestFit="1" customWidth="1"/>
    <col min="1288" max="1288" width="8.5" customWidth="1"/>
    <col min="1289" max="1289" width="24.6640625" customWidth="1"/>
    <col min="1290" max="1290" width="8.83203125" customWidth="1"/>
    <col min="1291" max="1291" width="9.5" bestFit="1" customWidth="1"/>
    <col min="1292" max="1292" width="8.83203125" customWidth="1"/>
    <col min="1293" max="1295" width="9.5" bestFit="1" customWidth="1"/>
    <col min="1296" max="1536" width="8.83203125" customWidth="1"/>
    <col min="1537" max="1537" width="24.6640625" customWidth="1"/>
    <col min="1538" max="1538" width="12.33203125" customWidth="1"/>
    <col min="1539" max="1543" width="9.5" bestFit="1" customWidth="1"/>
    <col min="1544" max="1544" width="8.5" customWidth="1"/>
    <col min="1545" max="1545" width="24.6640625" customWidth="1"/>
    <col min="1546" max="1546" width="8.83203125" customWidth="1"/>
    <col min="1547" max="1547" width="9.5" bestFit="1" customWidth="1"/>
    <col min="1548" max="1548" width="8.83203125" customWidth="1"/>
    <col min="1549" max="1551" width="9.5" bestFit="1" customWidth="1"/>
    <col min="1552" max="1792" width="8.83203125" customWidth="1"/>
    <col min="1793" max="1793" width="24.6640625" customWidth="1"/>
    <col min="1794" max="1794" width="12.33203125" customWidth="1"/>
    <col min="1795" max="1799" width="9.5" bestFit="1" customWidth="1"/>
    <col min="1800" max="1800" width="8.5" customWidth="1"/>
    <col min="1801" max="1801" width="24.6640625" customWidth="1"/>
    <col min="1802" max="1802" width="8.83203125" customWidth="1"/>
    <col min="1803" max="1803" width="9.5" bestFit="1" customWidth="1"/>
    <col min="1804" max="1804" width="8.83203125" customWidth="1"/>
    <col min="1805" max="1807" width="9.5" bestFit="1" customWidth="1"/>
    <col min="1808" max="2048" width="8.83203125" customWidth="1"/>
    <col min="2049" max="2049" width="24.6640625" customWidth="1"/>
    <col min="2050" max="2050" width="12.33203125" customWidth="1"/>
    <col min="2051" max="2055" width="9.5" bestFit="1" customWidth="1"/>
    <col min="2056" max="2056" width="8.5" customWidth="1"/>
    <col min="2057" max="2057" width="24.6640625" customWidth="1"/>
    <col min="2058" max="2058" width="8.83203125" customWidth="1"/>
    <col min="2059" max="2059" width="9.5" bestFit="1" customWidth="1"/>
    <col min="2060" max="2060" width="8.83203125" customWidth="1"/>
    <col min="2061" max="2063" width="9.5" bestFit="1" customWidth="1"/>
    <col min="2064" max="2304" width="8.83203125" customWidth="1"/>
    <col min="2305" max="2305" width="24.6640625" customWidth="1"/>
    <col min="2306" max="2306" width="12.33203125" customWidth="1"/>
    <col min="2307" max="2311" width="9.5" bestFit="1" customWidth="1"/>
    <col min="2312" max="2312" width="8.5" customWidth="1"/>
    <col min="2313" max="2313" width="24.6640625" customWidth="1"/>
    <col min="2314" max="2314" width="8.83203125" customWidth="1"/>
    <col min="2315" max="2315" width="9.5" bestFit="1" customWidth="1"/>
    <col min="2316" max="2316" width="8.83203125" customWidth="1"/>
    <col min="2317" max="2319" width="9.5" bestFit="1" customWidth="1"/>
    <col min="2320" max="2560" width="8.83203125" customWidth="1"/>
    <col min="2561" max="2561" width="24.6640625" customWidth="1"/>
    <col min="2562" max="2562" width="12.33203125" customWidth="1"/>
    <col min="2563" max="2567" width="9.5" bestFit="1" customWidth="1"/>
    <col min="2568" max="2568" width="8.5" customWidth="1"/>
    <col min="2569" max="2569" width="24.6640625" customWidth="1"/>
    <col min="2570" max="2570" width="8.83203125" customWidth="1"/>
    <col min="2571" max="2571" width="9.5" bestFit="1" customWidth="1"/>
    <col min="2572" max="2572" width="8.83203125" customWidth="1"/>
    <col min="2573" max="2575" width="9.5" bestFit="1" customWidth="1"/>
    <col min="2576" max="2816" width="8.83203125" customWidth="1"/>
    <col min="2817" max="2817" width="24.6640625" customWidth="1"/>
    <col min="2818" max="2818" width="12.33203125" customWidth="1"/>
    <col min="2819" max="2823" width="9.5" bestFit="1" customWidth="1"/>
    <col min="2824" max="2824" width="8.5" customWidth="1"/>
    <col min="2825" max="2825" width="24.6640625" customWidth="1"/>
    <col min="2826" max="2826" width="8.83203125" customWidth="1"/>
    <col min="2827" max="2827" width="9.5" bestFit="1" customWidth="1"/>
    <col min="2828" max="2828" width="8.83203125" customWidth="1"/>
    <col min="2829" max="2831" width="9.5" bestFit="1" customWidth="1"/>
    <col min="2832" max="3072" width="8.83203125" customWidth="1"/>
    <col min="3073" max="3073" width="24.6640625" customWidth="1"/>
    <col min="3074" max="3074" width="12.33203125" customWidth="1"/>
    <col min="3075" max="3079" width="9.5" bestFit="1" customWidth="1"/>
    <col min="3080" max="3080" width="8.5" customWidth="1"/>
    <col min="3081" max="3081" width="24.6640625" customWidth="1"/>
    <col min="3082" max="3082" width="8.83203125" customWidth="1"/>
    <col min="3083" max="3083" width="9.5" bestFit="1" customWidth="1"/>
    <col min="3084" max="3084" width="8.83203125" customWidth="1"/>
    <col min="3085" max="3087" width="9.5" bestFit="1" customWidth="1"/>
    <col min="3088" max="3328" width="8.83203125" customWidth="1"/>
    <col min="3329" max="3329" width="24.6640625" customWidth="1"/>
    <col min="3330" max="3330" width="12.33203125" customWidth="1"/>
    <col min="3331" max="3335" width="9.5" bestFit="1" customWidth="1"/>
    <col min="3336" max="3336" width="8.5" customWidth="1"/>
    <col min="3337" max="3337" width="24.6640625" customWidth="1"/>
    <col min="3338" max="3338" width="8.83203125" customWidth="1"/>
    <col min="3339" max="3339" width="9.5" bestFit="1" customWidth="1"/>
    <col min="3340" max="3340" width="8.83203125" customWidth="1"/>
    <col min="3341" max="3343" width="9.5" bestFit="1" customWidth="1"/>
    <col min="3344" max="3584" width="8.83203125" customWidth="1"/>
    <col min="3585" max="3585" width="24.6640625" customWidth="1"/>
    <col min="3586" max="3586" width="12.33203125" customWidth="1"/>
    <col min="3587" max="3591" width="9.5" bestFit="1" customWidth="1"/>
    <col min="3592" max="3592" width="8.5" customWidth="1"/>
    <col min="3593" max="3593" width="24.6640625" customWidth="1"/>
    <col min="3594" max="3594" width="8.83203125" customWidth="1"/>
    <col min="3595" max="3595" width="9.5" bestFit="1" customWidth="1"/>
    <col min="3596" max="3596" width="8.83203125" customWidth="1"/>
    <col min="3597" max="3599" width="9.5" bestFit="1" customWidth="1"/>
    <col min="3600" max="3840" width="8.83203125" customWidth="1"/>
    <col min="3841" max="3841" width="24.6640625" customWidth="1"/>
    <col min="3842" max="3842" width="12.33203125" customWidth="1"/>
    <col min="3843" max="3847" width="9.5" bestFit="1" customWidth="1"/>
    <col min="3848" max="3848" width="8.5" customWidth="1"/>
    <col min="3849" max="3849" width="24.6640625" customWidth="1"/>
    <col min="3850" max="3850" width="8.83203125" customWidth="1"/>
    <col min="3851" max="3851" width="9.5" bestFit="1" customWidth="1"/>
    <col min="3852" max="3852" width="8.83203125" customWidth="1"/>
    <col min="3853" max="3855" width="9.5" bestFit="1" customWidth="1"/>
    <col min="3856" max="4096" width="8.83203125" customWidth="1"/>
    <col min="4097" max="4097" width="24.6640625" customWidth="1"/>
    <col min="4098" max="4098" width="12.33203125" customWidth="1"/>
    <col min="4099" max="4103" width="9.5" bestFit="1" customWidth="1"/>
    <col min="4104" max="4104" width="8.5" customWidth="1"/>
    <col min="4105" max="4105" width="24.6640625" customWidth="1"/>
    <col min="4106" max="4106" width="8.83203125" customWidth="1"/>
    <col min="4107" max="4107" width="9.5" bestFit="1" customWidth="1"/>
    <col min="4108" max="4108" width="8.83203125" customWidth="1"/>
    <col min="4109" max="4111" width="9.5" bestFit="1" customWidth="1"/>
    <col min="4112" max="4352" width="8.83203125" customWidth="1"/>
    <col min="4353" max="4353" width="24.6640625" customWidth="1"/>
    <col min="4354" max="4354" width="12.33203125" customWidth="1"/>
    <col min="4355" max="4359" width="9.5" bestFit="1" customWidth="1"/>
    <col min="4360" max="4360" width="8.5" customWidth="1"/>
    <col min="4361" max="4361" width="24.6640625" customWidth="1"/>
    <col min="4362" max="4362" width="8.83203125" customWidth="1"/>
    <col min="4363" max="4363" width="9.5" bestFit="1" customWidth="1"/>
    <col min="4364" max="4364" width="8.83203125" customWidth="1"/>
    <col min="4365" max="4367" width="9.5" bestFit="1" customWidth="1"/>
    <col min="4368" max="4608" width="8.83203125" customWidth="1"/>
    <col min="4609" max="4609" width="24.6640625" customWidth="1"/>
    <col min="4610" max="4610" width="12.33203125" customWidth="1"/>
    <col min="4611" max="4615" width="9.5" bestFit="1" customWidth="1"/>
    <col min="4616" max="4616" width="8.5" customWidth="1"/>
    <col min="4617" max="4617" width="24.6640625" customWidth="1"/>
    <col min="4618" max="4618" width="8.83203125" customWidth="1"/>
    <col min="4619" max="4619" width="9.5" bestFit="1" customWidth="1"/>
    <col min="4620" max="4620" width="8.83203125" customWidth="1"/>
    <col min="4621" max="4623" width="9.5" bestFit="1" customWidth="1"/>
    <col min="4624" max="4864" width="8.83203125" customWidth="1"/>
    <col min="4865" max="4865" width="24.6640625" customWidth="1"/>
    <col min="4866" max="4866" width="12.33203125" customWidth="1"/>
    <col min="4867" max="4871" width="9.5" bestFit="1" customWidth="1"/>
    <col min="4872" max="4872" width="8.5" customWidth="1"/>
    <col min="4873" max="4873" width="24.6640625" customWidth="1"/>
    <col min="4874" max="4874" width="8.83203125" customWidth="1"/>
    <col min="4875" max="4875" width="9.5" bestFit="1" customWidth="1"/>
    <col min="4876" max="4876" width="8.83203125" customWidth="1"/>
    <col min="4877" max="4879" width="9.5" bestFit="1" customWidth="1"/>
    <col min="4880" max="5120" width="8.83203125" customWidth="1"/>
    <col min="5121" max="5121" width="24.6640625" customWidth="1"/>
    <col min="5122" max="5122" width="12.33203125" customWidth="1"/>
    <col min="5123" max="5127" width="9.5" bestFit="1" customWidth="1"/>
    <col min="5128" max="5128" width="8.5" customWidth="1"/>
    <col min="5129" max="5129" width="24.6640625" customWidth="1"/>
    <col min="5130" max="5130" width="8.83203125" customWidth="1"/>
    <col min="5131" max="5131" width="9.5" bestFit="1" customWidth="1"/>
    <col min="5132" max="5132" width="8.83203125" customWidth="1"/>
    <col min="5133" max="5135" width="9.5" bestFit="1" customWidth="1"/>
    <col min="5136" max="5376" width="8.83203125" customWidth="1"/>
    <col min="5377" max="5377" width="24.6640625" customWidth="1"/>
    <col min="5378" max="5378" width="12.33203125" customWidth="1"/>
    <col min="5379" max="5383" width="9.5" bestFit="1" customWidth="1"/>
    <col min="5384" max="5384" width="8.5" customWidth="1"/>
    <col min="5385" max="5385" width="24.6640625" customWidth="1"/>
    <col min="5386" max="5386" width="8.83203125" customWidth="1"/>
    <col min="5387" max="5387" width="9.5" bestFit="1" customWidth="1"/>
    <col min="5388" max="5388" width="8.83203125" customWidth="1"/>
    <col min="5389" max="5391" width="9.5" bestFit="1" customWidth="1"/>
    <col min="5392" max="5632" width="8.83203125" customWidth="1"/>
    <col min="5633" max="5633" width="24.6640625" customWidth="1"/>
    <col min="5634" max="5634" width="12.33203125" customWidth="1"/>
    <col min="5635" max="5639" width="9.5" bestFit="1" customWidth="1"/>
    <col min="5640" max="5640" width="8.5" customWidth="1"/>
    <col min="5641" max="5641" width="24.6640625" customWidth="1"/>
    <col min="5642" max="5642" width="8.83203125" customWidth="1"/>
    <col min="5643" max="5643" width="9.5" bestFit="1" customWidth="1"/>
    <col min="5644" max="5644" width="8.83203125" customWidth="1"/>
    <col min="5645" max="5647" width="9.5" bestFit="1" customWidth="1"/>
    <col min="5648" max="5888" width="8.83203125" customWidth="1"/>
    <col min="5889" max="5889" width="24.6640625" customWidth="1"/>
    <col min="5890" max="5890" width="12.33203125" customWidth="1"/>
    <col min="5891" max="5895" width="9.5" bestFit="1" customWidth="1"/>
    <col min="5896" max="5896" width="8.5" customWidth="1"/>
    <col min="5897" max="5897" width="24.6640625" customWidth="1"/>
    <col min="5898" max="5898" width="8.83203125" customWidth="1"/>
    <col min="5899" max="5899" width="9.5" bestFit="1" customWidth="1"/>
    <col min="5900" max="5900" width="8.83203125" customWidth="1"/>
    <col min="5901" max="5903" width="9.5" bestFit="1" customWidth="1"/>
    <col min="5904" max="6144" width="8.83203125" customWidth="1"/>
    <col min="6145" max="6145" width="24.6640625" customWidth="1"/>
    <col min="6146" max="6146" width="12.33203125" customWidth="1"/>
    <col min="6147" max="6151" width="9.5" bestFit="1" customWidth="1"/>
    <col min="6152" max="6152" width="8.5" customWidth="1"/>
    <col min="6153" max="6153" width="24.6640625" customWidth="1"/>
    <col min="6154" max="6154" width="8.83203125" customWidth="1"/>
    <col min="6155" max="6155" width="9.5" bestFit="1" customWidth="1"/>
    <col min="6156" max="6156" width="8.83203125" customWidth="1"/>
    <col min="6157" max="6159" width="9.5" bestFit="1" customWidth="1"/>
    <col min="6160" max="6400" width="8.83203125" customWidth="1"/>
    <col min="6401" max="6401" width="24.6640625" customWidth="1"/>
    <col min="6402" max="6402" width="12.33203125" customWidth="1"/>
    <col min="6403" max="6407" width="9.5" bestFit="1" customWidth="1"/>
    <col min="6408" max="6408" width="8.5" customWidth="1"/>
    <col min="6409" max="6409" width="24.6640625" customWidth="1"/>
    <col min="6410" max="6410" width="8.83203125" customWidth="1"/>
    <col min="6411" max="6411" width="9.5" bestFit="1" customWidth="1"/>
    <col min="6412" max="6412" width="8.83203125" customWidth="1"/>
    <col min="6413" max="6415" width="9.5" bestFit="1" customWidth="1"/>
    <col min="6416" max="6656" width="8.83203125" customWidth="1"/>
    <col min="6657" max="6657" width="24.6640625" customWidth="1"/>
    <col min="6658" max="6658" width="12.33203125" customWidth="1"/>
    <col min="6659" max="6663" width="9.5" bestFit="1" customWidth="1"/>
    <col min="6664" max="6664" width="8.5" customWidth="1"/>
    <col min="6665" max="6665" width="24.6640625" customWidth="1"/>
    <col min="6666" max="6666" width="8.83203125" customWidth="1"/>
    <col min="6667" max="6667" width="9.5" bestFit="1" customWidth="1"/>
    <col min="6668" max="6668" width="8.83203125" customWidth="1"/>
    <col min="6669" max="6671" width="9.5" bestFit="1" customWidth="1"/>
    <col min="6672" max="6912" width="8.83203125" customWidth="1"/>
    <col min="6913" max="6913" width="24.6640625" customWidth="1"/>
    <col min="6914" max="6914" width="12.33203125" customWidth="1"/>
    <col min="6915" max="6919" width="9.5" bestFit="1" customWidth="1"/>
    <col min="6920" max="6920" width="8.5" customWidth="1"/>
    <col min="6921" max="6921" width="24.6640625" customWidth="1"/>
    <col min="6922" max="6922" width="8.83203125" customWidth="1"/>
    <col min="6923" max="6923" width="9.5" bestFit="1" customWidth="1"/>
    <col min="6924" max="6924" width="8.83203125" customWidth="1"/>
    <col min="6925" max="6927" width="9.5" bestFit="1" customWidth="1"/>
    <col min="6928" max="7168" width="8.83203125" customWidth="1"/>
    <col min="7169" max="7169" width="24.6640625" customWidth="1"/>
    <col min="7170" max="7170" width="12.33203125" customWidth="1"/>
    <col min="7171" max="7175" width="9.5" bestFit="1" customWidth="1"/>
    <col min="7176" max="7176" width="8.5" customWidth="1"/>
    <col min="7177" max="7177" width="24.6640625" customWidth="1"/>
    <col min="7178" max="7178" width="8.83203125" customWidth="1"/>
    <col min="7179" max="7179" width="9.5" bestFit="1" customWidth="1"/>
    <col min="7180" max="7180" width="8.83203125" customWidth="1"/>
    <col min="7181" max="7183" width="9.5" bestFit="1" customWidth="1"/>
    <col min="7184" max="7424" width="8.83203125" customWidth="1"/>
    <col min="7425" max="7425" width="24.6640625" customWidth="1"/>
    <col min="7426" max="7426" width="12.33203125" customWidth="1"/>
    <col min="7427" max="7431" width="9.5" bestFit="1" customWidth="1"/>
    <col min="7432" max="7432" width="8.5" customWidth="1"/>
    <col min="7433" max="7433" width="24.6640625" customWidth="1"/>
    <col min="7434" max="7434" width="8.83203125" customWidth="1"/>
    <col min="7435" max="7435" width="9.5" bestFit="1" customWidth="1"/>
    <col min="7436" max="7436" width="8.83203125" customWidth="1"/>
    <col min="7437" max="7439" width="9.5" bestFit="1" customWidth="1"/>
    <col min="7440" max="7680" width="8.83203125" customWidth="1"/>
    <col min="7681" max="7681" width="24.6640625" customWidth="1"/>
    <col min="7682" max="7682" width="12.33203125" customWidth="1"/>
    <col min="7683" max="7687" width="9.5" bestFit="1" customWidth="1"/>
    <col min="7688" max="7688" width="8.5" customWidth="1"/>
    <col min="7689" max="7689" width="24.6640625" customWidth="1"/>
    <col min="7690" max="7690" width="8.83203125" customWidth="1"/>
    <col min="7691" max="7691" width="9.5" bestFit="1" customWidth="1"/>
    <col min="7692" max="7692" width="8.83203125" customWidth="1"/>
    <col min="7693" max="7695" width="9.5" bestFit="1" customWidth="1"/>
    <col min="7696" max="7936" width="8.83203125" customWidth="1"/>
    <col min="7937" max="7937" width="24.6640625" customWidth="1"/>
    <col min="7938" max="7938" width="12.33203125" customWidth="1"/>
    <col min="7939" max="7943" width="9.5" bestFit="1" customWidth="1"/>
    <col min="7944" max="7944" width="8.5" customWidth="1"/>
    <col min="7945" max="7945" width="24.6640625" customWidth="1"/>
    <col min="7946" max="7946" width="8.83203125" customWidth="1"/>
    <col min="7947" max="7947" width="9.5" bestFit="1" customWidth="1"/>
    <col min="7948" max="7948" width="8.83203125" customWidth="1"/>
    <col min="7949" max="7951" width="9.5" bestFit="1" customWidth="1"/>
    <col min="7952" max="8192" width="8.83203125" customWidth="1"/>
    <col min="8193" max="8193" width="24.6640625" customWidth="1"/>
    <col min="8194" max="8194" width="12.33203125" customWidth="1"/>
    <col min="8195" max="8199" width="9.5" bestFit="1" customWidth="1"/>
    <col min="8200" max="8200" width="8.5" customWidth="1"/>
    <col min="8201" max="8201" width="24.6640625" customWidth="1"/>
    <col min="8202" max="8202" width="8.83203125" customWidth="1"/>
    <col min="8203" max="8203" width="9.5" bestFit="1" customWidth="1"/>
    <col min="8204" max="8204" width="8.83203125" customWidth="1"/>
    <col min="8205" max="8207" width="9.5" bestFit="1" customWidth="1"/>
    <col min="8208" max="8448" width="8.83203125" customWidth="1"/>
    <col min="8449" max="8449" width="24.6640625" customWidth="1"/>
    <col min="8450" max="8450" width="12.33203125" customWidth="1"/>
    <col min="8451" max="8455" width="9.5" bestFit="1" customWidth="1"/>
    <col min="8456" max="8456" width="8.5" customWidth="1"/>
    <col min="8457" max="8457" width="24.6640625" customWidth="1"/>
    <col min="8458" max="8458" width="8.83203125" customWidth="1"/>
    <col min="8459" max="8459" width="9.5" bestFit="1" customWidth="1"/>
    <col min="8460" max="8460" width="8.83203125" customWidth="1"/>
    <col min="8461" max="8463" width="9.5" bestFit="1" customWidth="1"/>
    <col min="8464" max="8704" width="8.83203125" customWidth="1"/>
    <col min="8705" max="8705" width="24.6640625" customWidth="1"/>
    <col min="8706" max="8706" width="12.33203125" customWidth="1"/>
    <col min="8707" max="8711" width="9.5" bestFit="1" customWidth="1"/>
    <col min="8712" max="8712" width="8.5" customWidth="1"/>
    <col min="8713" max="8713" width="24.6640625" customWidth="1"/>
    <col min="8714" max="8714" width="8.83203125" customWidth="1"/>
    <col min="8715" max="8715" width="9.5" bestFit="1" customWidth="1"/>
    <col min="8716" max="8716" width="8.83203125" customWidth="1"/>
    <col min="8717" max="8719" width="9.5" bestFit="1" customWidth="1"/>
    <col min="8720" max="8960" width="8.83203125" customWidth="1"/>
    <col min="8961" max="8961" width="24.6640625" customWidth="1"/>
    <col min="8962" max="8962" width="12.33203125" customWidth="1"/>
    <col min="8963" max="8967" width="9.5" bestFit="1" customWidth="1"/>
    <col min="8968" max="8968" width="8.5" customWidth="1"/>
    <col min="8969" max="8969" width="24.6640625" customWidth="1"/>
    <col min="8970" max="8970" width="8.83203125" customWidth="1"/>
    <col min="8971" max="8971" width="9.5" bestFit="1" customWidth="1"/>
    <col min="8972" max="8972" width="8.83203125" customWidth="1"/>
    <col min="8973" max="8975" width="9.5" bestFit="1" customWidth="1"/>
    <col min="8976" max="9216" width="8.83203125" customWidth="1"/>
    <col min="9217" max="9217" width="24.6640625" customWidth="1"/>
    <col min="9218" max="9218" width="12.33203125" customWidth="1"/>
    <col min="9219" max="9223" width="9.5" bestFit="1" customWidth="1"/>
    <col min="9224" max="9224" width="8.5" customWidth="1"/>
    <col min="9225" max="9225" width="24.6640625" customWidth="1"/>
    <col min="9226" max="9226" width="8.83203125" customWidth="1"/>
    <col min="9227" max="9227" width="9.5" bestFit="1" customWidth="1"/>
    <col min="9228" max="9228" width="8.83203125" customWidth="1"/>
    <col min="9229" max="9231" width="9.5" bestFit="1" customWidth="1"/>
    <col min="9232" max="9472" width="8.83203125" customWidth="1"/>
    <col min="9473" max="9473" width="24.6640625" customWidth="1"/>
    <col min="9474" max="9474" width="12.33203125" customWidth="1"/>
    <col min="9475" max="9479" width="9.5" bestFit="1" customWidth="1"/>
    <col min="9480" max="9480" width="8.5" customWidth="1"/>
    <col min="9481" max="9481" width="24.6640625" customWidth="1"/>
    <col min="9482" max="9482" width="8.83203125" customWidth="1"/>
    <col min="9483" max="9483" width="9.5" bestFit="1" customWidth="1"/>
    <col min="9484" max="9484" width="8.83203125" customWidth="1"/>
    <col min="9485" max="9487" width="9.5" bestFit="1" customWidth="1"/>
    <col min="9488" max="9728" width="8.83203125" customWidth="1"/>
    <col min="9729" max="9729" width="24.6640625" customWidth="1"/>
    <col min="9730" max="9730" width="12.33203125" customWidth="1"/>
    <col min="9731" max="9735" width="9.5" bestFit="1" customWidth="1"/>
    <col min="9736" max="9736" width="8.5" customWidth="1"/>
    <col min="9737" max="9737" width="24.6640625" customWidth="1"/>
    <col min="9738" max="9738" width="8.83203125" customWidth="1"/>
    <col min="9739" max="9739" width="9.5" bestFit="1" customWidth="1"/>
    <col min="9740" max="9740" width="8.83203125" customWidth="1"/>
    <col min="9741" max="9743" width="9.5" bestFit="1" customWidth="1"/>
    <col min="9744" max="9984" width="8.83203125" customWidth="1"/>
    <col min="9985" max="9985" width="24.6640625" customWidth="1"/>
    <col min="9986" max="9986" width="12.33203125" customWidth="1"/>
    <col min="9987" max="9991" width="9.5" bestFit="1" customWidth="1"/>
    <col min="9992" max="9992" width="8.5" customWidth="1"/>
    <col min="9993" max="9993" width="24.6640625" customWidth="1"/>
    <col min="9994" max="9994" width="8.83203125" customWidth="1"/>
    <col min="9995" max="9995" width="9.5" bestFit="1" customWidth="1"/>
    <col min="9996" max="9996" width="8.83203125" customWidth="1"/>
    <col min="9997" max="9999" width="9.5" bestFit="1" customWidth="1"/>
    <col min="10000" max="10240" width="8.83203125" customWidth="1"/>
    <col min="10241" max="10241" width="24.6640625" customWidth="1"/>
    <col min="10242" max="10242" width="12.33203125" customWidth="1"/>
    <col min="10243" max="10247" width="9.5" bestFit="1" customWidth="1"/>
    <col min="10248" max="10248" width="8.5" customWidth="1"/>
    <col min="10249" max="10249" width="24.6640625" customWidth="1"/>
    <col min="10250" max="10250" width="8.83203125" customWidth="1"/>
    <col min="10251" max="10251" width="9.5" bestFit="1" customWidth="1"/>
    <col min="10252" max="10252" width="8.83203125" customWidth="1"/>
    <col min="10253" max="10255" width="9.5" bestFit="1" customWidth="1"/>
    <col min="10256" max="10496" width="8.83203125" customWidth="1"/>
    <col min="10497" max="10497" width="24.6640625" customWidth="1"/>
    <col min="10498" max="10498" width="12.33203125" customWidth="1"/>
    <col min="10499" max="10503" width="9.5" bestFit="1" customWidth="1"/>
    <col min="10504" max="10504" width="8.5" customWidth="1"/>
    <col min="10505" max="10505" width="24.6640625" customWidth="1"/>
    <col min="10506" max="10506" width="8.83203125" customWidth="1"/>
    <col min="10507" max="10507" width="9.5" bestFit="1" customWidth="1"/>
    <col min="10508" max="10508" width="8.83203125" customWidth="1"/>
    <col min="10509" max="10511" width="9.5" bestFit="1" customWidth="1"/>
    <col min="10512" max="10752" width="8.83203125" customWidth="1"/>
    <col min="10753" max="10753" width="24.6640625" customWidth="1"/>
    <col min="10754" max="10754" width="12.33203125" customWidth="1"/>
    <col min="10755" max="10759" width="9.5" bestFit="1" customWidth="1"/>
    <col min="10760" max="10760" width="8.5" customWidth="1"/>
    <col min="10761" max="10761" width="24.6640625" customWidth="1"/>
    <col min="10762" max="10762" width="8.83203125" customWidth="1"/>
    <col min="10763" max="10763" width="9.5" bestFit="1" customWidth="1"/>
    <col min="10764" max="10764" width="8.83203125" customWidth="1"/>
    <col min="10765" max="10767" width="9.5" bestFit="1" customWidth="1"/>
    <col min="10768" max="11008" width="8.83203125" customWidth="1"/>
    <col min="11009" max="11009" width="24.6640625" customWidth="1"/>
    <col min="11010" max="11010" width="12.33203125" customWidth="1"/>
    <col min="11011" max="11015" width="9.5" bestFit="1" customWidth="1"/>
    <col min="11016" max="11016" width="8.5" customWidth="1"/>
    <col min="11017" max="11017" width="24.6640625" customWidth="1"/>
    <col min="11018" max="11018" width="8.83203125" customWidth="1"/>
    <col min="11019" max="11019" width="9.5" bestFit="1" customWidth="1"/>
    <col min="11020" max="11020" width="8.83203125" customWidth="1"/>
    <col min="11021" max="11023" width="9.5" bestFit="1" customWidth="1"/>
    <col min="11024" max="11264" width="8.83203125" customWidth="1"/>
    <col min="11265" max="11265" width="24.6640625" customWidth="1"/>
    <col min="11266" max="11266" width="12.33203125" customWidth="1"/>
    <col min="11267" max="11271" width="9.5" bestFit="1" customWidth="1"/>
    <col min="11272" max="11272" width="8.5" customWidth="1"/>
    <col min="11273" max="11273" width="24.6640625" customWidth="1"/>
    <col min="11274" max="11274" width="8.83203125" customWidth="1"/>
    <col min="11275" max="11275" width="9.5" bestFit="1" customWidth="1"/>
    <col min="11276" max="11276" width="8.83203125" customWidth="1"/>
    <col min="11277" max="11279" width="9.5" bestFit="1" customWidth="1"/>
    <col min="11280" max="11520" width="8.83203125" customWidth="1"/>
    <col min="11521" max="11521" width="24.6640625" customWidth="1"/>
    <col min="11522" max="11522" width="12.33203125" customWidth="1"/>
    <col min="11523" max="11527" width="9.5" bestFit="1" customWidth="1"/>
    <col min="11528" max="11528" width="8.5" customWidth="1"/>
    <col min="11529" max="11529" width="24.6640625" customWidth="1"/>
    <col min="11530" max="11530" width="8.83203125" customWidth="1"/>
    <col min="11531" max="11531" width="9.5" bestFit="1" customWidth="1"/>
    <col min="11532" max="11532" width="8.83203125" customWidth="1"/>
    <col min="11533" max="11535" width="9.5" bestFit="1" customWidth="1"/>
    <col min="11536" max="11776" width="8.83203125" customWidth="1"/>
    <col min="11777" max="11777" width="24.6640625" customWidth="1"/>
    <col min="11778" max="11778" width="12.33203125" customWidth="1"/>
    <col min="11779" max="11783" width="9.5" bestFit="1" customWidth="1"/>
    <col min="11784" max="11784" width="8.5" customWidth="1"/>
    <col min="11785" max="11785" width="24.6640625" customWidth="1"/>
    <col min="11786" max="11786" width="8.83203125" customWidth="1"/>
    <col min="11787" max="11787" width="9.5" bestFit="1" customWidth="1"/>
    <col min="11788" max="11788" width="8.83203125" customWidth="1"/>
    <col min="11789" max="11791" width="9.5" bestFit="1" customWidth="1"/>
    <col min="11792" max="12032" width="8.83203125" customWidth="1"/>
    <col min="12033" max="12033" width="24.6640625" customWidth="1"/>
    <col min="12034" max="12034" width="12.33203125" customWidth="1"/>
    <col min="12035" max="12039" width="9.5" bestFit="1" customWidth="1"/>
    <col min="12040" max="12040" width="8.5" customWidth="1"/>
    <col min="12041" max="12041" width="24.6640625" customWidth="1"/>
    <col min="12042" max="12042" width="8.83203125" customWidth="1"/>
    <col min="12043" max="12043" width="9.5" bestFit="1" customWidth="1"/>
    <col min="12044" max="12044" width="8.83203125" customWidth="1"/>
    <col min="12045" max="12047" width="9.5" bestFit="1" customWidth="1"/>
    <col min="12048" max="12288" width="8.83203125" customWidth="1"/>
    <col min="12289" max="12289" width="24.6640625" customWidth="1"/>
    <col min="12290" max="12290" width="12.33203125" customWidth="1"/>
    <col min="12291" max="12295" width="9.5" bestFit="1" customWidth="1"/>
    <col min="12296" max="12296" width="8.5" customWidth="1"/>
    <col min="12297" max="12297" width="24.6640625" customWidth="1"/>
    <col min="12298" max="12298" width="8.83203125" customWidth="1"/>
    <col min="12299" max="12299" width="9.5" bestFit="1" customWidth="1"/>
    <col min="12300" max="12300" width="8.83203125" customWidth="1"/>
    <col min="12301" max="12303" width="9.5" bestFit="1" customWidth="1"/>
    <col min="12304" max="12544" width="8.83203125" customWidth="1"/>
    <col min="12545" max="12545" width="24.6640625" customWidth="1"/>
    <col min="12546" max="12546" width="12.33203125" customWidth="1"/>
    <col min="12547" max="12551" width="9.5" bestFit="1" customWidth="1"/>
    <col min="12552" max="12552" width="8.5" customWidth="1"/>
    <col min="12553" max="12553" width="24.6640625" customWidth="1"/>
    <col min="12554" max="12554" width="8.83203125" customWidth="1"/>
    <col min="12555" max="12555" width="9.5" bestFit="1" customWidth="1"/>
    <col min="12556" max="12556" width="8.83203125" customWidth="1"/>
    <col min="12557" max="12559" width="9.5" bestFit="1" customWidth="1"/>
    <col min="12560" max="12800" width="8.83203125" customWidth="1"/>
    <col min="12801" max="12801" width="24.6640625" customWidth="1"/>
    <col min="12802" max="12802" width="12.33203125" customWidth="1"/>
    <col min="12803" max="12807" width="9.5" bestFit="1" customWidth="1"/>
    <col min="12808" max="12808" width="8.5" customWidth="1"/>
    <col min="12809" max="12809" width="24.6640625" customWidth="1"/>
    <col min="12810" max="12810" width="8.83203125" customWidth="1"/>
    <col min="12811" max="12811" width="9.5" bestFit="1" customWidth="1"/>
    <col min="12812" max="12812" width="8.83203125" customWidth="1"/>
    <col min="12813" max="12815" width="9.5" bestFit="1" customWidth="1"/>
    <col min="12816" max="13056" width="8.83203125" customWidth="1"/>
    <col min="13057" max="13057" width="24.6640625" customWidth="1"/>
    <col min="13058" max="13058" width="12.33203125" customWidth="1"/>
    <col min="13059" max="13063" width="9.5" bestFit="1" customWidth="1"/>
    <col min="13064" max="13064" width="8.5" customWidth="1"/>
    <col min="13065" max="13065" width="24.6640625" customWidth="1"/>
    <col min="13066" max="13066" width="8.83203125" customWidth="1"/>
    <col min="13067" max="13067" width="9.5" bestFit="1" customWidth="1"/>
    <col min="13068" max="13068" width="8.83203125" customWidth="1"/>
    <col min="13069" max="13071" width="9.5" bestFit="1" customWidth="1"/>
    <col min="13072" max="13312" width="8.83203125" customWidth="1"/>
    <col min="13313" max="13313" width="24.6640625" customWidth="1"/>
    <col min="13314" max="13314" width="12.33203125" customWidth="1"/>
    <col min="13315" max="13319" width="9.5" bestFit="1" customWidth="1"/>
    <col min="13320" max="13320" width="8.5" customWidth="1"/>
    <col min="13321" max="13321" width="24.6640625" customWidth="1"/>
    <col min="13322" max="13322" width="8.83203125" customWidth="1"/>
    <col min="13323" max="13323" width="9.5" bestFit="1" customWidth="1"/>
    <col min="13324" max="13324" width="8.83203125" customWidth="1"/>
    <col min="13325" max="13327" width="9.5" bestFit="1" customWidth="1"/>
    <col min="13328" max="13568" width="8.83203125" customWidth="1"/>
    <col min="13569" max="13569" width="24.6640625" customWidth="1"/>
    <col min="13570" max="13570" width="12.33203125" customWidth="1"/>
    <col min="13571" max="13575" width="9.5" bestFit="1" customWidth="1"/>
    <col min="13576" max="13576" width="8.5" customWidth="1"/>
    <col min="13577" max="13577" width="24.6640625" customWidth="1"/>
    <col min="13578" max="13578" width="8.83203125" customWidth="1"/>
    <col min="13579" max="13579" width="9.5" bestFit="1" customWidth="1"/>
    <col min="13580" max="13580" width="8.83203125" customWidth="1"/>
    <col min="13581" max="13583" width="9.5" bestFit="1" customWidth="1"/>
    <col min="13584" max="13824" width="8.83203125" customWidth="1"/>
    <col min="13825" max="13825" width="24.6640625" customWidth="1"/>
    <col min="13826" max="13826" width="12.33203125" customWidth="1"/>
    <col min="13827" max="13831" width="9.5" bestFit="1" customWidth="1"/>
    <col min="13832" max="13832" width="8.5" customWidth="1"/>
    <col min="13833" max="13833" width="24.6640625" customWidth="1"/>
    <col min="13834" max="13834" width="8.83203125" customWidth="1"/>
    <col min="13835" max="13835" width="9.5" bestFit="1" customWidth="1"/>
    <col min="13836" max="13836" width="8.83203125" customWidth="1"/>
    <col min="13837" max="13839" width="9.5" bestFit="1" customWidth="1"/>
    <col min="13840" max="14080" width="8.83203125" customWidth="1"/>
    <col min="14081" max="14081" width="24.6640625" customWidth="1"/>
    <col min="14082" max="14082" width="12.33203125" customWidth="1"/>
    <col min="14083" max="14087" width="9.5" bestFit="1" customWidth="1"/>
    <col min="14088" max="14088" width="8.5" customWidth="1"/>
    <col min="14089" max="14089" width="24.6640625" customWidth="1"/>
    <col min="14090" max="14090" width="8.83203125" customWidth="1"/>
    <col min="14091" max="14091" width="9.5" bestFit="1" customWidth="1"/>
    <col min="14092" max="14092" width="8.83203125" customWidth="1"/>
    <col min="14093" max="14095" width="9.5" bestFit="1" customWidth="1"/>
    <col min="14096" max="14336" width="8.83203125" customWidth="1"/>
    <col min="14337" max="14337" width="24.6640625" customWidth="1"/>
    <col min="14338" max="14338" width="12.33203125" customWidth="1"/>
    <col min="14339" max="14343" width="9.5" bestFit="1" customWidth="1"/>
    <col min="14344" max="14344" width="8.5" customWidth="1"/>
    <col min="14345" max="14345" width="24.6640625" customWidth="1"/>
    <col min="14346" max="14346" width="8.83203125" customWidth="1"/>
    <col min="14347" max="14347" width="9.5" bestFit="1" customWidth="1"/>
    <col min="14348" max="14348" width="8.83203125" customWidth="1"/>
    <col min="14349" max="14351" width="9.5" bestFit="1" customWidth="1"/>
    <col min="14352" max="14592" width="8.83203125" customWidth="1"/>
    <col min="14593" max="14593" width="24.6640625" customWidth="1"/>
    <col min="14594" max="14594" width="12.33203125" customWidth="1"/>
    <col min="14595" max="14599" width="9.5" bestFit="1" customWidth="1"/>
    <col min="14600" max="14600" width="8.5" customWidth="1"/>
    <col min="14601" max="14601" width="24.6640625" customWidth="1"/>
    <col min="14602" max="14602" width="8.83203125" customWidth="1"/>
    <col min="14603" max="14603" width="9.5" bestFit="1" customWidth="1"/>
    <col min="14604" max="14604" width="8.83203125" customWidth="1"/>
    <col min="14605" max="14607" width="9.5" bestFit="1" customWidth="1"/>
    <col min="14608" max="14848" width="8.83203125" customWidth="1"/>
    <col min="14849" max="14849" width="24.6640625" customWidth="1"/>
    <col min="14850" max="14850" width="12.33203125" customWidth="1"/>
    <col min="14851" max="14855" width="9.5" bestFit="1" customWidth="1"/>
    <col min="14856" max="14856" width="8.5" customWidth="1"/>
    <col min="14857" max="14857" width="24.6640625" customWidth="1"/>
    <col min="14858" max="14858" width="8.83203125" customWidth="1"/>
    <col min="14859" max="14859" width="9.5" bestFit="1" customWidth="1"/>
    <col min="14860" max="14860" width="8.83203125" customWidth="1"/>
    <col min="14861" max="14863" width="9.5" bestFit="1" customWidth="1"/>
    <col min="14864" max="15104" width="8.83203125" customWidth="1"/>
    <col min="15105" max="15105" width="24.6640625" customWidth="1"/>
    <col min="15106" max="15106" width="12.33203125" customWidth="1"/>
    <col min="15107" max="15111" width="9.5" bestFit="1" customWidth="1"/>
    <col min="15112" max="15112" width="8.5" customWidth="1"/>
    <col min="15113" max="15113" width="24.6640625" customWidth="1"/>
    <col min="15114" max="15114" width="8.83203125" customWidth="1"/>
    <col min="15115" max="15115" width="9.5" bestFit="1" customWidth="1"/>
    <col min="15116" max="15116" width="8.83203125" customWidth="1"/>
    <col min="15117" max="15119" width="9.5" bestFit="1" customWidth="1"/>
    <col min="15120" max="15360" width="8.83203125" customWidth="1"/>
    <col min="15361" max="15361" width="24.6640625" customWidth="1"/>
    <col min="15362" max="15362" width="12.33203125" customWidth="1"/>
    <col min="15363" max="15367" width="9.5" bestFit="1" customWidth="1"/>
    <col min="15368" max="15368" width="8.5" customWidth="1"/>
    <col min="15369" max="15369" width="24.6640625" customWidth="1"/>
    <col min="15370" max="15370" width="8.83203125" customWidth="1"/>
    <col min="15371" max="15371" width="9.5" bestFit="1" customWidth="1"/>
    <col min="15372" max="15372" width="8.83203125" customWidth="1"/>
    <col min="15373" max="15375" width="9.5" bestFit="1" customWidth="1"/>
    <col min="15376" max="15616" width="8.83203125" customWidth="1"/>
    <col min="15617" max="15617" width="24.6640625" customWidth="1"/>
    <col min="15618" max="15618" width="12.33203125" customWidth="1"/>
    <col min="15619" max="15623" width="9.5" bestFit="1" customWidth="1"/>
    <col min="15624" max="15624" width="8.5" customWidth="1"/>
    <col min="15625" max="15625" width="24.6640625" customWidth="1"/>
    <col min="15626" max="15626" width="8.83203125" customWidth="1"/>
    <col min="15627" max="15627" width="9.5" bestFit="1" customWidth="1"/>
    <col min="15628" max="15628" width="8.83203125" customWidth="1"/>
    <col min="15629" max="15631" width="9.5" bestFit="1" customWidth="1"/>
    <col min="15632" max="15872" width="8.83203125" customWidth="1"/>
    <col min="15873" max="15873" width="24.6640625" customWidth="1"/>
    <col min="15874" max="15874" width="12.33203125" customWidth="1"/>
    <col min="15875" max="15879" width="9.5" bestFit="1" customWidth="1"/>
    <col min="15880" max="15880" width="8.5" customWidth="1"/>
    <col min="15881" max="15881" width="24.6640625" customWidth="1"/>
    <col min="15882" max="15882" width="8.83203125" customWidth="1"/>
    <col min="15883" max="15883" width="9.5" bestFit="1" customWidth="1"/>
    <col min="15884" max="15884" width="8.83203125" customWidth="1"/>
    <col min="15885" max="15887" width="9.5" bestFit="1" customWidth="1"/>
    <col min="15888" max="16128" width="8.83203125" customWidth="1"/>
    <col min="16129" max="16129" width="24.6640625" customWidth="1"/>
    <col min="16130" max="16130" width="12.33203125" customWidth="1"/>
    <col min="16131" max="16135" width="9.5" bestFit="1" customWidth="1"/>
    <col min="16136" max="16136" width="8.5" customWidth="1"/>
    <col min="16137" max="16137" width="24.6640625" customWidth="1"/>
    <col min="16138" max="16138" width="8.83203125" customWidth="1"/>
    <col min="16139" max="16139" width="9.5" bestFit="1" customWidth="1"/>
    <col min="16140" max="16140" width="8.83203125" customWidth="1"/>
    <col min="16141" max="16143" width="9.5" bestFit="1" customWidth="1"/>
    <col min="16144" max="16384" width="8.83203125" customWidth="1"/>
  </cols>
  <sheetData>
    <row r="1" spans="1:22" ht="19" x14ac:dyDescent="0.25">
      <c r="A1" s="107" t="s">
        <v>44</v>
      </c>
      <c r="B1" s="107"/>
      <c r="C1" s="107"/>
      <c r="D1" s="107"/>
      <c r="E1" s="107"/>
      <c r="F1" s="107"/>
    </row>
    <row r="2" spans="1:22" x14ac:dyDescent="0.2">
      <c r="A2" s="108" t="s">
        <v>45</v>
      </c>
      <c r="B2" s="108"/>
      <c r="C2" s="108"/>
      <c r="D2" s="108"/>
      <c r="E2" s="108"/>
      <c r="F2" s="108"/>
      <c r="G2" s="108"/>
    </row>
    <row r="3" spans="1:22" x14ac:dyDescent="0.2">
      <c r="A3" s="110" t="s">
        <v>46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"/>
    </row>
    <row r="4" spans="1:22" x14ac:dyDescent="0.2">
      <c r="A4" s="110" t="s">
        <v>16</v>
      </c>
      <c r="B4" s="110"/>
      <c r="C4" s="110"/>
      <c r="D4" s="1"/>
      <c r="E4" s="1"/>
      <c r="F4" s="1"/>
      <c r="G4" s="1"/>
      <c r="H4" s="1"/>
      <c r="I4" s="1"/>
      <c r="J4" s="1"/>
      <c r="K4" s="1"/>
      <c r="L4" s="1"/>
    </row>
    <row r="5" spans="1:22" x14ac:dyDescent="0.2">
      <c r="A5" s="110" t="s">
        <v>47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</row>
    <row r="6" spans="1:22" ht="15" customHeight="1" x14ac:dyDescent="0.2">
      <c r="A6" s="109" t="s">
        <v>48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50"/>
      <c r="N6" s="50"/>
      <c r="O6" s="1"/>
    </row>
    <row r="7" spans="1:22" x14ac:dyDescent="0.2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50"/>
      <c r="N7" s="50"/>
      <c r="O7" s="1"/>
    </row>
    <row r="8" spans="1:22" x14ac:dyDescent="0.2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50"/>
      <c r="N8" s="50"/>
      <c r="O8" s="1"/>
    </row>
    <row r="9" spans="1:22" ht="19" x14ac:dyDescent="0.2">
      <c r="A9" s="44"/>
      <c r="B9" s="45"/>
      <c r="C9" s="111" t="s">
        <v>49</v>
      </c>
      <c r="D9" s="111"/>
      <c r="E9" s="45"/>
      <c r="F9" s="45"/>
      <c r="G9" s="46"/>
      <c r="H9" s="1"/>
      <c r="I9" s="1"/>
      <c r="J9" s="1"/>
      <c r="K9" s="1"/>
      <c r="L9" s="1"/>
    </row>
    <row r="10" spans="1:22" ht="16" x14ac:dyDescent="0.2">
      <c r="A10" s="122" t="s">
        <v>11</v>
      </c>
      <c r="B10" s="123"/>
      <c r="C10" s="123"/>
      <c r="D10" s="123"/>
      <c r="E10" s="123"/>
      <c r="F10" s="123"/>
      <c r="G10" s="124"/>
      <c r="H10" s="1"/>
      <c r="I10" s="1"/>
      <c r="J10" s="1"/>
      <c r="K10" s="1"/>
      <c r="L10" s="1"/>
    </row>
    <row r="11" spans="1:22" ht="32" x14ac:dyDescent="0.2">
      <c r="A11" s="2" t="s">
        <v>0</v>
      </c>
      <c r="B11" s="75" t="s">
        <v>1</v>
      </c>
      <c r="C11" s="75" t="s">
        <v>2</v>
      </c>
      <c r="D11" s="75" t="s">
        <v>3</v>
      </c>
      <c r="E11" s="75" t="s">
        <v>4</v>
      </c>
      <c r="F11" s="76" t="s">
        <v>5</v>
      </c>
      <c r="G11" s="4" t="s">
        <v>6</v>
      </c>
      <c r="H11" s="1"/>
      <c r="I11" s="1"/>
      <c r="J11" s="1"/>
      <c r="K11" s="1"/>
      <c r="L11" s="1"/>
    </row>
    <row r="12" spans="1:22" x14ac:dyDescent="0.2">
      <c r="A12" s="12" t="s">
        <v>12</v>
      </c>
      <c r="B12" s="77">
        <v>40</v>
      </c>
      <c r="C12" s="78">
        <f>B12*400</f>
        <v>16000</v>
      </c>
      <c r="D12" s="77">
        <v>2.5</v>
      </c>
      <c r="E12" s="78">
        <f>C12*D12</f>
        <v>40000</v>
      </c>
      <c r="F12" s="79">
        <f>AVERAGE(E12:E14)</f>
        <v>44333.333333333336</v>
      </c>
      <c r="G12" s="16">
        <f>_xlfn.STDEV.S(E12:E14)</f>
        <v>5859.4652770823286</v>
      </c>
      <c r="H12" s="1"/>
      <c r="I12" s="1"/>
      <c r="J12" s="1"/>
      <c r="K12" s="1"/>
      <c r="L12" s="1"/>
    </row>
    <row r="13" spans="1:22" x14ac:dyDescent="0.2">
      <c r="A13" s="12" t="s">
        <v>13</v>
      </c>
      <c r="B13" s="77">
        <v>42</v>
      </c>
      <c r="C13" s="78">
        <f>B13*400</f>
        <v>16800</v>
      </c>
      <c r="D13" s="77">
        <v>2.5</v>
      </c>
      <c r="E13" s="78">
        <f>C13*D13</f>
        <v>42000</v>
      </c>
      <c r="F13" s="78"/>
      <c r="G13" s="17"/>
      <c r="H13" s="1"/>
      <c r="I13" s="1"/>
      <c r="J13" s="1"/>
      <c r="K13" s="1"/>
      <c r="L13" s="1"/>
    </row>
    <row r="14" spans="1:22" x14ac:dyDescent="0.2">
      <c r="A14" s="18" t="s">
        <v>14</v>
      </c>
      <c r="B14" s="19">
        <v>51</v>
      </c>
      <c r="C14" s="20">
        <f>B14*400</f>
        <v>20400</v>
      </c>
      <c r="D14" s="19">
        <v>2.5</v>
      </c>
      <c r="E14" s="20">
        <f>C14*D14</f>
        <v>51000</v>
      </c>
      <c r="F14" s="20"/>
      <c r="G14" s="21"/>
      <c r="H14" s="1"/>
      <c r="I14" s="1"/>
      <c r="J14" s="1"/>
      <c r="K14" s="1"/>
      <c r="L14" s="1"/>
    </row>
    <row r="15" spans="1:22" ht="19" x14ac:dyDescent="0.25">
      <c r="A15" s="80"/>
      <c r="B15" s="80"/>
      <c r="C15" s="80"/>
      <c r="D15" s="80"/>
      <c r="E15" s="80"/>
      <c r="F15" s="80"/>
      <c r="G15" s="80"/>
    </row>
    <row r="16" spans="1:22" x14ac:dyDescent="0.2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</row>
    <row r="17" spans="1:15" ht="19" x14ac:dyDescent="0.25">
      <c r="A17" s="81"/>
      <c r="B17" s="82"/>
      <c r="C17" s="82"/>
      <c r="D17" s="82"/>
      <c r="E17" s="82"/>
      <c r="F17" s="82"/>
      <c r="G17" s="121" t="s">
        <v>50</v>
      </c>
      <c r="H17" s="121"/>
      <c r="I17" s="121"/>
      <c r="J17" s="82"/>
      <c r="K17" s="82"/>
      <c r="L17" s="82"/>
      <c r="M17" s="82"/>
      <c r="N17" s="82"/>
      <c r="O17" s="83"/>
    </row>
    <row r="18" spans="1:15" ht="16" x14ac:dyDescent="0.2">
      <c r="A18" s="112" t="s">
        <v>18</v>
      </c>
      <c r="B18" s="113"/>
      <c r="C18" s="113"/>
      <c r="D18" s="113"/>
      <c r="E18" s="113"/>
      <c r="F18" s="113"/>
      <c r="G18" s="114"/>
      <c r="H18" s="77"/>
      <c r="I18" s="115" t="s">
        <v>22</v>
      </c>
      <c r="J18" s="125"/>
      <c r="K18" s="125"/>
      <c r="L18" s="125"/>
      <c r="M18" s="125"/>
      <c r="N18" s="125"/>
      <c r="O18" s="117"/>
    </row>
    <row r="19" spans="1:15" ht="32" x14ac:dyDescent="0.2">
      <c r="A19" s="2" t="s">
        <v>0</v>
      </c>
      <c r="B19" s="75" t="s">
        <v>1</v>
      </c>
      <c r="C19" s="75" t="s">
        <v>2</v>
      </c>
      <c r="D19" s="75" t="s">
        <v>3</v>
      </c>
      <c r="E19" s="75" t="s">
        <v>4</v>
      </c>
      <c r="F19" s="76" t="s">
        <v>5</v>
      </c>
      <c r="G19" s="4" t="s">
        <v>6</v>
      </c>
      <c r="H19" s="77"/>
      <c r="I19" s="8" t="s">
        <v>0</v>
      </c>
      <c r="J19" s="9" t="s">
        <v>1</v>
      </c>
      <c r="K19" s="9" t="s">
        <v>2</v>
      </c>
      <c r="L19" s="9" t="s">
        <v>3</v>
      </c>
      <c r="M19" s="9" t="s">
        <v>4</v>
      </c>
      <c r="N19" s="10" t="s">
        <v>5</v>
      </c>
      <c r="O19" s="11" t="s">
        <v>6</v>
      </c>
    </row>
    <row r="20" spans="1:15" x14ac:dyDescent="0.2">
      <c r="A20" s="57" t="s">
        <v>19</v>
      </c>
      <c r="B20" s="77">
        <v>1617</v>
      </c>
      <c r="C20" s="78">
        <f>B20*400</f>
        <v>646800</v>
      </c>
      <c r="D20" s="77">
        <v>2.5</v>
      </c>
      <c r="E20" s="78">
        <f>C20*D20</f>
        <v>1617000</v>
      </c>
      <c r="F20" s="84">
        <f>AVERAGE(E20:E22)</f>
        <v>1569000</v>
      </c>
      <c r="G20" s="16">
        <f>_xlfn.STDEV.S(E20:E22)</f>
        <v>43266.615305567873</v>
      </c>
      <c r="H20" s="77"/>
      <c r="I20" s="60" t="s">
        <v>23</v>
      </c>
      <c r="J20" s="77">
        <v>308</v>
      </c>
      <c r="K20" s="78">
        <f>J20*400</f>
        <v>123200</v>
      </c>
      <c r="L20" s="77">
        <v>2.5</v>
      </c>
      <c r="M20" s="78">
        <f>K20*L20</f>
        <v>308000</v>
      </c>
      <c r="N20" s="85">
        <f>AVERAGE(M20:M22)</f>
        <v>325666.66666666669</v>
      </c>
      <c r="O20" s="16">
        <f>_xlfn.STDEV.S(K20:K22)</f>
        <v>7902.7421401266365</v>
      </c>
    </row>
    <row r="21" spans="1:15" x14ac:dyDescent="0.2">
      <c r="A21" s="57" t="s">
        <v>20</v>
      </c>
      <c r="B21" s="77">
        <v>1533</v>
      </c>
      <c r="C21" s="78">
        <f>B21*400</f>
        <v>613200</v>
      </c>
      <c r="D21" s="77">
        <v>2.5</v>
      </c>
      <c r="E21" s="78">
        <f>C21*D21</f>
        <v>1533000</v>
      </c>
      <c r="F21" s="78"/>
      <c r="G21" s="17"/>
      <c r="H21" s="77"/>
      <c r="I21" s="60" t="s">
        <v>24</v>
      </c>
      <c r="J21" s="77">
        <v>347</v>
      </c>
      <c r="K21" s="78">
        <f>J21*400</f>
        <v>138800</v>
      </c>
      <c r="L21" s="77">
        <v>2.5</v>
      </c>
      <c r="M21" s="78">
        <f>K21*L21</f>
        <v>347000</v>
      </c>
      <c r="N21" s="78"/>
      <c r="O21" s="17"/>
    </row>
    <row r="22" spans="1:15" x14ac:dyDescent="0.2">
      <c r="A22" s="58" t="s">
        <v>21</v>
      </c>
      <c r="B22" s="19">
        <v>1557</v>
      </c>
      <c r="C22" s="20">
        <f>B22*400</f>
        <v>622800</v>
      </c>
      <c r="D22" s="19">
        <v>2.5</v>
      </c>
      <c r="E22" s="20">
        <f>C22*D22</f>
        <v>1557000</v>
      </c>
      <c r="F22" s="20"/>
      <c r="G22" s="21"/>
      <c r="H22" s="77"/>
      <c r="I22" s="61" t="s">
        <v>25</v>
      </c>
      <c r="J22" s="19">
        <v>322</v>
      </c>
      <c r="K22" s="20">
        <f>J22*400</f>
        <v>128800</v>
      </c>
      <c r="L22" s="19">
        <v>2.5</v>
      </c>
      <c r="M22" s="20">
        <f>K22*L22</f>
        <v>322000</v>
      </c>
      <c r="N22" s="20"/>
      <c r="O22" s="21"/>
    </row>
    <row r="23" spans="1:15" x14ac:dyDescent="0.2">
      <c r="A23" s="12"/>
      <c r="B23" s="77"/>
      <c r="C23" s="78"/>
      <c r="D23" s="77"/>
      <c r="E23" s="78"/>
      <c r="F23" s="78"/>
      <c r="G23" s="78"/>
      <c r="H23" s="77"/>
      <c r="I23" s="86"/>
      <c r="J23" s="77"/>
      <c r="K23" s="78"/>
      <c r="L23" s="77"/>
      <c r="M23" s="78"/>
      <c r="N23" s="78"/>
      <c r="O23" s="17"/>
    </row>
    <row r="24" spans="1:15" ht="16" x14ac:dyDescent="0.2">
      <c r="A24" s="118" t="s">
        <v>26</v>
      </c>
      <c r="B24" s="119"/>
      <c r="C24" s="119"/>
      <c r="D24" s="119"/>
      <c r="E24" s="119"/>
      <c r="F24" s="119"/>
      <c r="G24" s="120"/>
      <c r="I24" s="87"/>
      <c r="J24" s="87"/>
      <c r="K24" s="87"/>
      <c r="L24" s="87"/>
      <c r="M24" s="87"/>
      <c r="N24" s="87"/>
      <c r="O24" s="88"/>
    </row>
    <row r="25" spans="1:15" ht="32" x14ac:dyDescent="0.2">
      <c r="A25" s="8" t="s">
        <v>0</v>
      </c>
      <c r="B25" s="9" t="s">
        <v>1</v>
      </c>
      <c r="C25" s="9" t="s">
        <v>2</v>
      </c>
      <c r="D25" s="9" t="s">
        <v>3</v>
      </c>
      <c r="E25" s="9" t="s">
        <v>4</v>
      </c>
      <c r="F25" s="10" t="s">
        <v>5</v>
      </c>
      <c r="G25" s="11" t="s">
        <v>6</v>
      </c>
      <c r="I25" s="77"/>
      <c r="J25" s="77"/>
      <c r="K25" s="77"/>
      <c r="L25" s="77"/>
      <c r="M25" s="77"/>
      <c r="N25" s="89"/>
      <c r="O25" s="55"/>
    </row>
    <row r="26" spans="1:15" x14ac:dyDescent="0.2">
      <c r="A26" s="12" t="s">
        <v>27</v>
      </c>
      <c r="B26" s="77">
        <v>102</v>
      </c>
      <c r="C26" s="78">
        <f>B26*400</f>
        <v>40800</v>
      </c>
      <c r="D26" s="77">
        <v>2.5</v>
      </c>
      <c r="E26" s="78">
        <f>C26*D26</f>
        <v>102000</v>
      </c>
      <c r="F26" s="79">
        <f>AVERAGE(E26:E28)</f>
        <v>107000</v>
      </c>
      <c r="G26" s="16">
        <f>_xlfn.STDEV.S(E26:E28)</f>
        <v>5000</v>
      </c>
      <c r="I26" s="86"/>
      <c r="J26" s="77"/>
      <c r="K26" s="78"/>
      <c r="L26" s="77"/>
      <c r="M26" s="78"/>
      <c r="N26" s="79"/>
      <c r="O26" s="16"/>
    </row>
    <row r="27" spans="1:15" x14ac:dyDescent="0.2">
      <c r="A27" s="12" t="s">
        <v>28</v>
      </c>
      <c r="B27" s="77">
        <v>112</v>
      </c>
      <c r="C27" s="78">
        <f>B27*400</f>
        <v>44800</v>
      </c>
      <c r="D27" s="77">
        <v>2.5</v>
      </c>
      <c r="E27" s="78">
        <f>C27*D27</f>
        <v>112000</v>
      </c>
      <c r="F27" s="78"/>
      <c r="G27" s="17"/>
      <c r="I27" s="86"/>
      <c r="J27" s="77"/>
      <c r="K27" s="78"/>
      <c r="L27" s="77"/>
      <c r="M27" s="78"/>
      <c r="N27" s="78"/>
      <c r="O27" s="17"/>
    </row>
    <row r="28" spans="1:15" x14ac:dyDescent="0.2">
      <c r="A28" s="18" t="s">
        <v>29</v>
      </c>
      <c r="B28" s="19">
        <v>107</v>
      </c>
      <c r="C28" s="20">
        <f>B28*400</f>
        <v>42800</v>
      </c>
      <c r="D28" s="19">
        <v>2.5</v>
      </c>
      <c r="E28" s="20">
        <f>C28*D28</f>
        <v>107000</v>
      </c>
      <c r="F28" s="20"/>
      <c r="G28" s="21"/>
      <c r="H28" s="6"/>
      <c r="I28" s="56"/>
      <c r="J28" s="19"/>
      <c r="K28" s="20"/>
      <c r="L28" s="19"/>
      <c r="M28" s="20"/>
      <c r="N28" s="20"/>
      <c r="O28" s="21"/>
    </row>
    <row r="32" spans="1:15" x14ac:dyDescent="0.2">
      <c r="A32" s="90" t="s">
        <v>7</v>
      </c>
      <c r="F32" s="64" t="s">
        <v>8</v>
      </c>
      <c r="G32" t="s">
        <v>6</v>
      </c>
    </row>
    <row r="33" spans="1:8" x14ac:dyDescent="0.2">
      <c r="B33" s="64" t="s">
        <v>8</v>
      </c>
      <c r="C33" s="91" t="s">
        <v>6</v>
      </c>
      <c r="E33" t="s">
        <v>10</v>
      </c>
      <c r="F33" s="79">
        <v>44333.333333333336</v>
      </c>
      <c r="G33" s="16">
        <v>5859.4652770823286</v>
      </c>
    </row>
    <row r="34" spans="1:8" x14ac:dyDescent="0.2">
      <c r="A34" s="92" t="s">
        <v>18</v>
      </c>
      <c r="B34" s="84">
        <v>1569000</v>
      </c>
      <c r="C34" s="16">
        <v>43266.615305567873</v>
      </c>
      <c r="D34" s="84"/>
      <c r="E34" s="84"/>
      <c r="F34" s="93"/>
      <c r="H34" s="26"/>
    </row>
    <row r="35" spans="1:8" x14ac:dyDescent="0.2">
      <c r="A35" s="32" t="s">
        <v>22</v>
      </c>
      <c r="B35" s="85">
        <v>325666.66666666669</v>
      </c>
      <c r="C35" s="16">
        <v>7902.7421401266365</v>
      </c>
      <c r="D35" s="84"/>
      <c r="E35" s="84"/>
      <c r="F35" s="93"/>
    </row>
    <row r="36" spans="1:8" x14ac:dyDescent="0.2">
      <c r="A36" s="94" t="s">
        <v>26</v>
      </c>
      <c r="B36" s="79">
        <v>107000</v>
      </c>
      <c r="C36" s="16">
        <v>5000</v>
      </c>
      <c r="D36" s="84"/>
      <c r="E36" s="84"/>
      <c r="F36" s="93"/>
    </row>
    <row r="37" spans="1:8" x14ac:dyDescent="0.2">
      <c r="A37" s="32"/>
      <c r="B37" s="79"/>
      <c r="C37" s="93"/>
      <c r="D37" s="95"/>
      <c r="E37" s="95"/>
    </row>
    <row r="38" spans="1:8" x14ac:dyDescent="0.2">
      <c r="B38" s="30"/>
      <c r="C38" s="96"/>
    </row>
    <row r="39" spans="1:8" x14ac:dyDescent="0.2">
      <c r="A39" s="32" t="s">
        <v>9</v>
      </c>
      <c r="B39" s="97"/>
      <c r="C39" s="98"/>
    </row>
    <row r="40" spans="1:8" x14ac:dyDescent="0.2">
      <c r="B40" s="30" t="s">
        <v>8</v>
      </c>
      <c r="C40" s="98"/>
    </row>
    <row r="41" spans="1:8" x14ac:dyDescent="0.2">
      <c r="A41" s="67" t="s">
        <v>10</v>
      </c>
      <c r="B41" s="67">
        <v>1</v>
      </c>
      <c r="C41" s="67"/>
    </row>
    <row r="42" spans="1:8" x14ac:dyDescent="0.2">
      <c r="A42" s="92" t="s">
        <v>18</v>
      </c>
      <c r="B42" s="99">
        <f>B34/F33</f>
        <v>35.390977443609017</v>
      </c>
      <c r="C42" s="99"/>
      <c r="D42" s="100"/>
      <c r="E42" s="100"/>
    </row>
    <row r="43" spans="1:8" x14ac:dyDescent="0.2">
      <c r="A43" s="32" t="s">
        <v>22</v>
      </c>
      <c r="B43" s="101">
        <f>B35/F33</f>
        <v>7.3458646616541357</v>
      </c>
      <c r="C43" s="101"/>
      <c r="D43" s="100"/>
      <c r="E43" s="100"/>
    </row>
    <row r="44" spans="1:8" x14ac:dyDescent="0.2">
      <c r="A44" s="94" t="s">
        <v>26</v>
      </c>
      <c r="B44" s="49">
        <f>B36/F33</f>
        <v>2.4135338345864659</v>
      </c>
      <c r="C44" s="49"/>
      <c r="D44" s="100"/>
      <c r="E44" s="100"/>
    </row>
    <row r="45" spans="1:8" x14ac:dyDescent="0.2">
      <c r="A45" s="32"/>
      <c r="B45" s="49"/>
      <c r="C45" s="102"/>
      <c r="D45" s="100"/>
      <c r="E45" s="100"/>
    </row>
    <row r="46" spans="1:8" x14ac:dyDescent="0.2">
      <c r="A46" s="32"/>
      <c r="B46" s="103"/>
      <c r="C46" s="98"/>
    </row>
    <row r="47" spans="1:8" x14ac:dyDescent="0.2">
      <c r="A47" s="67"/>
    </row>
    <row r="48" spans="1:8" x14ac:dyDescent="0.2">
      <c r="A48" s="92"/>
      <c r="B48" s="104"/>
    </row>
    <row r="49" spans="1:4" x14ac:dyDescent="0.2">
      <c r="A49" s="32"/>
      <c r="B49" s="105"/>
      <c r="C49" s="106"/>
      <c r="D49" s="104"/>
    </row>
    <row r="50" spans="1:4" x14ac:dyDescent="0.2">
      <c r="A50" s="94"/>
      <c r="B50" s="105"/>
      <c r="C50" s="105"/>
    </row>
  </sheetData>
  <mergeCells count="12">
    <mergeCell ref="A24:G24"/>
    <mergeCell ref="A1:F1"/>
    <mergeCell ref="A2:G2"/>
    <mergeCell ref="A3:K3"/>
    <mergeCell ref="A4:C4"/>
    <mergeCell ref="A5:V5"/>
    <mergeCell ref="A6:L8"/>
    <mergeCell ref="C9:D9"/>
    <mergeCell ref="A10:G10"/>
    <mergeCell ref="G17:I17"/>
    <mergeCell ref="A18:G18"/>
    <mergeCell ref="I18:O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83EA-5496-1444-81F3-886C52AD5EE7}">
  <dimension ref="A1:V50"/>
  <sheetViews>
    <sheetView topLeftCell="A4" workbookViewId="0">
      <selection activeCell="I10" sqref="I10"/>
    </sheetView>
  </sheetViews>
  <sheetFormatPr baseColWidth="10" defaultRowHeight="15" x14ac:dyDescent="0.2"/>
  <cols>
    <col min="1" max="1" width="24.6640625" customWidth="1"/>
    <col min="2" max="2" width="12.33203125" customWidth="1"/>
    <col min="3" max="7" width="9.5" bestFit="1" customWidth="1"/>
    <col min="8" max="8" width="8.5" customWidth="1"/>
    <col min="9" max="9" width="24.6640625" customWidth="1"/>
    <col min="10" max="10" width="8.83203125" customWidth="1"/>
    <col min="11" max="11" width="9.5" bestFit="1" customWidth="1"/>
    <col min="12" max="12" width="8.83203125" customWidth="1"/>
    <col min="13" max="15" width="9.5" bestFit="1" customWidth="1"/>
    <col min="16" max="256" width="8.83203125" customWidth="1"/>
    <col min="257" max="257" width="24.6640625" customWidth="1"/>
    <col min="258" max="258" width="12.33203125" customWidth="1"/>
    <col min="259" max="263" width="9.5" bestFit="1" customWidth="1"/>
    <col min="264" max="264" width="8.5" customWidth="1"/>
    <col min="265" max="265" width="24.6640625" customWidth="1"/>
    <col min="266" max="266" width="8.83203125" customWidth="1"/>
    <col min="267" max="267" width="9.5" bestFit="1" customWidth="1"/>
    <col min="268" max="268" width="8.83203125" customWidth="1"/>
    <col min="269" max="271" width="9.5" bestFit="1" customWidth="1"/>
    <col min="272" max="512" width="8.83203125" customWidth="1"/>
    <col min="513" max="513" width="24.6640625" customWidth="1"/>
    <col min="514" max="514" width="12.33203125" customWidth="1"/>
    <col min="515" max="519" width="9.5" bestFit="1" customWidth="1"/>
    <col min="520" max="520" width="8.5" customWidth="1"/>
    <col min="521" max="521" width="24.6640625" customWidth="1"/>
    <col min="522" max="522" width="8.83203125" customWidth="1"/>
    <col min="523" max="523" width="9.5" bestFit="1" customWidth="1"/>
    <col min="524" max="524" width="8.83203125" customWidth="1"/>
    <col min="525" max="527" width="9.5" bestFit="1" customWidth="1"/>
    <col min="528" max="768" width="8.83203125" customWidth="1"/>
    <col min="769" max="769" width="24.6640625" customWidth="1"/>
    <col min="770" max="770" width="12.33203125" customWidth="1"/>
    <col min="771" max="775" width="9.5" bestFit="1" customWidth="1"/>
    <col min="776" max="776" width="8.5" customWidth="1"/>
    <col min="777" max="777" width="24.6640625" customWidth="1"/>
    <col min="778" max="778" width="8.83203125" customWidth="1"/>
    <col min="779" max="779" width="9.5" bestFit="1" customWidth="1"/>
    <col min="780" max="780" width="8.83203125" customWidth="1"/>
    <col min="781" max="783" width="9.5" bestFit="1" customWidth="1"/>
    <col min="784" max="1024" width="8.83203125" customWidth="1"/>
    <col min="1025" max="1025" width="24.6640625" customWidth="1"/>
    <col min="1026" max="1026" width="12.33203125" customWidth="1"/>
    <col min="1027" max="1031" width="9.5" bestFit="1" customWidth="1"/>
    <col min="1032" max="1032" width="8.5" customWidth="1"/>
    <col min="1033" max="1033" width="24.6640625" customWidth="1"/>
    <col min="1034" max="1034" width="8.83203125" customWidth="1"/>
    <col min="1035" max="1035" width="9.5" bestFit="1" customWidth="1"/>
    <col min="1036" max="1036" width="8.83203125" customWidth="1"/>
    <col min="1037" max="1039" width="9.5" bestFit="1" customWidth="1"/>
    <col min="1040" max="1280" width="8.83203125" customWidth="1"/>
    <col min="1281" max="1281" width="24.6640625" customWidth="1"/>
    <col min="1282" max="1282" width="12.33203125" customWidth="1"/>
    <col min="1283" max="1287" width="9.5" bestFit="1" customWidth="1"/>
    <col min="1288" max="1288" width="8.5" customWidth="1"/>
    <col min="1289" max="1289" width="24.6640625" customWidth="1"/>
    <col min="1290" max="1290" width="8.83203125" customWidth="1"/>
    <col min="1291" max="1291" width="9.5" bestFit="1" customWidth="1"/>
    <col min="1292" max="1292" width="8.83203125" customWidth="1"/>
    <col min="1293" max="1295" width="9.5" bestFit="1" customWidth="1"/>
    <col min="1296" max="1536" width="8.83203125" customWidth="1"/>
    <col min="1537" max="1537" width="24.6640625" customWidth="1"/>
    <col min="1538" max="1538" width="12.33203125" customWidth="1"/>
    <col min="1539" max="1543" width="9.5" bestFit="1" customWidth="1"/>
    <col min="1544" max="1544" width="8.5" customWidth="1"/>
    <col min="1545" max="1545" width="24.6640625" customWidth="1"/>
    <col min="1546" max="1546" width="8.83203125" customWidth="1"/>
    <col min="1547" max="1547" width="9.5" bestFit="1" customWidth="1"/>
    <col min="1548" max="1548" width="8.83203125" customWidth="1"/>
    <col min="1549" max="1551" width="9.5" bestFit="1" customWidth="1"/>
    <col min="1552" max="1792" width="8.83203125" customWidth="1"/>
    <col min="1793" max="1793" width="24.6640625" customWidth="1"/>
    <col min="1794" max="1794" width="12.33203125" customWidth="1"/>
    <col min="1795" max="1799" width="9.5" bestFit="1" customWidth="1"/>
    <col min="1800" max="1800" width="8.5" customWidth="1"/>
    <col min="1801" max="1801" width="24.6640625" customWidth="1"/>
    <col min="1802" max="1802" width="8.83203125" customWidth="1"/>
    <col min="1803" max="1803" width="9.5" bestFit="1" customWidth="1"/>
    <col min="1804" max="1804" width="8.83203125" customWidth="1"/>
    <col min="1805" max="1807" width="9.5" bestFit="1" customWidth="1"/>
    <col min="1808" max="2048" width="8.83203125" customWidth="1"/>
    <col min="2049" max="2049" width="24.6640625" customWidth="1"/>
    <col min="2050" max="2050" width="12.33203125" customWidth="1"/>
    <col min="2051" max="2055" width="9.5" bestFit="1" customWidth="1"/>
    <col min="2056" max="2056" width="8.5" customWidth="1"/>
    <col min="2057" max="2057" width="24.6640625" customWidth="1"/>
    <col min="2058" max="2058" width="8.83203125" customWidth="1"/>
    <col min="2059" max="2059" width="9.5" bestFit="1" customWidth="1"/>
    <col min="2060" max="2060" width="8.83203125" customWidth="1"/>
    <col min="2061" max="2063" width="9.5" bestFit="1" customWidth="1"/>
    <col min="2064" max="2304" width="8.83203125" customWidth="1"/>
    <col min="2305" max="2305" width="24.6640625" customWidth="1"/>
    <col min="2306" max="2306" width="12.33203125" customWidth="1"/>
    <col min="2307" max="2311" width="9.5" bestFit="1" customWidth="1"/>
    <col min="2312" max="2312" width="8.5" customWidth="1"/>
    <col min="2313" max="2313" width="24.6640625" customWidth="1"/>
    <col min="2314" max="2314" width="8.83203125" customWidth="1"/>
    <col min="2315" max="2315" width="9.5" bestFit="1" customWidth="1"/>
    <col min="2316" max="2316" width="8.83203125" customWidth="1"/>
    <col min="2317" max="2319" width="9.5" bestFit="1" customWidth="1"/>
    <col min="2320" max="2560" width="8.83203125" customWidth="1"/>
    <col min="2561" max="2561" width="24.6640625" customWidth="1"/>
    <col min="2562" max="2562" width="12.33203125" customWidth="1"/>
    <col min="2563" max="2567" width="9.5" bestFit="1" customWidth="1"/>
    <col min="2568" max="2568" width="8.5" customWidth="1"/>
    <col min="2569" max="2569" width="24.6640625" customWidth="1"/>
    <col min="2570" max="2570" width="8.83203125" customWidth="1"/>
    <col min="2571" max="2571" width="9.5" bestFit="1" customWidth="1"/>
    <col min="2572" max="2572" width="8.83203125" customWidth="1"/>
    <col min="2573" max="2575" width="9.5" bestFit="1" customWidth="1"/>
    <col min="2576" max="2816" width="8.83203125" customWidth="1"/>
    <col min="2817" max="2817" width="24.6640625" customWidth="1"/>
    <col min="2818" max="2818" width="12.33203125" customWidth="1"/>
    <col min="2819" max="2823" width="9.5" bestFit="1" customWidth="1"/>
    <col min="2824" max="2824" width="8.5" customWidth="1"/>
    <col min="2825" max="2825" width="24.6640625" customWidth="1"/>
    <col min="2826" max="2826" width="8.83203125" customWidth="1"/>
    <col min="2827" max="2827" width="9.5" bestFit="1" customWidth="1"/>
    <col min="2828" max="2828" width="8.83203125" customWidth="1"/>
    <col min="2829" max="2831" width="9.5" bestFit="1" customWidth="1"/>
    <col min="2832" max="3072" width="8.83203125" customWidth="1"/>
    <col min="3073" max="3073" width="24.6640625" customWidth="1"/>
    <col min="3074" max="3074" width="12.33203125" customWidth="1"/>
    <col min="3075" max="3079" width="9.5" bestFit="1" customWidth="1"/>
    <col min="3080" max="3080" width="8.5" customWidth="1"/>
    <col min="3081" max="3081" width="24.6640625" customWidth="1"/>
    <col min="3082" max="3082" width="8.83203125" customWidth="1"/>
    <col min="3083" max="3083" width="9.5" bestFit="1" customWidth="1"/>
    <col min="3084" max="3084" width="8.83203125" customWidth="1"/>
    <col min="3085" max="3087" width="9.5" bestFit="1" customWidth="1"/>
    <col min="3088" max="3328" width="8.83203125" customWidth="1"/>
    <col min="3329" max="3329" width="24.6640625" customWidth="1"/>
    <col min="3330" max="3330" width="12.33203125" customWidth="1"/>
    <col min="3331" max="3335" width="9.5" bestFit="1" customWidth="1"/>
    <col min="3336" max="3336" width="8.5" customWidth="1"/>
    <col min="3337" max="3337" width="24.6640625" customWidth="1"/>
    <col min="3338" max="3338" width="8.83203125" customWidth="1"/>
    <col min="3339" max="3339" width="9.5" bestFit="1" customWidth="1"/>
    <col min="3340" max="3340" width="8.83203125" customWidth="1"/>
    <col min="3341" max="3343" width="9.5" bestFit="1" customWidth="1"/>
    <col min="3344" max="3584" width="8.83203125" customWidth="1"/>
    <col min="3585" max="3585" width="24.6640625" customWidth="1"/>
    <col min="3586" max="3586" width="12.33203125" customWidth="1"/>
    <col min="3587" max="3591" width="9.5" bestFit="1" customWidth="1"/>
    <col min="3592" max="3592" width="8.5" customWidth="1"/>
    <col min="3593" max="3593" width="24.6640625" customWidth="1"/>
    <col min="3594" max="3594" width="8.83203125" customWidth="1"/>
    <col min="3595" max="3595" width="9.5" bestFit="1" customWidth="1"/>
    <col min="3596" max="3596" width="8.83203125" customWidth="1"/>
    <col min="3597" max="3599" width="9.5" bestFit="1" customWidth="1"/>
    <col min="3600" max="3840" width="8.83203125" customWidth="1"/>
    <col min="3841" max="3841" width="24.6640625" customWidth="1"/>
    <col min="3842" max="3842" width="12.33203125" customWidth="1"/>
    <col min="3843" max="3847" width="9.5" bestFit="1" customWidth="1"/>
    <col min="3848" max="3848" width="8.5" customWidth="1"/>
    <col min="3849" max="3849" width="24.6640625" customWidth="1"/>
    <col min="3850" max="3850" width="8.83203125" customWidth="1"/>
    <col min="3851" max="3851" width="9.5" bestFit="1" customWidth="1"/>
    <col min="3852" max="3852" width="8.83203125" customWidth="1"/>
    <col min="3853" max="3855" width="9.5" bestFit="1" customWidth="1"/>
    <col min="3856" max="4096" width="8.83203125" customWidth="1"/>
    <col min="4097" max="4097" width="24.6640625" customWidth="1"/>
    <col min="4098" max="4098" width="12.33203125" customWidth="1"/>
    <col min="4099" max="4103" width="9.5" bestFit="1" customWidth="1"/>
    <col min="4104" max="4104" width="8.5" customWidth="1"/>
    <col min="4105" max="4105" width="24.6640625" customWidth="1"/>
    <col min="4106" max="4106" width="8.83203125" customWidth="1"/>
    <col min="4107" max="4107" width="9.5" bestFit="1" customWidth="1"/>
    <col min="4108" max="4108" width="8.83203125" customWidth="1"/>
    <col min="4109" max="4111" width="9.5" bestFit="1" customWidth="1"/>
    <col min="4112" max="4352" width="8.83203125" customWidth="1"/>
    <col min="4353" max="4353" width="24.6640625" customWidth="1"/>
    <col min="4354" max="4354" width="12.33203125" customWidth="1"/>
    <col min="4355" max="4359" width="9.5" bestFit="1" customWidth="1"/>
    <col min="4360" max="4360" width="8.5" customWidth="1"/>
    <col min="4361" max="4361" width="24.6640625" customWidth="1"/>
    <col min="4362" max="4362" width="8.83203125" customWidth="1"/>
    <col min="4363" max="4363" width="9.5" bestFit="1" customWidth="1"/>
    <col min="4364" max="4364" width="8.83203125" customWidth="1"/>
    <col min="4365" max="4367" width="9.5" bestFit="1" customWidth="1"/>
    <col min="4368" max="4608" width="8.83203125" customWidth="1"/>
    <col min="4609" max="4609" width="24.6640625" customWidth="1"/>
    <col min="4610" max="4610" width="12.33203125" customWidth="1"/>
    <col min="4611" max="4615" width="9.5" bestFit="1" customWidth="1"/>
    <col min="4616" max="4616" width="8.5" customWidth="1"/>
    <col min="4617" max="4617" width="24.6640625" customWidth="1"/>
    <col min="4618" max="4618" width="8.83203125" customWidth="1"/>
    <col min="4619" max="4619" width="9.5" bestFit="1" customWidth="1"/>
    <col min="4620" max="4620" width="8.83203125" customWidth="1"/>
    <col min="4621" max="4623" width="9.5" bestFit="1" customWidth="1"/>
    <col min="4624" max="4864" width="8.83203125" customWidth="1"/>
    <col min="4865" max="4865" width="24.6640625" customWidth="1"/>
    <col min="4866" max="4866" width="12.33203125" customWidth="1"/>
    <col min="4867" max="4871" width="9.5" bestFit="1" customWidth="1"/>
    <col min="4872" max="4872" width="8.5" customWidth="1"/>
    <col min="4873" max="4873" width="24.6640625" customWidth="1"/>
    <col min="4874" max="4874" width="8.83203125" customWidth="1"/>
    <col min="4875" max="4875" width="9.5" bestFit="1" customWidth="1"/>
    <col min="4876" max="4876" width="8.83203125" customWidth="1"/>
    <col min="4877" max="4879" width="9.5" bestFit="1" customWidth="1"/>
    <col min="4880" max="5120" width="8.83203125" customWidth="1"/>
    <col min="5121" max="5121" width="24.6640625" customWidth="1"/>
    <col min="5122" max="5122" width="12.33203125" customWidth="1"/>
    <col min="5123" max="5127" width="9.5" bestFit="1" customWidth="1"/>
    <col min="5128" max="5128" width="8.5" customWidth="1"/>
    <col min="5129" max="5129" width="24.6640625" customWidth="1"/>
    <col min="5130" max="5130" width="8.83203125" customWidth="1"/>
    <col min="5131" max="5131" width="9.5" bestFit="1" customWidth="1"/>
    <col min="5132" max="5132" width="8.83203125" customWidth="1"/>
    <col min="5133" max="5135" width="9.5" bestFit="1" customWidth="1"/>
    <col min="5136" max="5376" width="8.83203125" customWidth="1"/>
    <col min="5377" max="5377" width="24.6640625" customWidth="1"/>
    <col min="5378" max="5378" width="12.33203125" customWidth="1"/>
    <col min="5379" max="5383" width="9.5" bestFit="1" customWidth="1"/>
    <col min="5384" max="5384" width="8.5" customWidth="1"/>
    <col min="5385" max="5385" width="24.6640625" customWidth="1"/>
    <col min="5386" max="5386" width="8.83203125" customWidth="1"/>
    <col min="5387" max="5387" width="9.5" bestFit="1" customWidth="1"/>
    <col min="5388" max="5388" width="8.83203125" customWidth="1"/>
    <col min="5389" max="5391" width="9.5" bestFit="1" customWidth="1"/>
    <col min="5392" max="5632" width="8.83203125" customWidth="1"/>
    <col min="5633" max="5633" width="24.6640625" customWidth="1"/>
    <col min="5634" max="5634" width="12.33203125" customWidth="1"/>
    <col min="5635" max="5639" width="9.5" bestFit="1" customWidth="1"/>
    <col min="5640" max="5640" width="8.5" customWidth="1"/>
    <col min="5641" max="5641" width="24.6640625" customWidth="1"/>
    <col min="5642" max="5642" width="8.83203125" customWidth="1"/>
    <col min="5643" max="5643" width="9.5" bestFit="1" customWidth="1"/>
    <col min="5644" max="5644" width="8.83203125" customWidth="1"/>
    <col min="5645" max="5647" width="9.5" bestFit="1" customWidth="1"/>
    <col min="5648" max="5888" width="8.83203125" customWidth="1"/>
    <col min="5889" max="5889" width="24.6640625" customWidth="1"/>
    <col min="5890" max="5890" width="12.33203125" customWidth="1"/>
    <col min="5891" max="5895" width="9.5" bestFit="1" customWidth="1"/>
    <col min="5896" max="5896" width="8.5" customWidth="1"/>
    <col min="5897" max="5897" width="24.6640625" customWidth="1"/>
    <col min="5898" max="5898" width="8.83203125" customWidth="1"/>
    <col min="5899" max="5899" width="9.5" bestFit="1" customWidth="1"/>
    <col min="5900" max="5900" width="8.83203125" customWidth="1"/>
    <col min="5901" max="5903" width="9.5" bestFit="1" customWidth="1"/>
    <col min="5904" max="6144" width="8.83203125" customWidth="1"/>
    <col min="6145" max="6145" width="24.6640625" customWidth="1"/>
    <col min="6146" max="6146" width="12.33203125" customWidth="1"/>
    <col min="6147" max="6151" width="9.5" bestFit="1" customWidth="1"/>
    <col min="6152" max="6152" width="8.5" customWidth="1"/>
    <col min="6153" max="6153" width="24.6640625" customWidth="1"/>
    <col min="6154" max="6154" width="8.83203125" customWidth="1"/>
    <col min="6155" max="6155" width="9.5" bestFit="1" customWidth="1"/>
    <col min="6156" max="6156" width="8.83203125" customWidth="1"/>
    <col min="6157" max="6159" width="9.5" bestFit="1" customWidth="1"/>
    <col min="6160" max="6400" width="8.83203125" customWidth="1"/>
    <col min="6401" max="6401" width="24.6640625" customWidth="1"/>
    <col min="6402" max="6402" width="12.33203125" customWidth="1"/>
    <col min="6403" max="6407" width="9.5" bestFit="1" customWidth="1"/>
    <col min="6408" max="6408" width="8.5" customWidth="1"/>
    <col min="6409" max="6409" width="24.6640625" customWidth="1"/>
    <col min="6410" max="6410" width="8.83203125" customWidth="1"/>
    <col min="6411" max="6411" width="9.5" bestFit="1" customWidth="1"/>
    <col min="6412" max="6412" width="8.83203125" customWidth="1"/>
    <col min="6413" max="6415" width="9.5" bestFit="1" customWidth="1"/>
    <col min="6416" max="6656" width="8.83203125" customWidth="1"/>
    <col min="6657" max="6657" width="24.6640625" customWidth="1"/>
    <col min="6658" max="6658" width="12.33203125" customWidth="1"/>
    <col min="6659" max="6663" width="9.5" bestFit="1" customWidth="1"/>
    <col min="6664" max="6664" width="8.5" customWidth="1"/>
    <col min="6665" max="6665" width="24.6640625" customWidth="1"/>
    <col min="6666" max="6666" width="8.83203125" customWidth="1"/>
    <col min="6667" max="6667" width="9.5" bestFit="1" customWidth="1"/>
    <col min="6668" max="6668" width="8.83203125" customWidth="1"/>
    <col min="6669" max="6671" width="9.5" bestFit="1" customWidth="1"/>
    <col min="6672" max="6912" width="8.83203125" customWidth="1"/>
    <col min="6913" max="6913" width="24.6640625" customWidth="1"/>
    <col min="6914" max="6914" width="12.33203125" customWidth="1"/>
    <col min="6915" max="6919" width="9.5" bestFit="1" customWidth="1"/>
    <col min="6920" max="6920" width="8.5" customWidth="1"/>
    <col min="6921" max="6921" width="24.6640625" customWidth="1"/>
    <col min="6922" max="6922" width="8.83203125" customWidth="1"/>
    <col min="6923" max="6923" width="9.5" bestFit="1" customWidth="1"/>
    <col min="6924" max="6924" width="8.83203125" customWidth="1"/>
    <col min="6925" max="6927" width="9.5" bestFit="1" customWidth="1"/>
    <col min="6928" max="7168" width="8.83203125" customWidth="1"/>
    <col min="7169" max="7169" width="24.6640625" customWidth="1"/>
    <col min="7170" max="7170" width="12.33203125" customWidth="1"/>
    <col min="7171" max="7175" width="9.5" bestFit="1" customWidth="1"/>
    <col min="7176" max="7176" width="8.5" customWidth="1"/>
    <col min="7177" max="7177" width="24.6640625" customWidth="1"/>
    <col min="7178" max="7178" width="8.83203125" customWidth="1"/>
    <col min="7179" max="7179" width="9.5" bestFit="1" customWidth="1"/>
    <col min="7180" max="7180" width="8.83203125" customWidth="1"/>
    <col min="7181" max="7183" width="9.5" bestFit="1" customWidth="1"/>
    <col min="7184" max="7424" width="8.83203125" customWidth="1"/>
    <col min="7425" max="7425" width="24.6640625" customWidth="1"/>
    <col min="7426" max="7426" width="12.33203125" customWidth="1"/>
    <col min="7427" max="7431" width="9.5" bestFit="1" customWidth="1"/>
    <col min="7432" max="7432" width="8.5" customWidth="1"/>
    <col min="7433" max="7433" width="24.6640625" customWidth="1"/>
    <col min="7434" max="7434" width="8.83203125" customWidth="1"/>
    <col min="7435" max="7435" width="9.5" bestFit="1" customWidth="1"/>
    <col min="7436" max="7436" width="8.83203125" customWidth="1"/>
    <col min="7437" max="7439" width="9.5" bestFit="1" customWidth="1"/>
    <col min="7440" max="7680" width="8.83203125" customWidth="1"/>
    <col min="7681" max="7681" width="24.6640625" customWidth="1"/>
    <col min="7682" max="7682" width="12.33203125" customWidth="1"/>
    <col min="7683" max="7687" width="9.5" bestFit="1" customWidth="1"/>
    <col min="7688" max="7688" width="8.5" customWidth="1"/>
    <col min="7689" max="7689" width="24.6640625" customWidth="1"/>
    <col min="7690" max="7690" width="8.83203125" customWidth="1"/>
    <col min="7691" max="7691" width="9.5" bestFit="1" customWidth="1"/>
    <col min="7692" max="7692" width="8.83203125" customWidth="1"/>
    <col min="7693" max="7695" width="9.5" bestFit="1" customWidth="1"/>
    <col min="7696" max="7936" width="8.83203125" customWidth="1"/>
    <col min="7937" max="7937" width="24.6640625" customWidth="1"/>
    <col min="7938" max="7938" width="12.33203125" customWidth="1"/>
    <col min="7939" max="7943" width="9.5" bestFit="1" customWidth="1"/>
    <col min="7944" max="7944" width="8.5" customWidth="1"/>
    <col min="7945" max="7945" width="24.6640625" customWidth="1"/>
    <col min="7946" max="7946" width="8.83203125" customWidth="1"/>
    <col min="7947" max="7947" width="9.5" bestFit="1" customWidth="1"/>
    <col min="7948" max="7948" width="8.83203125" customWidth="1"/>
    <col min="7949" max="7951" width="9.5" bestFit="1" customWidth="1"/>
    <col min="7952" max="8192" width="8.83203125" customWidth="1"/>
    <col min="8193" max="8193" width="24.6640625" customWidth="1"/>
    <col min="8194" max="8194" width="12.33203125" customWidth="1"/>
    <col min="8195" max="8199" width="9.5" bestFit="1" customWidth="1"/>
    <col min="8200" max="8200" width="8.5" customWidth="1"/>
    <col min="8201" max="8201" width="24.6640625" customWidth="1"/>
    <col min="8202" max="8202" width="8.83203125" customWidth="1"/>
    <col min="8203" max="8203" width="9.5" bestFit="1" customWidth="1"/>
    <col min="8204" max="8204" width="8.83203125" customWidth="1"/>
    <col min="8205" max="8207" width="9.5" bestFit="1" customWidth="1"/>
    <col min="8208" max="8448" width="8.83203125" customWidth="1"/>
    <col min="8449" max="8449" width="24.6640625" customWidth="1"/>
    <col min="8450" max="8450" width="12.33203125" customWidth="1"/>
    <col min="8451" max="8455" width="9.5" bestFit="1" customWidth="1"/>
    <col min="8456" max="8456" width="8.5" customWidth="1"/>
    <col min="8457" max="8457" width="24.6640625" customWidth="1"/>
    <col min="8458" max="8458" width="8.83203125" customWidth="1"/>
    <col min="8459" max="8459" width="9.5" bestFit="1" customWidth="1"/>
    <col min="8460" max="8460" width="8.83203125" customWidth="1"/>
    <col min="8461" max="8463" width="9.5" bestFit="1" customWidth="1"/>
    <col min="8464" max="8704" width="8.83203125" customWidth="1"/>
    <col min="8705" max="8705" width="24.6640625" customWidth="1"/>
    <col min="8706" max="8706" width="12.33203125" customWidth="1"/>
    <col min="8707" max="8711" width="9.5" bestFit="1" customWidth="1"/>
    <col min="8712" max="8712" width="8.5" customWidth="1"/>
    <col min="8713" max="8713" width="24.6640625" customWidth="1"/>
    <col min="8714" max="8714" width="8.83203125" customWidth="1"/>
    <col min="8715" max="8715" width="9.5" bestFit="1" customWidth="1"/>
    <col min="8716" max="8716" width="8.83203125" customWidth="1"/>
    <col min="8717" max="8719" width="9.5" bestFit="1" customWidth="1"/>
    <col min="8720" max="8960" width="8.83203125" customWidth="1"/>
    <col min="8961" max="8961" width="24.6640625" customWidth="1"/>
    <col min="8962" max="8962" width="12.33203125" customWidth="1"/>
    <col min="8963" max="8967" width="9.5" bestFit="1" customWidth="1"/>
    <col min="8968" max="8968" width="8.5" customWidth="1"/>
    <col min="8969" max="8969" width="24.6640625" customWidth="1"/>
    <col min="8970" max="8970" width="8.83203125" customWidth="1"/>
    <col min="8971" max="8971" width="9.5" bestFit="1" customWidth="1"/>
    <col min="8972" max="8972" width="8.83203125" customWidth="1"/>
    <col min="8973" max="8975" width="9.5" bestFit="1" customWidth="1"/>
    <col min="8976" max="9216" width="8.83203125" customWidth="1"/>
    <col min="9217" max="9217" width="24.6640625" customWidth="1"/>
    <col min="9218" max="9218" width="12.33203125" customWidth="1"/>
    <col min="9219" max="9223" width="9.5" bestFit="1" customWidth="1"/>
    <col min="9224" max="9224" width="8.5" customWidth="1"/>
    <col min="9225" max="9225" width="24.6640625" customWidth="1"/>
    <col min="9226" max="9226" width="8.83203125" customWidth="1"/>
    <col min="9227" max="9227" width="9.5" bestFit="1" customWidth="1"/>
    <col min="9228" max="9228" width="8.83203125" customWidth="1"/>
    <col min="9229" max="9231" width="9.5" bestFit="1" customWidth="1"/>
    <col min="9232" max="9472" width="8.83203125" customWidth="1"/>
    <col min="9473" max="9473" width="24.6640625" customWidth="1"/>
    <col min="9474" max="9474" width="12.33203125" customWidth="1"/>
    <col min="9475" max="9479" width="9.5" bestFit="1" customWidth="1"/>
    <col min="9480" max="9480" width="8.5" customWidth="1"/>
    <col min="9481" max="9481" width="24.6640625" customWidth="1"/>
    <col min="9482" max="9482" width="8.83203125" customWidth="1"/>
    <col min="9483" max="9483" width="9.5" bestFit="1" customWidth="1"/>
    <col min="9484" max="9484" width="8.83203125" customWidth="1"/>
    <col min="9485" max="9487" width="9.5" bestFit="1" customWidth="1"/>
    <col min="9488" max="9728" width="8.83203125" customWidth="1"/>
    <col min="9729" max="9729" width="24.6640625" customWidth="1"/>
    <col min="9730" max="9730" width="12.33203125" customWidth="1"/>
    <col min="9731" max="9735" width="9.5" bestFit="1" customWidth="1"/>
    <col min="9736" max="9736" width="8.5" customWidth="1"/>
    <col min="9737" max="9737" width="24.6640625" customWidth="1"/>
    <col min="9738" max="9738" width="8.83203125" customWidth="1"/>
    <col min="9739" max="9739" width="9.5" bestFit="1" customWidth="1"/>
    <col min="9740" max="9740" width="8.83203125" customWidth="1"/>
    <col min="9741" max="9743" width="9.5" bestFit="1" customWidth="1"/>
    <col min="9744" max="9984" width="8.83203125" customWidth="1"/>
    <col min="9985" max="9985" width="24.6640625" customWidth="1"/>
    <col min="9986" max="9986" width="12.33203125" customWidth="1"/>
    <col min="9987" max="9991" width="9.5" bestFit="1" customWidth="1"/>
    <col min="9992" max="9992" width="8.5" customWidth="1"/>
    <col min="9993" max="9993" width="24.6640625" customWidth="1"/>
    <col min="9994" max="9994" width="8.83203125" customWidth="1"/>
    <col min="9995" max="9995" width="9.5" bestFit="1" customWidth="1"/>
    <col min="9996" max="9996" width="8.83203125" customWidth="1"/>
    <col min="9997" max="9999" width="9.5" bestFit="1" customWidth="1"/>
    <col min="10000" max="10240" width="8.83203125" customWidth="1"/>
    <col min="10241" max="10241" width="24.6640625" customWidth="1"/>
    <col min="10242" max="10242" width="12.33203125" customWidth="1"/>
    <col min="10243" max="10247" width="9.5" bestFit="1" customWidth="1"/>
    <col min="10248" max="10248" width="8.5" customWidth="1"/>
    <col min="10249" max="10249" width="24.6640625" customWidth="1"/>
    <col min="10250" max="10250" width="8.83203125" customWidth="1"/>
    <col min="10251" max="10251" width="9.5" bestFit="1" customWidth="1"/>
    <col min="10252" max="10252" width="8.83203125" customWidth="1"/>
    <col min="10253" max="10255" width="9.5" bestFit="1" customWidth="1"/>
    <col min="10256" max="10496" width="8.83203125" customWidth="1"/>
    <col min="10497" max="10497" width="24.6640625" customWidth="1"/>
    <col min="10498" max="10498" width="12.33203125" customWidth="1"/>
    <col min="10499" max="10503" width="9.5" bestFit="1" customWidth="1"/>
    <col min="10504" max="10504" width="8.5" customWidth="1"/>
    <col min="10505" max="10505" width="24.6640625" customWidth="1"/>
    <col min="10506" max="10506" width="8.83203125" customWidth="1"/>
    <col min="10507" max="10507" width="9.5" bestFit="1" customWidth="1"/>
    <col min="10508" max="10508" width="8.83203125" customWidth="1"/>
    <col min="10509" max="10511" width="9.5" bestFit="1" customWidth="1"/>
    <col min="10512" max="10752" width="8.83203125" customWidth="1"/>
    <col min="10753" max="10753" width="24.6640625" customWidth="1"/>
    <col min="10754" max="10754" width="12.33203125" customWidth="1"/>
    <col min="10755" max="10759" width="9.5" bestFit="1" customWidth="1"/>
    <col min="10760" max="10760" width="8.5" customWidth="1"/>
    <col min="10761" max="10761" width="24.6640625" customWidth="1"/>
    <col min="10762" max="10762" width="8.83203125" customWidth="1"/>
    <col min="10763" max="10763" width="9.5" bestFit="1" customWidth="1"/>
    <col min="10764" max="10764" width="8.83203125" customWidth="1"/>
    <col min="10765" max="10767" width="9.5" bestFit="1" customWidth="1"/>
    <col min="10768" max="11008" width="8.83203125" customWidth="1"/>
    <col min="11009" max="11009" width="24.6640625" customWidth="1"/>
    <col min="11010" max="11010" width="12.33203125" customWidth="1"/>
    <col min="11011" max="11015" width="9.5" bestFit="1" customWidth="1"/>
    <col min="11016" max="11016" width="8.5" customWidth="1"/>
    <col min="11017" max="11017" width="24.6640625" customWidth="1"/>
    <col min="11018" max="11018" width="8.83203125" customWidth="1"/>
    <col min="11019" max="11019" width="9.5" bestFit="1" customWidth="1"/>
    <col min="11020" max="11020" width="8.83203125" customWidth="1"/>
    <col min="11021" max="11023" width="9.5" bestFit="1" customWidth="1"/>
    <col min="11024" max="11264" width="8.83203125" customWidth="1"/>
    <col min="11265" max="11265" width="24.6640625" customWidth="1"/>
    <col min="11266" max="11266" width="12.33203125" customWidth="1"/>
    <col min="11267" max="11271" width="9.5" bestFit="1" customWidth="1"/>
    <col min="11272" max="11272" width="8.5" customWidth="1"/>
    <col min="11273" max="11273" width="24.6640625" customWidth="1"/>
    <col min="11274" max="11274" width="8.83203125" customWidth="1"/>
    <col min="11275" max="11275" width="9.5" bestFit="1" customWidth="1"/>
    <col min="11276" max="11276" width="8.83203125" customWidth="1"/>
    <col min="11277" max="11279" width="9.5" bestFit="1" customWidth="1"/>
    <col min="11280" max="11520" width="8.83203125" customWidth="1"/>
    <col min="11521" max="11521" width="24.6640625" customWidth="1"/>
    <col min="11522" max="11522" width="12.33203125" customWidth="1"/>
    <col min="11523" max="11527" width="9.5" bestFit="1" customWidth="1"/>
    <col min="11528" max="11528" width="8.5" customWidth="1"/>
    <col min="11529" max="11529" width="24.6640625" customWidth="1"/>
    <col min="11530" max="11530" width="8.83203125" customWidth="1"/>
    <col min="11531" max="11531" width="9.5" bestFit="1" customWidth="1"/>
    <col min="11532" max="11532" width="8.83203125" customWidth="1"/>
    <col min="11533" max="11535" width="9.5" bestFit="1" customWidth="1"/>
    <col min="11536" max="11776" width="8.83203125" customWidth="1"/>
    <col min="11777" max="11777" width="24.6640625" customWidth="1"/>
    <col min="11778" max="11778" width="12.33203125" customWidth="1"/>
    <col min="11779" max="11783" width="9.5" bestFit="1" customWidth="1"/>
    <col min="11784" max="11784" width="8.5" customWidth="1"/>
    <col min="11785" max="11785" width="24.6640625" customWidth="1"/>
    <col min="11786" max="11786" width="8.83203125" customWidth="1"/>
    <col min="11787" max="11787" width="9.5" bestFit="1" customWidth="1"/>
    <col min="11788" max="11788" width="8.83203125" customWidth="1"/>
    <col min="11789" max="11791" width="9.5" bestFit="1" customWidth="1"/>
    <col min="11792" max="12032" width="8.83203125" customWidth="1"/>
    <col min="12033" max="12033" width="24.6640625" customWidth="1"/>
    <col min="12034" max="12034" width="12.33203125" customWidth="1"/>
    <col min="12035" max="12039" width="9.5" bestFit="1" customWidth="1"/>
    <col min="12040" max="12040" width="8.5" customWidth="1"/>
    <col min="12041" max="12041" width="24.6640625" customWidth="1"/>
    <col min="12042" max="12042" width="8.83203125" customWidth="1"/>
    <col min="12043" max="12043" width="9.5" bestFit="1" customWidth="1"/>
    <col min="12044" max="12044" width="8.83203125" customWidth="1"/>
    <col min="12045" max="12047" width="9.5" bestFit="1" customWidth="1"/>
    <col min="12048" max="12288" width="8.83203125" customWidth="1"/>
    <col min="12289" max="12289" width="24.6640625" customWidth="1"/>
    <col min="12290" max="12290" width="12.33203125" customWidth="1"/>
    <col min="12291" max="12295" width="9.5" bestFit="1" customWidth="1"/>
    <col min="12296" max="12296" width="8.5" customWidth="1"/>
    <col min="12297" max="12297" width="24.6640625" customWidth="1"/>
    <col min="12298" max="12298" width="8.83203125" customWidth="1"/>
    <col min="12299" max="12299" width="9.5" bestFit="1" customWidth="1"/>
    <col min="12300" max="12300" width="8.83203125" customWidth="1"/>
    <col min="12301" max="12303" width="9.5" bestFit="1" customWidth="1"/>
    <col min="12304" max="12544" width="8.83203125" customWidth="1"/>
    <col min="12545" max="12545" width="24.6640625" customWidth="1"/>
    <col min="12546" max="12546" width="12.33203125" customWidth="1"/>
    <col min="12547" max="12551" width="9.5" bestFit="1" customWidth="1"/>
    <col min="12552" max="12552" width="8.5" customWidth="1"/>
    <col min="12553" max="12553" width="24.6640625" customWidth="1"/>
    <col min="12554" max="12554" width="8.83203125" customWidth="1"/>
    <col min="12555" max="12555" width="9.5" bestFit="1" customWidth="1"/>
    <col min="12556" max="12556" width="8.83203125" customWidth="1"/>
    <col min="12557" max="12559" width="9.5" bestFit="1" customWidth="1"/>
    <col min="12560" max="12800" width="8.83203125" customWidth="1"/>
    <col min="12801" max="12801" width="24.6640625" customWidth="1"/>
    <col min="12802" max="12802" width="12.33203125" customWidth="1"/>
    <col min="12803" max="12807" width="9.5" bestFit="1" customWidth="1"/>
    <col min="12808" max="12808" width="8.5" customWidth="1"/>
    <col min="12809" max="12809" width="24.6640625" customWidth="1"/>
    <col min="12810" max="12810" width="8.83203125" customWidth="1"/>
    <col min="12811" max="12811" width="9.5" bestFit="1" customWidth="1"/>
    <col min="12812" max="12812" width="8.83203125" customWidth="1"/>
    <col min="12813" max="12815" width="9.5" bestFit="1" customWidth="1"/>
    <col min="12816" max="13056" width="8.83203125" customWidth="1"/>
    <col min="13057" max="13057" width="24.6640625" customWidth="1"/>
    <col min="13058" max="13058" width="12.33203125" customWidth="1"/>
    <col min="13059" max="13063" width="9.5" bestFit="1" customWidth="1"/>
    <col min="13064" max="13064" width="8.5" customWidth="1"/>
    <col min="13065" max="13065" width="24.6640625" customWidth="1"/>
    <col min="13066" max="13066" width="8.83203125" customWidth="1"/>
    <col min="13067" max="13067" width="9.5" bestFit="1" customWidth="1"/>
    <col min="13068" max="13068" width="8.83203125" customWidth="1"/>
    <col min="13069" max="13071" width="9.5" bestFit="1" customWidth="1"/>
    <col min="13072" max="13312" width="8.83203125" customWidth="1"/>
    <col min="13313" max="13313" width="24.6640625" customWidth="1"/>
    <col min="13314" max="13314" width="12.33203125" customWidth="1"/>
    <col min="13315" max="13319" width="9.5" bestFit="1" customWidth="1"/>
    <col min="13320" max="13320" width="8.5" customWidth="1"/>
    <col min="13321" max="13321" width="24.6640625" customWidth="1"/>
    <col min="13322" max="13322" width="8.83203125" customWidth="1"/>
    <col min="13323" max="13323" width="9.5" bestFit="1" customWidth="1"/>
    <col min="13324" max="13324" width="8.83203125" customWidth="1"/>
    <col min="13325" max="13327" width="9.5" bestFit="1" customWidth="1"/>
    <col min="13328" max="13568" width="8.83203125" customWidth="1"/>
    <col min="13569" max="13569" width="24.6640625" customWidth="1"/>
    <col min="13570" max="13570" width="12.33203125" customWidth="1"/>
    <col min="13571" max="13575" width="9.5" bestFit="1" customWidth="1"/>
    <col min="13576" max="13576" width="8.5" customWidth="1"/>
    <col min="13577" max="13577" width="24.6640625" customWidth="1"/>
    <col min="13578" max="13578" width="8.83203125" customWidth="1"/>
    <col min="13579" max="13579" width="9.5" bestFit="1" customWidth="1"/>
    <col min="13580" max="13580" width="8.83203125" customWidth="1"/>
    <col min="13581" max="13583" width="9.5" bestFit="1" customWidth="1"/>
    <col min="13584" max="13824" width="8.83203125" customWidth="1"/>
    <col min="13825" max="13825" width="24.6640625" customWidth="1"/>
    <col min="13826" max="13826" width="12.33203125" customWidth="1"/>
    <col min="13827" max="13831" width="9.5" bestFit="1" customWidth="1"/>
    <col min="13832" max="13832" width="8.5" customWidth="1"/>
    <col min="13833" max="13833" width="24.6640625" customWidth="1"/>
    <col min="13834" max="13834" width="8.83203125" customWidth="1"/>
    <col min="13835" max="13835" width="9.5" bestFit="1" customWidth="1"/>
    <col min="13836" max="13836" width="8.83203125" customWidth="1"/>
    <col min="13837" max="13839" width="9.5" bestFit="1" customWidth="1"/>
    <col min="13840" max="14080" width="8.83203125" customWidth="1"/>
    <col min="14081" max="14081" width="24.6640625" customWidth="1"/>
    <col min="14082" max="14082" width="12.33203125" customWidth="1"/>
    <col min="14083" max="14087" width="9.5" bestFit="1" customWidth="1"/>
    <col min="14088" max="14088" width="8.5" customWidth="1"/>
    <col min="14089" max="14089" width="24.6640625" customWidth="1"/>
    <col min="14090" max="14090" width="8.83203125" customWidth="1"/>
    <col min="14091" max="14091" width="9.5" bestFit="1" customWidth="1"/>
    <col min="14092" max="14092" width="8.83203125" customWidth="1"/>
    <col min="14093" max="14095" width="9.5" bestFit="1" customWidth="1"/>
    <col min="14096" max="14336" width="8.83203125" customWidth="1"/>
    <col min="14337" max="14337" width="24.6640625" customWidth="1"/>
    <col min="14338" max="14338" width="12.33203125" customWidth="1"/>
    <col min="14339" max="14343" width="9.5" bestFit="1" customWidth="1"/>
    <col min="14344" max="14344" width="8.5" customWidth="1"/>
    <col min="14345" max="14345" width="24.6640625" customWidth="1"/>
    <col min="14346" max="14346" width="8.83203125" customWidth="1"/>
    <col min="14347" max="14347" width="9.5" bestFit="1" customWidth="1"/>
    <col min="14348" max="14348" width="8.83203125" customWidth="1"/>
    <col min="14349" max="14351" width="9.5" bestFit="1" customWidth="1"/>
    <col min="14352" max="14592" width="8.83203125" customWidth="1"/>
    <col min="14593" max="14593" width="24.6640625" customWidth="1"/>
    <col min="14594" max="14594" width="12.33203125" customWidth="1"/>
    <col min="14595" max="14599" width="9.5" bestFit="1" customWidth="1"/>
    <col min="14600" max="14600" width="8.5" customWidth="1"/>
    <col min="14601" max="14601" width="24.6640625" customWidth="1"/>
    <col min="14602" max="14602" width="8.83203125" customWidth="1"/>
    <col min="14603" max="14603" width="9.5" bestFit="1" customWidth="1"/>
    <col min="14604" max="14604" width="8.83203125" customWidth="1"/>
    <col min="14605" max="14607" width="9.5" bestFit="1" customWidth="1"/>
    <col min="14608" max="14848" width="8.83203125" customWidth="1"/>
    <col min="14849" max="14849" width="24.6640625" customWidth="1"/>
    <col min="14850" max="14850" width="12.33203125" customWidth="1"/>
    <col min="14851" max="14855" width="9.5" bestFit="1" customWidth="1"/>
    <col min="14856" max="14856" width="8.5" customWidth="1"/>
    <col min="14857" max="14857" width="24.6640625" customWidth="1"/>
    <col min="14858" max="14858" width="8.83203125" customWidth="1"/>
    <col min="14859" max="14859" width="9.5" bestFit="1" customWidth="1"/>
    <col min="14860" max="14860" width="8.83203125" customWidth="1"/>
    <col min="14861" max="14863" width="9.5" bestFit="1" customWidth="1"/>
    <col min="14864" max="15104" width="8.83203125" customWidth="1"/>
    <col min="15105" max="15105" width="24.6640625" customWidth="1"/>
    <col min="15106" max="15106" width="12.33203125" customWidth="1"/>
    <col min="15107" max="15111" width="9.5" bestFit="1" customWidth="1"/>
    <col min="15112" max="15112" width="8.5" customWidth="1"/>
    <col min="15113" max="15113" width="24.6640625" customWidth="1"/>
    <col min="15114" max="15114" width="8.83203125" customWidth="1"/>
    <col min="15115" max="15115" width="9.5" bestFit="1" customWidth="1"/>
    <col min="15116" max="15116" width="8.83203125" customWidth="1"/>
    <col min="15117" max="15119" width="9.5" bestFit="1" customWidth="1"/>
    <col min="15120" max="15360" width="8.83203125" customWidth="1"/>
    <col min="15361" max="15361" width="24.6640625" customWidth="1"/>
    <col min="15362" max="15362" width="12.33203125" customWidth="1"/>
    <col min="15363" max="15367" width="9.5" bestFit="1" customWidth="1"/>
    <col min="15368" max="15368" width="8.5" customWidth="1"/>
    <col min="15369" max="15369" width="24.6640625" customWidth="1"/>
    <col min="15370" max="15370" width="8.83203125" customWidth="1"/>
    <col min="15371" max="15371" width="9.5" bestFit="1" customWidth="1"/>
    <col min="15372" max="15372" width="8.83203125" customWidth="1"/>
    <col min="15373" max="15375" width="9.5" bestFit="1" customWidth="1"/>
    <col min="15376" max="15616" width="8.83203125" customWidth="1"/>
    <col min="15617" max="15617" width="24.6640625" customWidth="1"/>
    <col min="15618" max="15618" width="12.33203125" customWidth="1"/>
    <col min="15619" max="15623" width="9.5" bestFit="1" customWidth="1"/>
    <col min="15624" max="15624" width="8.5" customWidth="1"/>
    <col min="15625" max="15625" width="24.6640625" customWidth="1"/>
    <col min="15626" max="15626" width="8.83203125" customWidth="1"/>
    <col min="15627" max="15627" width="9.5" bestFit="1" customWidth="1"/>
    <col min="15628" max="15628" width="8.83203125" customWidth="1"/>
    <col min="15629" max="15631" width="9.5" bestFit="1" customWidth="1"/>
    <col min="15632" max="15872" width="8.83203125" customWidth="1"/>
    <col min="15873" max="15873" width="24.6640625" customWidth="1"/>
    <col min="15874" max="15874" width="12.33203125" customWidth="1"/>
    <col min="15875" max="15879" width="9.5" bestFit="1" customWidth="1"/>
    <col min="15880" max="15880" width="8.5" customWidth="1"/>
    <col min="15881" max="15881" width="24.6640625" customWidth="1"/>
    <col min="15882" max="15882" width="8.83203125" customWidth="1"/>
    <col min="15883" max="15883" width="9.5" bestFit="1" customWidth="1"/>
    <col min="15884" max="15884" width="8.83203125" customWidth="1"/>
    <col min="15885" max="15887" width="9.5" bestFit="1" customWidth="1"/>
    <col min="15888" max="16128" width="8.83203125" customWidth="1"/>
    <col min="16129" max="16129" width="24.6640625" customWidth="1"/>
    <col min="16130" max="16130" width="12.33203125" customWidth="1"/>
    <col min="16131" max="16135" width="9.5" bestFit="1" customWidth="1"/>
    <col min="16136" max="16136" width="8.5" customWidth="1"/>
    <col min="16137" max="16137" width="24.6640625" customWidth="1"/>
    <col min="16138" max="16138" width="8.83203125" customWidth="1"/>
    <col min="16139" max="16139" width="9.5" bestFit="1" customWidth="1"/>
    <col min="16140" max="16140" width="8.83203125" customWidth="1"/>
    <col min="16141" max="16143" width="9.5" bestFit="1" customWidth="1"/>
    <col min="16144" max="16384" width="8.83203125" customWidth="1"/>
  </cols>
  <sheetData>
    <row r="1" spans="1:22" ht="19" x14ac:dyDescent="0.25">
      <c r="A1" s="107" t="s">
        <v>55</v>
      </c>
      <c r="B1" s="107"/>
      <c r="C1" s="107"/>
      <c r="D1" s="107"/>
      <c r="E1" s="107"/>
      <c r="F1" s="107"/>
    </row>
    <row r="2" spans="1:22" x14ac:dyDescent="0.2">
      <c r="A2" s="108" t="s">
        <v>56</v>
      </c>
      <c r="B2" s="108"/>
      <c r="C2" s="108"/>
      <c r="D2" s="108"/>
      <c r="E2" s="108"/>
      <c r="F2" s="108"/>
      <c r="G2" s="108"/>
    </row>
    <row r="3" spans="1:22" x14ac:dyDescent="0.2">
      <c r="A3" s="110" t="s">
        <v>57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"/>
    </row>
    <row r="4" spans="1:22" x14ac:dyDescent="0.2">
      <c r="A4" s="110" t="s">
        <v>16</v>
      </c>
      <c r="B4" s="110"/>
      <c r="C4" s="110"/>
      <c r="D4" s="1"/>
      <c r="E4" s="1"/>
      <c r="F4" s="1"/>
      <c r="G4" s="1"/>
      <c r="H4" s="1"/>
      <c r="I4" s="1"/>
      <c r="J4" s="1"/>
      <c r="K4" s="1"/>
      <c r="L4" s="1"/>
    </row>
    <row r="5" spans="1:2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" customHeight="1" x14ac:dyDescent="0.2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1"/>
    </row>
    <row r="7" spans="1:22" x14ac:dyDescent="0.2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1"/>
    </row>
    <row r="8" spans="1:22" x14ac:dyDescent="0.2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1"/>
    </row>
    <row r="9" spans="1:22" ht="19" x14ac:dyDescent="0.2">
      <c r="A9" s="44"/>
      <c r="B9" s="45"/>
      <c r="C9" s="111" t="s">
        <v>58</v>
      </c>
      <c r="D9" s="111"/>
      <c r="E9" s="45"/>
      <c r="F9" s="45"/>
      <c r="G9" s="46"/>
      <c r="H9" s="1"/>
      <c r="I9" s="1"/>
      <c r="J9" s="1"/>
      <c r="K9" s="1"/>
      <c r="L9" s="1"/>
    </row>
    <row r="10" spans="1:22" ht="16" x14ac:dyDescent="0.2">
      <c r="A10" s="122" t="s">
        <v>11</v>
      </c>
      <c r="B10" s="123"/>
      <c r="C10" s="123"/>
      <c r="D10" s="123"/>
      <c r="E10" s="123"/>
      <c r="F10" s="123"/>
      <c r="G10" s="124"/>
      <c r="H10" s="1"/>
      <c r="I10" s="1" t="s">
        <v>60</v>
      </c>
      <c r="J10" s="1"/>
      <c r="K10" s="1"/>
      <c r="L10" s="1"/>
    </row>
    <row r="11" spans="1:22" ht="32" x14ac:dyDescent="0.2">
      <c r="A11" s="2" t="s">
        <v>0</v>
      </c>
      <c r="B11" s="75" t="s">
        <v>1</v>
      </c>
      <c r="C11" s="75" t="s">
        <v>2</v>
      </c>
      <c r="D11" s="75" t="s">
        <v>3</v>
      </c>
      <c r="E11" s="75" t="s">
        <v>4</v>
      </c>
      <c r="F11" s="76" t="s">
        <v>5</v>
      </c>
      <c r="G11" s="4" t="s">
        <v>6</v>
      </c>
      <c r="H11" s="1"/>
      <c r="I11" s="1"/>
      <c r="J11" s="1"/>
      <c r="K11" s="1"/>
      <c r="L11" s="1"/>
    </row>
    <row r="12" spans="1:22" x14ac:dyDescent="0.2">
      <c r="A12" s="12" t="s">
        <v>12</v>
      </c>
      <c r="B12" s="77">
        <v>56</v>
      </c>
      <c r="C12" s="78">
        <f>B12*400</f>
        <v>22400</v>
      </c>
      <c r="D12" s="77">
        <v>2.5</v>
      </c>
      <c r="E12" s="78">
        <f>C12*D12</f>
        <v>56000</v>
      </c>
      <c r="F12" s="79">
        <f>AVERAGE(E12:E14)</f>
        <v>46000</v>
      </c>
      <c r="G12" s="16">
        <f>_xlfn.STDEV.S(E12:E14)</f>
        <v>10535.653752852739</v>
      </c>
      <c r="H12" s="1"/>
      <c r="I12" s="1"/>
      <c r="J12" s="1"/>
      <c r="K12" s="1"/>
      <c r="L12" s="1"/>
    </row>
    <row r="13" spans="1:22" x14ac:dyDescent="0.2">
      <c r="A13" s="12" t="s">
        <v>13</v>
      </c>
      <c r="B13" s="77">
        <v>47</v>
      </c>
      <c r="C13" s="78">
        <f>B13*400</f>
        <v>18800</v>
      </c>
      <c r="D13" s="77">
        <v>2.5</v>
      </c>
      <c r="E13" s="78">
        <f>C13*D13</f>
        <v>47000</v>
      </c>
      <c r="F13" s="78"/>
      <c r="G13" s="17"/>
      <c r="H13" s="1"/>
      <c r="I13" s="1"/>
      <c r="J13" s="1"/>
      <c r="K13" s="1"/>
      <c r="L13" s="1"/>
    </row>
    <row r="14" spans="1:22" x14ac:dyDescent="0.2">
      <c r="A14" s="18" t="s">
        <v>14</v>
      </c>
      <c r="B14" s="19">
        <v>35</v>
      </c>
      <c r="C14" s="20">
        <f>B14*400</f>
        <v>14000</v>
      </c>
      <c r="D14" s="19">
        <v>2.5</v>
      </c>
      <c r="E14" s="20">
        <f>C14*D14</f>
        <v>35000</v>
      </c>
      <c r="F14" s="20"/>
      <c r="G14" s="21"/>
      <c r="H14" s="1"/>
      <c r="I14" s="1"/>
      <c r="J14" s="1"/>
      <c r="K14" s="1"/>
      <c r="L14" s="1"/>
    </row>
    <row r="15" spans="1:22" ht="19" x14ac:dyDescent="0.25">
      <c r="A15" s="80"/>
      <c r="B15" s="80"/>
      <c r="C15" s="80"/>
      <c r="D15" s="80"/>
      <c r="E15" s="80"/>
      <c r="F15" s="80"/>
      <c r="G15" s="80"/>
    </row>
    <row r="16" spans="1:22" x14ac:dyDescent="0.2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</row>
    <row r="17" spans="1:15" ht="19" x14ac:dyDescent="0.25">
      <c r="A17" s="81"/>
      <c r="B17" s="82"/>
      <c r="C17" s="82"/>
      <c r="D17" s="82"/>
      <c r="E17" s="82"/>
      <c r="F17" s="82"/>
      <c r="G17" s="121" t="s">
        <v>59</v>
      </c>
      <c r="H17" s="121"/>
      <c r="I17" s="121"/>
      <c r="J17" s="82"/>
      <c r="K17" s="82"/>
      <c r="L17" s="82"/>
      <c r="M17" s="82"/>
      <c r="N17" s="82"/>
      <c r="O17" s="83"/>
    </row>
    <row r="18" spans="1:15" ht="16" x14ac:dyDescent="0.2">
      <c r="A18" s="112" t="s">
        <v>18</v>
      </c>
      <c r="B18" s="113"/>
      <c r="C18" s="113"/>
      <c r="D18" s="113"/>
      <c r="E18" s="113"/>
      <c r="F18" s="113"/>
      <c r="G18" s="114"/>
      <c r="H18" s="77"/>
      <c r="I18" s="115" t="s">
        <v>22</v>
      </c>
      <c r="J18" s="125"/>
      <c r="K18" s="125"/>
      <c r="L18" s="125"/>
      <c r="M18" s="125"/>
      <c r="N18" s="125"/>
      <c r="O18" s="117"/>
    </row>
    <row r="19" spans="1:15" ht="32" x14ac:dyDescent="0.2">
      <c r="A19" s="2" t="s">
        <v>0</v>
      </c>
      <c r="B19" s="75" t="s">
        <v>1</v>
      </c>
      <c r="C19" s="75" t="s">
        <v>2</v>
      </c>
      <c r="D19" s="75" t="s">
        <v>3</v>
      </c>
      <c r="E19" s="75" t="s">
        <v>4</v>
      </c>
      <c r="F19" s="76" t="s">
        <v>5</v>
      </c>
      <c r="G19" s="4" t="s">
        <v>6</v>
      </c>
      <c r="H19" s="77"/>
      <c r="I19" s="8" t="s">
        <v>0</v>
      </c>
      <c r="J19" s="9" t="s">
        <v>1</v>
      </c>
      <c r="K19" s="9" t="s">
        <v>2</v>
      </c>
      <c r="L19" s="9" t="s">
        <v>3</v>
      </c>
      <c r="M19" s="9" t="s">
        <v>4</v>
      </c>
      <c r="N19" s="10" t="s">
        <v>5</v>
      </c>
      <c r="O19" s="11" t="s">
        <v>6</v>
      </c>
    </row>
    <row r="20" spans="1:15" x14ac:dyDescent="0.2">
      <c r="A20" s="57" t="s">
        <v>19</v>
      </c>
      <c r="B20" s="77">
        <v>2285</v>
      </c>
      <c r="C20" s="78">
        <f>B20*400</f>
        <v>914000</v>
      </c>
      <c r="D20" s="77">
        <v>2.5</v>
      </c>
      <c r="E20" s="78">
        <f>C20*D20</f>
        <v>2285000</v>
      </c>
      <c r="F20" s="84">
        <f>AVERAGE(E20:E22)</f>
        <v>2222333.3333333335</v>
      </c>
      <c r="G20" s="16">
        <f>_xlfn.STDEV.S(E20:E22)</f>
        <v>200485.24467734111</v>
      </c>
      <c r="H20" s="77"/>
      <c r="I20" s="60" t="s">
        <v>23</v>
      </c>
      <c r="J20" s="77">
        <v>345</v>
      </c>
      <c r="K20" s="78">
        <f>J20*400</f>
        <v>138000</v>
      </c>
      <c r="L20" s="77">
        <v>2.5</v>
      </c>
      <c r="M20" s="78">
        <f>K20*L20</f>
        <v>345000</v>
      </c>
      <c r="N20" s="85">
        <f>AVERAGE(M20:M22)</f>
        <v>324333.33333333331</v>
      </c>
      <c r="O20" s="16">
        <f>_xlfn.STDEV.S(K20:K22)</f>
        <v>10153.488727197826</v>
      </c>
    </row>
    <row r="21" spans="1:15" x14ac:dyDescent="0.2">
      <c r="A21" s="57" t="s">
        <v>20</v>
      </c>
      <c r="B21" s="77">
        <v>1998</v>
      </c>
      <c r="C21" s="78">
        <f>B21*400</f>
        <v>799200</v>
      </c>
      <c r="D21" s="77">
        <v>2.5</v>
      </c>
      <c r="E21" s="78">
        <f>C21*D21</f>
        <v>1998000</v>
      </c>
      <c r="F21" s="78"/>
      <c r="G21" s="17"/>
      <c r="H21" s="77"/>
      <c r="I21" s="60" t="s">
        <v>24</v>
      </c>
      <c r="J21" s="77">
        <v>296</v>
      </c>
      <c r="K21" s="78">
        <f>J21*400</f>
        <v>118400</v>
      </c>
      <c r="L21" s="77">
        <v>2.5</v>
      </c>
      <c r="M21" s="78">
        <f>K21*L21</f>
        <v>296000</v>
      </c>
      <c r="N21" s="78"/>
      <c r="O21" s="17"/>
    </row>
    <row r="22" spans="1:15" x14ac:dyDescent="0.2">
      <c r="A22" s="58" t="s">
        <v>21</v>
      </c>
      <c r="B22" s="19">
        <v>2384</v>
      </c>
      <c r="C22" s="20">
        <f>B22*400</f>
        <v>953600</v>
      </c>
      <c r="D22" s="19">
        <v>2.5</v>
      </c>
      <c r="E22" s="20">
        <f>C22*D22</f>
        <v>2384000</v>
      </c>
      <c r="F22" s="20"/>
      <c r="G22" s="21"/>
      <c r="H22" s="77"/>
      <c r="I22" s="61" t="s">
        <v>25</v>
      </c>
      <c r="J22" s="19">
        <v>332</v>
      </c>
      <c r="K22" s="20">
        <f>J22*400</f>
        <v>132800</v>
      </c>
      <c r="L22" s="19">
        <v>2.5</v>
      </c>
      <c r="M22" s="20">
        <f>K22*L22</f>
        <v>332000</v>
      </c>
      <c r="N22" s="20"/>
      <c r="O22" s="21"/>
    </row>
    <row r="23" spans="1:15" x14ac:dyDescent="0.2">
      <c r="A23" s="12"/>
      <c r="B23" s="77"/>
      <c r="C23" s="78"/>
      <c r="D23" s="77"/>
      <c r="E23" s="78"/>
      <c r="F23" s="78"/>
      <c r="G23" s="78"/>
      <c r="H23" s="77"/>
      <c r="I23" s="86"/>
      <c r="J23" s="77"/>
      <c r="K23" s="78"/>
      <c r="L23" s="77"/>
      <c r="M23" s="78"/>
      <c r="N23" s="78"/>
      <c r="O23" s="17"/>
    </row>
    <row r="24" spans="1:15" ht="16" x14ac:dyDescent="0.2">
      <c r="A24" s="118" t="s">
        <v>26</v>
      </c>
      <c r="B24" s="119"/>
      <c r="C24" s="119"/>
      <c r="D24" s="119"/>
      <c r="E24" s="119"/>
      <c r="F24" s="119"/>
      <c r="G24" s="120"/>
      <c r="I24" s="87"/>
      <c r="J24" s="87"/>
      <c r="K24" s="87"/>
      <c r="L24" s="87"/>
      <c r="M24" s="87"/>
      <c r="N24" s="87"/>
      <c r="O24" s="88"/>
    </row>
    <row r="25" spans="1:15" ht="32" x14ac:dyDescent="0.2">
      <c r="A25" s="8" t="s">
        <v>0</v>
      </c>
      <c r="B25" s="9" t="s">
        <v>1</v>
      </c>
      <c r="C25" s="9" t="s">
        <v>2</v>
      </c>
      <c r="D25" s="9" t="s">
        <v>3</v>
      </c>
      <c r="E25" s="9" t="s">
        <v>4</v>
      </c>
      <c r="F25" s="10" t="s">
        <v>5</v>
      </c>
      <c r="G25" s="11" t="s">
        <v>6</v>
      </c>
      <c r="I25" s="77"/>
      <c r="J25" s="77"/>
      <c r="K25" s="77"/>
      <c r="L25" s="77"/>
      <c r="M25" s="77"/>
      <c r="N25" s="89"/>
      <c r="O25" s="55"/>
    </row>
    <row r="26" spans="1:15" x14ac:dyDescent="0.2">
      <c r="A26" s="12" t="s">
        <v>27</v>
      </c>
      <c r="B26" s="77">
        <v>110</v>
      </c>
      <c r="C26" s="78">
        <f>B26*400</f>
        <v>44000</v>
      </c>
      <c r="D26" s="77">
        <v>2.5</v>
      </c>
      <c r="E26" s="78">
        <f>C26*D26</f>
        <v>110000</v>
      </c>
      <c r="F26" s="79">
        <f>AVERAGE(E26:E28)</f>
        <v>109333.33333333333</v>
      </c>
      <c r="G26" s="16">
        <f>_xlfn.STDEV.S(E26:E28)</f>
        <v>6027.7137733417085</v>
      </c>
      <c r="I26" s="86"/>
      <c r="J26" s="77"/>
      <c r="K26" s="78"/>
      <c r="L26" s="77"/>
      <c r="M26" s="78"/>
      <c r="N26" s="79"/>
      <c r="O26" s="16"/>
    </row>
    <row r="27" spans="1:15" x14ac:dyDescent="0.2">
      <c r="A27" s="12" t="s">
        <v>28</v>
      </c>
      <c r="B27" s="77">
        <v>103</v>
      </c>
      <c r="C27" s="78">
        <f>B27*400</f>
        <v>41200</v>
      </c>
      <c r="D27" s="77">
        <v>2.5</v>
      </c>
      <c r="E27" s="78">
        <f>C27*D27</f>
        <v>103000</v>
      </c>
      <c r="F27" s="78"/>
      <c r="G27" s="17"/>
      <c r="I27" s="86"/>
      <c r="J27" s="77"/>
      <c r="K27" s="78"/>
      <c r="L27" s="77"/>
      <c r="M27" s="78"/>
      <c r="N27" s="78"/>
      <c r="O27" s="17"/>
    </row>
    <row r="28" spans="1:15" x14ac:dyDescent="0.2">
      <c r="A28" s="18" t="s">
        <v>29</v>
      </c>
      <c r="B28" s="19">
        <v>115</v>
      </c>
      <c r="C28" s="20">
        <f>B28*400</f>
        <v>46000</v>
      </c>
      <c r="D28" s="19">
        <v>2.5</v>
      </c>
      <c r="E28" s="20">
        <f>C28*D28</f>
        <v>115000</v>
      </c>
      <c r="F28" s="20"/>
      <c r="G28" s="21"/>
      <c r="H28" s="6"/>
      <c r="I28" s="56"/>
      <c r="J28" s="19"/>
      <c r="K28" s="20"/>
      <c r="L28" s="19"/>
      <c r="M28" s="20"/>
      <c r="N28" s="20"/>
      <c r="O28" s="21"/>
    </row>
    <row r="32" spans="1:15" x14ac:dyDescent="0.2">
      <c r="A32" s="90" t="s">
        <v>7</v>
      </c>
      <c r="F32" s="64" t="s">
        <v>8</v>
      </c>
      <c r="G32" t="s">
        <v>6</v>
      </c>
    </row>
    <row r="33" spans="1:8" x14ac:dyDescent="0.2">
      <c r="B33" s="64" t="s">
        <v>8</v>
      </c>
      <c r="C33" s="91" t="s">
        <v>6</v>
      </c>
      <c r="E33" t="s">
        <v>10</v>
      </c>
      <c r="F33" s="79">
        <v>46000</v>
      </c>
      <c r="G33" s="16">
        <v>10535.653752852739</v>
      </c>
    </row>
    <row r="34" spans="1:8" x14ac:dyDescent="0.2">
      <c r="A34" s="92" t="s">
        <v>18</v>
      </c>
      <c r="B34" s="84">
        <v>2222333.3333333335</v>
      </c>
      <c r="C34" s="16">
        <v>200485.24467734111</v>
      </c>
      <c r="D34" s="84"/>
      <c r="E34" s="84"/>
      <c r="F34" s="93"/>
      <c r="H34" s="26"/>
    </row>
    <row r="35" spans="1:8" x14ac:dyDescent="0.2">
      <c r="A35" s="32" t="s">
        <v>22</v>
      </c>
      <c r="B35" s="85">
        <v>324333.33333333331</v>
      </c>
      <c r="C35" s="16">
        <v>10153.488727197826</v>
      </c>
      <c r="D35" s="84"/>
      <c r="E35" s="84"/>
      <c r="F35" s="93"/>
    </row>
    <row r="36" spans="1:8" x14ac:dyDescent="0.2">
      <c r="A36" s="94" t="s">
        <v>26</v>
      </c>
      <c r="B36" s="79">
        <v>109333.33333333333</v>
      </c>
      <c r="C36" s="16">
        <v>6027.7137733417085</v>
      </c>
      <c r="D36" s="84"/>
      <c r="E36" s="84"/>
      <c r="F36" s="93"/>
    </row>
    <row r="37" spans="1:8" x14ac:dyDescent="0.2">
      <c r="A37" s="32"/>
      <c r="B37" s="79"/>
      <c r="C37" s="93"/>
      <c r="D37" s="95"/>
      <c r="E37" s="95"/>
    </row>
    <row r="38" spans="1:8" x14ac:dyDescent="0.2">
      <c r="B38" s="30"/>
      <c r="C38" s="96"/>
    </row>
    <row r="39" spans="1:8" x14ac:dyDescent="0.2">
      <c r="A39" s="32" t="s">
        <v>9</v>
      </c>
      <c r="B39" s="97"/>
      <c r="C39" s="98"/>
    </row>
    <row r="40" spans="1:8" x14ac:dyDescent="0.2">
      <c r="B40" s="30" t="s">
        <v>8</v>
      </c>
      <c r="C40" s="98"/>
    </row>
    <row r="41" spans="1:8" x14ac:dyDescent="0.2">
      <c r="A41" s="67" t="s">
        <v>10</v>
      </c>
      <c r="B41" s="67">
        <v>1</v>
      </c>
      <c r="C41" s="67"/>
    </row>
    <row r="42" spans="1:8" x14ac:dyDescent="0.2">
      <c r="A42" s="92" t="s">
        <v>18</v>
      </c>
      <c r="B42" s="99">
        <f>B34/F33</f>
        <v>48.311594202898554</v>
      </c>
      <c r="C42" s="99"/>
      <c r="D42" s="100"/>
      <c r="E42" s="100"/>
    </row>
    <row r="43" spans="1:8" x14ac:dyDescent="0.2">
      <c r="A43" s="32" t="s">
        <v>22</v>
      </c>
      <c r="B43" s="101">
        <f>B35/F33</f>
        <v>7.0507246376811592</v>
      </c>
      <c r="C43" s="101"/>
      <c r="D43" s="100"/>
      <c r="E43" s="100"/>
    </row>
    <row r="44" spans="1:8" x14ac:dyDescent="0.2">
      <c r="A44" s="94" t="s">
        <v>26</v>
      </c>
      <c r="B44" s="49">
        <f>B36/F33</f>
        <v>2.3768115942028984</v>
      </c>
      <c r="C44" s="49"/>
      <c r="D44" s="100"/>
      <c r="E44" s="100"/>
    </row>
    <row r="45" spans="1:8" x14ac:dyDescent="0.2">
      <c r="A45" s="32"/>
      <c r="B45" s="49"/>
      <c r="C45" s="102"/>
      <c r="D45" s="100"/>
      <c r="E45" s="100"/>
    </row>
    <row r="46" spans="1:8" x14ac:dyDescent="0.2">
      <c r="A46" s="32"/>
      <c r="B46" s="103"/>
      <c r="C46" s="98"/>
    </row>
    <row r="47" spans="1:8" x14ac:dyDescent="0.2">
      <c r="A47" s="67"/>
    </row>
    <row r="48" spans="1:8" x14ac:dyDescent="0.2">
      <c r="A48" s="92"/>
      <c r="B48" s="104"/>
    </row>
    <row r="49" spans="1:4" x14ac:dyDescent="0.2">
      <c r="A49" s="32"/>
      <c r="B49" s="105"/>
      <c r="C49" s="106"/>
      <c r="D49" s="104"/>
    </row>
    <row r="50" spans="1:4" x14ac:dyDescent="0.2">
      <c r="A50" s="94"/>
      <c r="B50" s="105"/>
      <c r="C50" s="105"/>
    </row>
  </sheetData>
  <mergeCells count="10">
    <mergeCell ref="G17:I17"/>
    <mergeCell ref="A18:G18"/>
    <mergeCell ref="I18:O18"/>
    <mergeCell ref="A24:G24"/>
    <mergeCell ref="A1:F1"/>
    <mergeCell ref="A2:G2"/>
    <mergeCell ref="A3:K3"/>
    <mergeCell ref="A4:C4"/>
    <mergeCell ref="C9:D9"/>
    <mergeCell ref="A10:G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E10E-AC1F-CC4D-8B3E-47289F10785A}">
  <dimension ref="A1:I29"/>
  <sheetViews>
    <sheetView workbookViewId="0">
      <selection activeCell="G10" sqref="G10"/>
    </sheetView>
  </sheetViews>
  <sheetFormatPr baseColWidth="10" defaultRowHeight="15" x14ac:dyDescent="0.2"/>
  <cols>
    <col min="1" max="1" width="44" customWidth="1"/>
    <col min="4" max="4" width="34.1640625" customWidth="1"/>
    <col min="7" max="7" width="33.5" customWidth="1"/>
  </cols>
  <sheetData>
    <row r="1" spans="1:9" ht="21" x14ac:dyDescent="0.25">
      <c r="A1" s="70" t="s">
        <v>36</v>
      </c>
    </row>
    <row r="3" spans="1:9" ht="44" x14ac:dyDescent="0.25">
      <c r="A3" s="71" t="s">
        <v>0</v>
      </c>
      <c r="B3" s="72" t="s">
        <v>1</v>
      </c>
    </row>
    <row r="4" spans="1:9" ht="21" x14ac:dyDescent="0.25">
      <c r="A4" s="73" t="s">
        <v>37</v>
      </c>
      <c r="B4" s="70">
        <f>'Sheet1 3w'!B13</f>
        <v>44</v>
      </c>
      <c r="G4" s="70" t="s">
        <v>41</v>
      </c>
      <c r="H4" s="70">
        <v>1</v>
      </c>
      <c r="I4" s="70">
        <f>AVERAGE(E12:E14)</f>
        <v>67.40625</v>
      </c>
    </row>
    <row r="5" spans="1:9" ht="21" x14ac:dyDescent="0.25">
      <c r="A5" s="73" t="s">
        <v>38</v>
      </c>
      <c r="B5" s="70">
        <f>'Sheet1 3w'!B14</f>
        <v>46</v>
      </c>
      <c r="G5" s="70" t="s">
        <v>43</v>
      </c>
      <c r="H5" s="70">
        <v>1</v>
      </c>
      <c r="I5" s="70">
        <f>AVERAGE(E19:E21)</f>
        <v>9.609375</v>
      </c>
    </row>
    <row r="6" spans="1:9" ht="21" x14ac:dyDescent="0.25">
      <c r="A6" s="74" t="s">
        <v>39</v>
      </c>
      <c r="B6" s="70">
        <f>'Sheet1 3w'!B15</f>
        <v>38</v>
      </c>
      <c r="G6" s="70" t="s">
        <v>42</v>
      </c>
      <c r="H6" s="70">
        <v>1</v>
      </c>
      <c r="I6" s="70">
        <f>AVERAGE(E27:E29)</f>
        <v>2.65625</v>
      </c>
    </row>
    <row r="7" spans="1:9" ht="21" x14ac:dyDescent="0.25">
      <c r="A7" s="74"/>
      <c r="B7" s="70">
        <f>AVERAGE(B4:B6)</f>
        <v>42.666666666666664</v>
      </c>
    </row>
    <row r="9" spans="1:9" ht="21" x14ac:dyDescent="0.25">
      <c r="A9" s="70" t="s">
        <v>40</v>
      </c>
      <c r="D9" s="70" t="s">
        <v>40</v>
      </c>
    </row>
    <row r="10" spans="1:9" ht="21" x14ac:dyDescent="0.25">
      <c r="A10" s="74" t="s">
        <v>41</v>
      </c>
      <c r="D10" s="74" t="s">
        <v>41</v>
      </c>
    </row>
    <row r="11" spans="1:9" ht="22" x14ac:dyDescent="0.25">
      <c r="A11" s="72" t="s">
        <v>0</v>
      </c>
      <c r="D11" s="72" t="s">
        <v>0</v>
      </c>
    </row>
    <row r="12" spans="1:9" ht="21" x14ac:dyDescent="0.25">
      <c r="A12" s="74" t="s">
        <v>19</v>
      </c>
      <c r="B12" s="70">
        <f>'Sheet1 3w'!B21</f>
        <v>2792</v>
      </c>
      <c r="D12" s="74" t="s">
        <v>19</v>
      </c>
      <c r="E12" s="70">
        <f>B12/B7</f>
        <v>65.4375</v>
      </c>
    </row>
    <row r="13" spans="1:9" ht="21" x14ac:dyDescent="0.25">
      <c r="A13" s="74" t="s">
        <v>20</v>
      </c>
      <c r="B13" s="70">
        <f>'Sheet1 3w'!B22</f>
        <v>2996</v>
      </c>
      <c r="D13" s="74" t="s">
        <v>20</v>
      </c>
      <c r="E13" s="70">
        <f>B13/B7</f>
        <v>70.21875</v>
      </c>
    </row>
    <row r="14" spans="1:9" ht="21" x14ac:dyDescent="0.25">
      <c r="A14" s="74" t="s">
        <v>21</v>
      </c>
      <c r="B14" s="70">
        <f>'Sheet1 3w'!B23</f>
        <v>2840</v>
      </c>
      <c r="D14" s="74" t="s">
        <v>21</v>
      </c>
      <c r="E14" s="70">
        <f>B14/B7</f>
        <v>66.5625</v>
      </c>
    </row>
    <row r="16" spans="1:9" ht="21" x14ac:dyDescent="0.25">
      <c r="A16" s="70" t="s">
        <v>40</v>
      </c>
      <c r="D16" s="70" t="s">
        <v>40</v>
      </c>
    </row>
    <row r="17" spans="1:5" ht="21" x14ac:dyDescent="0.25">
      <c r="A17" s="74" t="s">
        <v>43</v>
      </c>
      <c r="D17" s="74" t="s">
        <v>43</v>
      </c>
    </row>
    <row r="18" spans="1:5" ht="22" x14ac:dyDescent="0.25">
      <c r="A18" s="72" t="s">
        <v>0</v>
      </c>
      <c r="D18" s="72" t="s">
        <v>0</v>
      </c>
    </row>
    <row r="19" spans="1:5" ht="21" x14ac:dyDescent="0.25">
      <c r="A19" s="74" t="s">
        <v>23</v>
      </c>
      <c r="B19" s="70">
        <f>'Sheet1 3w'!J21</f>
        <v>424</v>
      </c>
      <c r="D19" s="74" t="s">
        <v>23</v>
      </c>
      <c r="E19" s="70">
        <f>B19/B7</f>
        <v>9.9375</v>
      </c>
    </row>
    <row r="20" spans="1:5" ht="21" x14ac:dyDescent="0.25">
      <c r="A20" s="74" t="s">
        <v>24</v>
      </c>
      <c r="B20" s="70">
        <f>'Sheet1 3w'!J22</f>
        <v>386</v>
      </c>
      <c r="D20" s="74" t="s">
        <v>24</v>
      </c>
      <c r="E20" s="70">
        <f>B20/B7</f>
        <v>9.046875</v>
      </c>
    </row>
    <row r="21" spans="1:5" ht="21" x14ac:dyDescent="0.25">
      <c r="A21" s="74" t="s">
        <v>25</v>
      </c>
      <c r="B21" s="70">
        <f>'Sheet1 3w'!J23</f>
        <v>420</v>
      </c>
      <c r="D21" s="74" t="s">
        <v>25</v>
      </c>
      <c r="E21" s="70">
        <f>B21/B7</f>
        <v>9.84375</v>
      </c>
    </row>
    <row r="22" spans="1:5" ht="21" x14ac:dyDescent="0.25">
      <c r="A22" s="72"/>
    </row>
    <row r="24" spans="1:5" ht="21" x14ac:dyDescent="0.25">
      <c r="A24" s="70" t="s">
        <v>40</v>
      </c>
      <c r="D24" s="70" t="s">
        <v>40</v>
      </c>
    </row>
    <row r="25" spans="1:5" ht="21" x14ac:dyDescent="0.25">
      <c r="A25" s="74" t="s">
        <v>42</v>
      </c>
      <c r="D25" s="74" t="s">
        <v>42</v>
      </c>
    </row>
    <row r="26" spans="1:5" ht="22" x14ac:dyDescent="0.25">
      <c r="A26" s="72" t="s">
        <v>0</v>
      </c>
      <c r="D26" s="72" t="s">
        <v>0</v>
      </c>
    </row>
    <row r="27" spans="1:5" ht="21" x14ac:dyDescent="0.25">
      <c r="A27" s="74" t="s">
        <v>27</v>
      </c>
      <c r="B27" s="70">
        <f>'Sheet1 3w'!B27</f>
        <v>134</v>
      </c>
      <c r="D27" s="74" t="s">
        <v>27</v>
      </c>
      <c r="E27" s="70">
        <f>B27/B7</f>
        <v>3.140625</v>
      </c>
    </row>
    <row r="28" spans="1:5" ht="21" x14ac:dyDescent="0.25">
      <c r="A28" s="74" t="s">
        <v>28</v>
      </c>
      <c r="B28" s="70">
        <f>'Sheet1 3w'!B28</f>
        <v>98</v>
      </c>
      <c r="D28" s="74" t="s">
        <v>28</v>
      </c>
      <c r="E28" s="70">
        <f>B28/B7</f>
        <v>2.296875</v>
      </c>
    </row>
    <row r="29" spans="1:5" ht="21" x14ac:dyDescent="0.25">
      <c r="A29" s="74" t="s">
        <v>29</v>
      </c>
      <c r="B29" s="70">
        <f>'Sheet1 3w'!B29</f>
        <v>108</v>
      </c>
      <c r="D29" s="74" t="s">
        <v>29</v>
      </c>
      <c r="E29" s="70">
        <f>B29/B7</f>
        <v>2.53125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9084-01C7-D24B-AD03-EA0A9A405ABE}">
  <dimension ref="A1:I29"/>
  <sheetViews>
    <sheetView tabSelected="1" workbookViewId="0">
      <selection activeCell="G23" sqref="G23"/>
    </sheetView>
  </sheetViews>
  <sheetFormatPr baseColWidth="10" defaultRowHeight="15" x14ac:dyDescent="0.2"/>
  <cols>
    <col min="1" max="1" width="44" customWidth="1"/>
    <col min="4" max="4" width="34.1640625" customWidth="1"/>
    <col min="7" max="7" width="33.5" customWidth="1"/>
  </cols>
  <sheetData>
    <row r="1" spans="1:9" ht="21" x14ac:dyDescent="0.25">
      <c r="A1" s="70" t="s">
        <v>36</v>
      </c>
    </row>
    <row r="3" spans="1:9" ht="44" x14ac:dyDescent="0.25">
      <c r="A3" s="71" t="s">
        <v>0</v>
      </c>
      <c r="B3" s="72" t="s">
        <v>1</v>
      </c>
    </row>
    <row r="4" spans="1:9" ht="21" x14ac:dyDescent="0.25">
      <c r="A4" s="73" t="s">
        <v>37</v>
      </c>
      <c r="B4" s="70">
        <f>'Sheet2 2.5w'!B12</f>
        <v>39</v>
      </c>
      <c r="G4" s="70" t="s">
        <v>41</v>
      </c>
      <c r="H4" s="70">
        <v>1</v>
      </c>
      <c r="I4" s="70">
        <f>AVERAGE(E12:E14)</f>
        <v>34.256198347107436</v>
      </c>
    </row>
    <row r="5" spans="1:9" ht="21" x14ac:dyDescent="0.25">
      <c r="A5" s="73" t="s">
        <v>38</v>
      </c>
      <c r="B5" s="70">
        <f>'Sheet2 2.5w'!B13</f>
        <v>44</v>
      </c>
      <c r="G5" s="70" t="s">
        <v>43</v>
      </c>
      <c r="H5" s="70">
        <v>1</v>
      </c>
      <c r="I5" s="70">
        <f>AVERAGE(E19:E21)</f>
        <v>6.9669421487603307</v>
      </c>
    </row>
    <row r="6" spans="1:9" ht="21" x14ac:dyDescent="0.25">
      <c r="A6" s="74" t="s">
        <v>39</v>
      </c>
      <c r="B6" s="70">
        <f>'Sheet2 2.5w'!B14</f>
        <v>38</v>
      </c>
      <c r="G6" s="70" t="s">
        <v>42</v>
      </c>
      <c r="H6" s="70">
        <v>1</v>
      </c>
      <c r="I6" s="70">
        <f>AVERAGE(E27:E29)</f>
        <v>2.3223140495867765</v>
      </c>
    </row>
    <row r="7" spans="1:9" ht="21" x14ac:dyDescent="0.25">
      <c r="A7" s="74"/>
      <c r="B7" s="70">
        <f>AVERAGE(B4:B6)</f>
        <v>40.333333333333336</v>
      </c>
    </row>
    <row r="9" spans="1:9" ht="21" x14ac:dyDescent="0.25">
      <c r="A9" s="70" t="s">
        <v>54</v>
      </c>
      <c r="D9" s="70" t="s">
        <v>40</v>
      </c>
    </row>
    <row r="10" spans="1:9" ht="21" x14ac:dyDescent="0.25">
      <c r="A10" s="74" t="s">
        <v>41</v>
      </c>
      <c r="D10" s="74" t="s">
        <v>41</v>
      </c>
    </row>
    <row r="11" spans="1:9" ht="22" x14ac:dyDescent="0.25">
      <c r="A11" s="72" t="s">
        <v>0</v>
      </c>
      <c r="D11" s="72" t="s">
        <v>0</v>
      </c>
    </row>
    <row r="12" spans="1:9" ht="21" x14ac:dyDescent="0.25">
      <c r="A12" s="74" t="s">
        <v>19</v>
      </c>
      <c r="B12" s="70">
        <f>'Sheet2 2.5w'!B20</f>
        <v>1320</v>
      </c>
      <c r="D12" s="74" t="s">
        <v>19</v>
      </c>
      <c r="E12" s="70">
        <f>B12/B7</f>
        <v>32.727272727272727</v>
      </c>
    </row>
    <row r="13" spans="1:9" ht="21" x14ac:dyDescent="0.25">
      <c r="A13" s="74" t="s">
        <v>20</v>
      </c>
      <c r="B13" s="70">
        <f>'Sheet2 2.5w'!B21</f>
        <v>1369</v>
      </c>
      <c r="D13" s="74" t="s">
        <v>20</v>
      </c>
      <c r="E13" s="70">
        <f>B13/B7</f>
        <v>33.942148760330575</v>
      </c>
    </row>
    <row r="14" spans="1:9" ht="21" x14ac:dyDescent="0.25">
      <c r="A14" s="74" t="s">
        <v>21</v>
      </c>
      <c r="B14" s="70">
        <f>'Sheet2 2.5w'!B22</f>
        <v>1456</v>
      </c>
      <c r="D14" s="74" t="s">
        <v>21</v>
      </c>
      <c r="E14" s="70">
        <f>B14/B7</f>
        <v>36.099173553719005</v>
      </c>
    </row>
    <row r="16" spans="1:9" ht="21" x14ac:dyDescent="0.25">
      <c r="A16" s="70" t="s">
        <v>54</v>
      </c>
      <c r="D16" s="70" t="s">
        <v>40</v>
      </c>
    </row>
    <row r="17" spans="1:5" ht="21" x14ac:dyDescent="0.25">
      <c r="A17" s="74" t="s">
        <v>43</v>
      </c>
      <c r="D17" s="74" t="s">
        <v>43</v>
      </c>
    </row>
    <row r="18" spans="1:5" ht="22" x14ac:dyDescent="0.25">
      <c r="A18" s="72" t="s">
        <v>0</v>
      </c>
      <c r="D18" s="72" t="s">
        <v>0</v>
      </c>
    </row>
    <row r="19" spans="1:5" ht="21" x14ac:dyDescent="0.25">
      <c r="A19" s="74" t="s">
        <v>23</v>
      </c>
      <c r="B19" s="70">
        <f>'Sheet2 2.5w'!J20</f>
        <v>288</v>
      </c>
      <c r="D19" s="74" t="s">
        <v>23</v>
      </c>
      <c r="E19" s="70">
        <f>B19/B7</f>
        <v>7.1404958677685944</v>
      </c>
    </row>
    <row r="20" spans="1:5" ht="21" x14ac:dyDescent="0.25">
      <c r="A20" s="74" t="s">
        <v>24</v>
      </c>
      <c r="B20" s="70">
        <f>'Sheet2 2.5w'!J21</f>
        <v>283</v>
      </c>
      <c r="D20" s="74" t="s">
        <v>24</v>
      </c>
      <c r="E20" s="70">
        <f>B20/B7</f>
        <v>7.0165289256198342</v>
      </c>
    </row>
    <row r="21" spans="1:5" ht="21" x14ac:dyDescent="0.25">
      <c r="A21" s="74" t="s">
        <v>25</v>
      </c>
      <c r="B21" s="70">
        <f>'Sheet2 2.5w'!J22</f>
        <v>272</v>
      </c>
      <c r="D21" s="74" t="s">
        <v>25</v>
      </c>
      <c r="E21" s="70">
        <f>B21/B7</f>
        <v>6.7438016528925617</v>
      </c>
    </row>
    <row r="22" spans="1:5" ht="21" x14ac:dyDescent="0.25">
      <c r="A22" s="72"/>
    </row>
    <row r="24" spans="1:5" ht="21" x14ac:dyDescent="0.25">
      <c r="A24" s="70" t="s">
        <v>54</v>
      </c>
      <c r="D24" s="70" t="s">
        <v>40</v>
      </c>
    </row>
    <row r="25" spans="1:5" ht="21" x14ac:dyDescent="0.25">
      <c r="A25" s="74" t="s">
        <v>42</v>
      </c>
      <c r="D25" s="74" t="s">
        <v>42</v>
      </c>
    </row>
    <row r="26" spans="1:5" ht="22" x14ac:dyDescent="0.25">
      <c r="A26" s="72" t="s">
        <v>0</v>
      </c>
      <c r="D26" s="72" t="s">
        <v>0</v>
      </c>
    </row>
    <row r="27" spans="1:5" ht="21" x14ac:dyDescent="0.25">
      <c r="A27" s="74" t="s">
        <v>27</v>
      </c>
      <c r="B27" s="70">
        <f>'Sheet2 2.5w'!B26</f>
        <v>100</v>
      </c>
      <c r="D27" s="74" t="s">
        <v>27</v>
      </c>
      <c r="E27" s="70">
        <f>B27/B7</f>
        <v>2.4793388429752063</v>
      </c>
    </row>
    <row r="28" spans="1:5" ht="21" x14ac:dyDescent="0.25">
      <c r="A28" s="74" t="s">
        <v>28</v>
      </c>
      <c r="B28" s="70">
        <f>'Sheet2 2.5w'!B27</f>
        <v>84</v>
      </c>
      <c r="D28" s="74" t="s">
        <v>28</v>
      </c>
      <c r="E28" s="70">
        <f>B28/B7</f>
        <v>2.0826446280991733</v>
      </c>
    </row>
    <row r="29" spans="1:5" ht="21" x14ac:dyDescent="0.25">
      <c r="A29" s="74" t="s">
        <v>29</v>
      </c>
      <c r="B29" s="70">
        <f>'Sheet2 2.5w'!B28</f>
        <v>97</v>
      </c>
      <c r="D29" s="74" t="s">
        <v>29</v>
      </c>
      <c r="E29" s="70">
        <f>B29/B7</f>
        <v>2.4049586776859502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F621-3334-0148-92D5-58D310A4C6E9}">
  <dimension ref="A1:I29"/>
  <sheetViews>
    <sheetView workbookViewId="0">
      <selection activeCell="G19" sqref="G19"/>
    </sheetView>
  </sheetViews>
  <sheetFormatPr baseColWidth="10" defaultRowHeight="15" x14ac:dyDescent="0.2"/>
  <cols>
    <col min="1" max="1" width="44" customWidth="1"/>
    <col min="4" max="4" width="34.1640625" customWidth="1"/>
    <col min="7" max="7" width="33.5" customWidth="1"/>
  </cols>
  <sheetData>
    <row r="1" spans="1:9" ht="21" x14ac:dyDescent="0.25">
      <c r="A1" s="70" t="s">
        <v>36</v>
      </c>
    </row>
    <row r="3" spans="1:9" ht="44" x14ac:dyDescent="0.25">
      <c r="A3" s="71" t="s">
        <v>0</v>
      </c>
      <c r="B3" s="72" t="s">
        <v>1</v>
      </c>
    </row>
    <row r="4" spans="1:9" ht="21" x14ac:dyDescent="0.25">
      <c r="A4" s="73" t="s">
        <v>37</v>
      </c>
      <c r="B4" s="70">
        <f>'Sheet3 2.5w'!B12</f>
        <v>40</v>
      </c>
      <c r="G4" s="70" t="s">
        <v>41</v>
      </c>
      <c r="H4" s="70">
        <v>1</v>
      </c>
      <c r="I4" s="70">
        <f>AVERAGE(E12:E14)</f>
        <v>35.390977443609025</v>
      </c>
    </row>
    <row r="5" spans="1:9" ht="21" x14ac:dyDescent="0.25">
      <c r="A5" s="73" t="s">
        <v>38</v>
      </c>
      <c r="B5" s="70">
        <f>'Sheet3 2.5w'!B13</f>
        <v>42</v>
      </c>
      <c r="G5" s="70" t="s">
        <v>43</v>
      </c>
      <c r="H5" s="70">
        <v>1</v>
      </c>
      <c r="I5" s="70">
        <f>AVERAGE(E19:E21)</f>
        <v>7.3458646616541357</v>
      </c>
    </row>
    <row r="6" spans="1:9" ht="21" x14ac:dyDescent="0.25">
      <c r="A6" s="74" t="s">
        <v>39</v>
      </c>
      <c r="B6" s="70">
        <f>'Sheet3 2.5w'!B14</f>
        <v>51</v>
      </c>
      <c r="G6" s="70" t="s">
        <v>42</v>
      </c>
      <c r="H6" s="70">
        <v>1</v>
      </c>
      <c r="I6" s="70">
        <f>AVERAGE(E27:E29)</f>
        <v>2.4135338345864659</v>
      </c>
    </row>
    <row r="7" spans="1:9" ht="21" x14ac:dyDescent="0.25">
      <c r="A7" s="74"/>
      <c r="B7" s="70">
        <f>AVERAGE(B4:B6)</f>
        <v>44.333333333333336</v>
      </c>
    </row>
    <row r="9" spans="1:9" ht="21" x14ac:dyDescent="0.25">
      <c r="A9" s="70" t="s">
        <v>54</v>
      </c>
      <c r="D9" s="70" t="s">
        <v>40</v>
      </c>
    </row>
    <row r="10" spans="1:9" ht="21" x14ac:dyDescent="0.25">
      <c r="A10" s="74" t="s">
        <v>41</v>
      </c>
      <c r="D10" s="74" t="s">
        <v>41</v>
      </c>
    </row>
    <row r="11" spans="1:9" ht="22" x14ac:dyDescent="0.25">
      <c r="A11" s="72" t="s">
        <v>0</v>
      </c>
      <c r="D11" s="72" t="s">
        <v>0</v>
      </c>
    </row>
    <row r="12" spans="1:9" ht="21" x14ac:dyDescent="0.25">
      <c r="A12" s="74" t="s">
        <v>19</v>
      </c>
      <c r="B12" s="70">
        <f>'Sheet3 2.5w'!B20</f>
        <v>1617</v>
      </c>
      <c r="D12" s="74" t="s">
        <v>19</v>
      </c>
      <c r="E12" s="70">
        <f>B12/B7</f>
        <v>36.473684210526315</v>
      </c>
    </row>
    <row r="13" spans="1:9" ht="21" x14ac:dyDescent="0.25">
      <c r="A13" s="74" t="s">
        <v>20</v>
      </c>
      <c r="B13" s="70">
        <f>'Sheet3 2.5w'!B21</f>
        <v>1533</v>
      </c>
      <c r="D13" s="74" t="s">
        <v>20</v>
      </c>
      <c r="E13" s="70">
        <f>B13/B7</f>
        <v>34.578947368421048</v>
      </c>
    </row>
    <row r="14" spans="1:9" ht="21" x14ac:dyDescent="0.25">
      <c r="A14" s="74" t="s">
        <v>21</v>
      </c>
      <c r="B14" s="70">
        <f>'Sheet3 2.5w'!B22</f>
        <v>1557</v>
      </c>
      <c r="D14" s="74" t="s">
        <v>21</v>
      </c>
      <c r="E14" s="70">
        <f>B14/B7</f>
        <v>35.120300751879697</v>
      </c>
    </row>
    <row r="16" spans="1:9" ht="21" x14ac:dyDescent="0.25">
      <c r="A16" s="70" t="s">
        <v>54</v>
      </c>
      <c r="D16" s="70" t="s">
        <v>40</v>
      </c>
    </row>
    <row r="17" spans="1:5" ht="21" x14ac:dyDescent="0.25">
      <c r="A17" s="74" t="s">
        <v>43</v>
      </c>
      <c r="D17" s="74" t="s">
        <v>43</v>
      </c>
    </row>
    <row r="18" spans="1:5" ht="22" x14ac:dyDescent="0.25">
      <c r="A18" s="72" t="s">
        <v>0</v>
      </c>
      <c r="D18" s="72" t="s">
        <v>0</v>
      </c>
    </row>
    <row r="19" spans="1:5" ht="21" x14ac:dyDescent="0.25">
      <c r="A19" s="74" t="s">
        <v>23</v>
      </c>
      <c r="B19" s="70">
        <f>'Sheet3 2.5w'!J20</f>
        <v>308</v>
      </c>
      <c r="D19" s="74" t="s">
        <v>23</v>
      </c>
      <c r="E19" s="70">
        <f>B19/B7</f>
        <v>6.947368421052631</v>
      </c>
    </row>
    <row r="20" spans="1:5" ht="21" x14ac:dyDescent="0.25">
      <c r="A20" s="74" t="s">
        <v>24</v>
      </c>
      <c r="B20" s="70">
        <f>'Sheet3 2.5w'!J21</f>
        <v>347</v>
      </c>
      <c r="D20" s="74" t="s">
        <v>24</v>
      </c>
      <c r="E20" s="70">
        <f>B20/B7</f>
        <v>7.8270676691729317</v>
      </c>
    </row>
    <row r="21" spans="1:5" ht="21" x14ac:dyDescent="0.25">
      <c r="A21" s="74" t="s">
        <v>25</v>
      </c>
      <c r="B21" s="70">
        <f>'Sheet3 2.5w'!J22</f>
        <v>322</v>
      </c>
      <c r="D21" s="74" t="s">
        <v>25</v>
      </c>
      <c r="E21" s="70">
        <f>B21/B7</f>
        <v>7.2631578947368416</v>
      </c>
    </row>
    <row r="22" spans="1:5" ht="21" x14ac:dyDescent="0.25">
      <c r="A22" s="72"/>
    </row>
    <row r="24" spans="1:5" ht="21" x14ac:dyDescent="0.25">
      <c r="A24" s="70" t="s">
        <v>54</v>
      </c>
      <c r="D24" s="70" t="s">
        <v>40</v>
      </c>
    </row>
    <row r="25" spans="1:5" ht="21" x14ac:dyDescent="0.25">
      <c r="A25" s="74" t="s">
        <v>42</v>
      </c>
      <c r="D25" s="74" t="s">
        <v>42</v>
      </c>
    </row>
    <row r="26" spans="1:5" ht="22" x14ac:dyDescent="0.25">
      <c r="A26" s="72" t="s">
        <v>0</v>
      </c>
      <c r="D26" s="72" t="s">
        <v>0</v>
      </c>
    </row>
    <row r="27" spans="1:5" ht="21" x14ac:dyDescent="0.25">
      <c r="A27" s="74" t="s">
        <v>27</v>
      </c>
      <c r="B27" s="70">
        <f>'Sheet3 2.5w'!B26</f>
        <v>102</v>
      </c>
      <c r="D27" s="74" t="s">
        <v>27</v>
      </c>
      <c r="E27" s="70">
        <f>B27/B7</f>
        <v>2.3007518796992481</v>
      </c>
    </row>
    <row r="28" spans="1:5" ht="21" x14ac:dyDescent="0.25">
      <c r="A28" s="74" t="s">
        <v>28</v>
      </c>
      <c r="B28" s="70">
        <f>'Sheet3 2.5w'!B27</f>
        <v>112</v>
      </c>
      <c r="D28" s="74" t="s">
        <v>28</v>
      </c>
      <c r="E28" s="70">
        <f>B28/B7</f>
        <v>2.5263157894736841</v>
      </c>
    </row>
    <row r="29" spans="1:5" ht="21" x14ac:dyDescent="0.25">
      <c r="A29" s="74" t="s">
        <v>29</v>
      </c>
      <c r="B29" s="70">
        <f>'Sheet3 2.5w'!B28</f>
        <v>107</v>
      </c>
      <c r="D29" s="74" t="s">
        <v>29</v>
      </c>
      <c r="E29" s="70">
        <f>B29/B7</f>
        <v>2.4135338345864659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210D-99C0-5F4A-8A70-4C50556B24D8}">
  <dimension ref="A1:I29"/>
  <sheetViews>
    <sheetView workbookViewId="0">
      <selection activeCell="F28" sqref="F28"/>
    </sheetView>
  </sheetViews>
  <sheetFormatPr baseColWidth="10" defaultRowHeight="15" x14ac:dyDescent="0.2"/>
  <cols>
    <col min="1" max="1" width="44" customWidth="1"/>
    <col min="4" max="4" width="34.1640625" customWidth="1"/>
    <col min="7" max="7" width="33.5" customWidth="1"/>
  </cols>
  <sheetData>
    <row r="1" spans="1:9" ht="21" x14ac:dyDescent="0.25">
      <c r="A1" s="70" t="s">
        <v>36</v>
      </c>
    </row>
    <row r="3" spans="1:9" ht="44" x14ac:dyDescent="0.25">
      <c r="A3" s="71" t="s">
        <v>0</v>
      </c>
      <c r="B3" s="72" t="s">
        <v>1</v>
      </c>
    </row>
    <row r="4" spans="1:9" ht="21" x14ac:dyDescent="0.25">
      <c r="A4" s="73" t="s">
        <v>37</v>
      </c>
      <c r="B4" s="70">
        <f>'Sheet4 2.5w'!B12</f>
        <v>56</v>
      </c>
      <c r="G4" s="70" t="s">
        <v>41</v>
      </c>
      <c r="H4" s="70">
        <v>1</v>
      </c>
      <c r="I4" s="70">
        <f>AVERAGE(E12:E14)</f>
        <v>48.311594202898554</v>
      </c>
    </row>
    <row r="5" spans="1:9" ht="21" x14ac:dyDescent="0.25">
      <c r="A5" s="73" t="s">
        <v>38</v>
      </c>
      <c r="B5" s="70">
        <f>'Sheet4 2.5w'!B13</f>
        <v>47</v>
      </c>
      <c r="G5" s="70" t="s">
        <v>43</v>
      </c>
      <c r="H5" s="70">
        <v>1</v>
      </c>
      <c r="I5" s="70">
        <f>AVERAGE(E19:E21)</f>
        <v>7.0507246376811592</v>
      </c>
    </row>
    <row r="6" spans="1:9" ht="21" x14ac:dyDescent="0.25">
      <c r="A6" s="74" t="s">
        <v>39</v>
      </c>
      <c r="B6" s="70">
        <f>'Sheet4 2.5w'!B14</f>
        <v>35</v>
      </c>
      <c r="G6" s="70" t="s">
        <v>42</v>
      </c>
      <c r="H6" s="70">
        <v>1</v>
      </c>
      <c r="I6" s="70">
        <f>AVERAGE(E27:E29)</f>
        <v>2.3768115942028984</v>
      </c>
    </row>
    <row r="7" spans="1:9" ht="21" x14ac:dyDescent="0.25">
      <c r="A7" s="74"/>
      <c r="B7" s="70">
        <f>AVERAGE(B4:B6)</f>
        <v>46</v>
      </c>
    </row>
    <row r="9" spans="1:9" ht="21" x14ac:dyDescent="0.25">
      <c r="A9" s="70" t="s">
        <v>54</v>
      </c>
      <c r="D9" s="70" t="s">
        <v>40</v>
      </c>
    </row>
    <row r="10" spans="1:9" ht="21" x14ac:dyDescent="0.25">
      <c r="A10" s="74" t="s">
        <v>41</v>
      </c>
      <c r="D10" s="74" t="s">
        <v>41</v>
      </c>
    </row>
    <row r="11" spans="1:9" ht="22" x14ac:dyDescent="0.25">
      <c r="A11" s="72" t="s">
        <v>0</v>
      </c>
      <c r="D11" s="72" t="s">
        <v>0</v>
      </c>
    </row>
    <row r="12" spans="1:9" ht="21" x14ac:dyDescent="0.25">
      <c r="A12" s="74" t="s">
        <v>19</v>
      </c>
      <c r="B12" s="70">
        <f>'Sheet4 2.5w'!B20</f>
        <v>2285</v>
      </c>
      <c r="D12" s="74" t="s">
        <v>19</v>
      </c>
      <c r="E12" s="70">
        <f>B12/B7</f>
        <v>49.673913043478258</v>
      </c>
    </row>
    <row r="13" spans="1:9" ht="21" x14ac:dyDescent="0.25">
      <c r="A13" s="74" t="s">
        <v>20</v>
      </c>
      <c r="B13" s="70">
        <f>'Sheet4 2.5w'!B21</f>
        <v>1998</v>
      </c>
      <c r="D13" s="74" t="s">
        <v>20</v>
      </c>
      <c r="E13" s="70">
        <f>B13/B7</f>
        <v>43.434782608695649</v>
      </c>
    </row>
    <row r="14" spans="1:9" ht="21" x14ac:dyDescent="0.25">
      <c r="A14" s="74" t="s">
        <v>21</v>
      </c>
      <c r="B14" s="70">
        <f>'Sheet4 2.5w'!B22</f>
        <v>2384</v>
      </c>
      <c r="D14" s="74" t="s">
        <v>21</v>
      </c>
      <c r="E14" s="70">
        <f>B14/B7</f>
        <v>51.826086956521742</v>
      </c>
    </row>
    <row r="16" spans="1:9" ht="21" x14ac:dyDescent="0.25">
      <c r="A16" s="70" t="s">
        <v>54</v>
      </c>
      <c r="D16" s="70" t="s">
        <v>40</v>
      </c>
    </row>
    <row r="17" spans="1:5" ht="21" x14ac:dyDescent="0.25">
      <c r="A17" s="74" t="s">
        <v>43</v>
      </c>
      <c r="D17" s="74" t="s">
        <v>43</v>
      </c>
    </row>
    <row r="18" spans="1:5" ht="22" x14ac:dyDescent="0.25">
      <c r="A18" s="72" t="s">
        <v>0</v>
      </c>
      <c r="D18" s="72" t="s">
        <v>0</v>
      </c>
    </row>
    <row r="19" spans="1:5" ht="21" x14ac:dyDescent="0.25">
      <c r="A19" s="74" t="s">
        <v>23</v>
      </c>
      <c r="B19" s="70">
        <f>'Sheet4 2.5w'!J20</f>
        <v>345</v>
      </c>
      <c r="D19" s="74" t="s">
        <v>23</v>
      </c>
      <c r="E19" s="70">
        <f>B19/B7</f>
        <v>7.5</v>
      </c>
    </row>
    <row r="20" spans="1:5" ht="21" x14ac:dyDescent="0.25">
      <c r="A20" s="74" t="s">
        <v>24</v>
      </c>
      <c r="B20" s="70">
        <f>'Sheet4 2.5w'!J21</f>
        <v>296</v>
      </c>
      <c r="D20" s="74" t="s">
        <v>24</v>
      </c>
      <c r="E20" s="70">
        <f>B20/B7</f>
        <v>6.4347826086956523</v>
      </c>
    </row>
    <row r="21" spans="1:5" ht="21" x14ac:dyDescent="0.25">
      <c r="A21" s="74" t="s">
        <v>25</v>
      </c>
      <c r="B21" s="70">
        <f>'Sheet4 2.5w'!J22</f>
        <v>332</v>
      </c>
      <c r="D21" s="74" t="s">
        <v>25</v>
      </c>
      <c r="E21" s="70">
        <f>B21/B7</f>
        <v>7.2173913043478262</v>
      </c>
    </row>
    <row r="22" spans="1:5" ht="21" x14ac:dyDescent="0.25">
      <c r="A22" s="72"/>
    </row>
    <row r="24" spans="1:5" ht="21" x14ac:dyDescent="0.25">
      <c r="A24" s="70" t="s">
        <v>54</v>
      </c>
      <c r="D24" s="70" t="s">
        <v>40</v>
      </c>
    </row>
    <row r="25" spans="1:5" ht="21" x14ac:dyDescent="0.25">
      <c r="A25" s="74" t="s">
        <v>42</v>
      </c>
      <c r="D25" s="74" t="s">
        <v>42</v>
      </c>
    </row>
    <row r="26" spans="1:5" ht="22" x14ac:dyDescent="0.25">
      <c r="A26" s="72" t="s">
        <v>0</v>
      </c>
      <c r="D26" s="72" t="s">
        <v>0</v>
      </c>
    </row>
    <row r="27" spans="1:5" ht="21" x14ac:dyDescent="0.25">
      <c r="A27" s="74" t="s">
        <v>27</v>
      </c>
      <c r="B27" s="70">
        <f>'Sheet4 2.5w'!B26</f>
        <v>110</v>
      </c>
      <c r="D27" s="74" t="s">
        <v>27</v>
      </c>
      <c r="E27" s="70">
        <f>B27/B7</f>
        <v>2.3913043478260869</v>
      </c>
    </row>
    <row r="28" spans="1:5" ht="21" x14ac:dyDescent="0.25">
      <c r="A28" s="74" t="s">
        <v>28</v>
      </c>
      <c r="B28" s="70">
        <f>'Sheet4 2.5w'!B27</f>
        <v>103</v>
      </c>
      <c r="D28" s="74" t="s">
        <v>28</v>
      </c>
      <c r="E28" s="70">
        <f>B28/B7</f>
        <v>2.2391304347826089</v>
      </c>
    </row>
    <row r="29" spans="1:5" ht="21" x14ac:dyDescent="0.25">
      <c r="A29" s="74" t="s">
        <v>29</v>
      </c>
      <c r="B29" s="70">
        <f>'Sheet4 2.5w'!B28</f>
        <v>115</v>
      </c>
      <c r="D29" s="74" t="s">
        <v>29</v>
      </c>
      <c r="E29" s="70">
        <f>B29/B7</f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 3w</vt:lpstr>
      <vt:lpstr>Sheet2 2.5w</vt:lpstr>
      <vt:lpstr>Sheet3 2.5w</vt:lpstr>
      <vt:lpstr>Sheet4 2.5w</vt:lpstr>
      <vt:lpstr>Rep1 3w</vt:lpstr>
      <vt:lpstr>Rep2 2.5w</vt:lpstr>
      <vt:lpstr>Rep3 2.5w</vt:lpstr>
      <vt:lpstr>Rep4 2.5w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Marie Demas</dc:creator>
  <cp:lastModifiedBy>Microsoft Office User</cp:lastModifiedBy>
  <dcterms:created xsi:type="dcterms:W3CDTF">2018-09-24T18:58:03Z</dcterms:created>
  <dcterms:modified xsi:type="dcterms:W3CDTF">2021-04-10T01:03:51Z</dcterms:modified>
</cp:coreProperties>
</file>