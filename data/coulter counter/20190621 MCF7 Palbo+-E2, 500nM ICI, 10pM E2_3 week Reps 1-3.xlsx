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raftsman/Documents/Wei He/Blacksburg/Study/research/R01/E2ER model long term/"/>
    </mc:Choice>
  </mc:AlternateContent>
  <xr:revisionPtr revIDLastSave="0" documentId="13_ncr:1_{C8631517-23F6-F044-B4EE-C34EB68C3F27}" xr6:coauthVersionLast="37" xr6:coauthVersionMax="37" xr10:uidLastSave="{00000000-0000-0000-0000-000000000000}"/>
  <bookViews>
    <workbookView xWindow="5840" yWindow="460" windowWidth="29680" windowHeight="21480" activeTab="6" xr2:uid="{00000000-000D-0000-FFFF-FFFF00000000}"/>
  </bookViews>
  <sheets>
    <sheet name="Rep1" sheetId="7" r:id="rId1"/>
    <sheet name="Rep2" sheetId="9" r:id="rId2"/>
    <sheet name="Sheet2" sheetId="11" r:id="rId3"/>
    <sheet name="Rep3" sheetId="10" r:id="rId4"/>
    <sheet name="Sheet3" sheetId="12" r:id="rId5"/>
    <sheet name="Rep4" sheetId="13" r:id="rId6"/>
    <sheet name="Sheet4" sheetId="14" r:id="rId7"/>
  </sheets>
  <calcPr calcId="179021"/>
</workbook>
</file>

<file path=xl/calcChain.xml><?xml version="1.0" encoding="utf-8"?>
<calcChain xmlns="http://schemas.openxmlformats.org/spreadsheetml/2006/main">
  <c r="K48" i="14" l="1"/>
  <c r="H48" i="14"/>
  <c r="K47" i="14"/>
  <c r="Q14" i="14" s="1"/>
  <c r="H47" i="14"/>
  <c r="Q13" i="14" s="1"/>
  <c r="K46" i="14"/>
  <c r="H46" i="14"/>
  <c r="K42" i="14"/>
  <c r="H42" i="14"/>
  <c r="K41" i="14"/>
  <c r="H41" i="14"/>
  <c r="K40" i="14"/>
  <c r="Q12" i="14" s="1"/>
  <c r="H40" i="14"/>
  <c r="Q11" i="14" s="1"/>
  <c r="K34" i="14"/>
  <c r="H34" i="14"/>
  <c r="K33" i="14"/>
  <c r="H33" i="14"/>
  <c r="P13" i="14" s="1"/>
  <c r="K32" i="14"/>
  <c r="H32" i="14"/>
  <c r="K28" i="14"/>
  <c r="H28" i="14"/>
  <c r="K27" i="14"/>
  <c r="H27" i="14"/>
  <c r="K26" i="14"/>
  <c r="P12" i="14" s="1"/>
  <c r="H26" i="14"/>
  <c r="K20" i="14"/>
  <c r="H20" i="14"/>
  <c r="K19" i="14"/>
  <c r="O14" i="14" s="1"/>
  <c r="H19" i="14"/>
  <c r="O13" i="14" s="1"/>
  <c r="K18" i="14"/>
  <c r="H18" i="14"/>
  <c r="P14" i="14"/>
  <c r="K14" i="14"/>
  <c r="H14" i="14"/>
  <c r="K13" i="14"/>
  <c r="H13" i="14"/>
  <c r="O11" i="14" s="1"/>
  <c r="K12" i="14"/>
  <c r="H12" i="14"/>
  <c r="D66" i="13"/>
  <c r="C66" i="13"/>
  <c r="B66" i="13"/>
  <c r="D65" i="13"/>
  <c r="C65" i="13"/>
  <c r="B65" i="13"/>
  <c r="D64" i="13"/>
  <c r="C64" i="13"/>
  <c r="B64" i="13"/>
  <c r="D63" i="13"/>
  <c r="C63" i="13"/>
  <c r="B63" i="13"/>
  <c r="K53" i="13"/>
  <c r="M53" i="13" s="1"/>
  <c r="E53" i="13"/>
  <c r="C53" i="13"/>
  <c r="K52" i="13"/>
  <c r="M52" i="13" s="1"/>
  <c r="O51" i="13" s="1"/>
  <c r="E52" i="13"/>
  <c r="C52" i="13"/>
  <c r="M51" i="13"/>
  <c r="K51" i="13"/>
  <c r="G51" i="13"/>
  <c r="E51" i="13"/>
  <c r="F51" i="13" s="1"/>
  <c r="C51" i="13"/>
  <c r="M47" i="13"/>
  <c r="K47" i="13"/>
  <c r="E47" i="13"/>
  <c r="C47" i="13"/>
  <c r="M46" i="13"/>
  <c r="K46" i="13"/>
  <c r="E46" i="13"/>
  <c r="C46" i="13"/>
  <c r="O45" i="13"/>
  <c r="M45" i="13"/>
  <c r="N45" i="13" s="1"/>
  <c r="K45" i="13"/>
  <c r="G45" i="13"/>
  <c r="E45" i="13"/>
  <c r="F45" i="13" s="1"/>
  <c r="C45" i="13"/>
  <c r="M38" i="13"/>
  <c r="K38" i="13"/>
  <c r="E38" i="13"/>
  <c r="C38" i="13"/>
  <c r="M37" i="13"/>
  <c r="K37" i="13"/>
  <c r="E37" i="13"/>
  <c r="C37" i="13"/>
  <c r="O36" i="13"/>
  <c r="M36" i="13"/>
  <c r="N36" i="13" s="1"/>
  <c r="K36" i="13"/>
  <c r="G36" i="13"/>
  <c r="E36" i="13"/>
  <c r="F36" i="13" s="1"/>
  <c r="C36" i="13"/>
  <c r="M32" i="13"/>
  <c r="K32" i="13"/>
  <c r="E32" i="13"/>
  <c r="C32" i="13"/>
  <c r="M31" i="13"/>
  <c r="K31" i="13"/>
  <c r="E31" i="13"/>
  <c r="C31" i="13"/>
  <c r="O30" i="13"/>
  <c r="M30" i="13"/>
  <c r="N30" i="13" s="1"/>
  <c r="K30" i="13"/>
  <c r="G30" i="13"/>
  <c r="E30" i="13"/>
  <c r="F30" i="13" s="1"/>
  <c r="C30" i="13"/>
  <c r="M23" i="13"/>
  <c r="K23" i="13"/>
  <c r="E23" i="13"/>
  <c r="C23" i="13"/>
  <c r="M22" i="13"/>
  <c r="K22" i="13"/>
  <c r="E22" i="13"/>
  <c r="C22" i="13"/>
  <c r="O21" i="13"/>
  <c r="M21" i="13"/>
  <c r="N21" i="13" s="1"/>
  <c r="K21" i="13"/>
  <c r="G21" i="13"/>
  <c r="E21" i="13"/>
  <c r="F21" i="13" s="1"/>
  <c r="C21" i="13"/>
  <c r="M17" i="13"/>
  <c r="K17" i="13"/>
  <c r="E17" i="13"/>
  <c r="C17" i="13"/>
  <c r="M16" i="13"/>
  <c r="K16" i="13"/>
  <c r="E16" i="13"/>
  <c r="C16" i="13"/>
  <c r="O15" i="13"/>
  <c r="M15" i="13"/>
  <c r="N15" i="13" s="1"/>
  <c r="K15" i="13"/>
  <c r="G15" i="13"/>
  <c r="E15" i="13"/>
  <c r="F15" i="13" s="1"/>
  <c r="C15" i="13"/>
  <c r="E10" i="13"/>
  <c r="C10" i="13"/>
  <c r="E9" i="13"/>
  <c r="C9" i="13"/>
  <c r="G8" i="13"/>
  <c r="E8" i="13"/>
  <c r="F8" i="13" s="1"/>
  <c r="C8" i="13"/>
  <c r="P11" i="14" l="1"/>
  <c r="O12" i="14"/>
  <c r="N51" i="13"/>
  <c r="K48" i="12"/>
  <c r="H48" i="12"/>
  <c r="K47" i="12"/>
  <c r="H47" i="12"/>
  <c r="Q13" i="12" s="1"/>
  <c r="K46" i="12"/>
  <c r="H46" i="12"/>
  <c r="K42" i="12"/>
  <c r="H42" i="12"/>
  <c r="K41" i="12"/>
  <c r="H41" i="12"/>
  <c r="K40" i="12"/>
  <c r="Q12" i="12" s="1"/>
  <c r="H40" i="12"/>
  <c r="K34" i="12"/>
  <c r="H34" i="12"/>
  <c r="K33" i="12"/>
  <c r="H33" i="12"/>
  <c r="P13" i="12" s="1"/>
  <c r="K32" i="12"/>
  <c r="H32" i="12"/>
  <c r="K28" i="12"/>
  <c r="H28" i="12"/>
  <c r="K27" i="12"/>
  <c r="H27" i="12"/>
  <c r="K26" i="12"/>
  <c r="P12" i="12" s="1"/>
  <c r="H26" i="12"/>
  <c r="P11" i="12" s="1"/>
  <c r="K20" i="12"/>
  <c r="H20" i="12"/>
  <c r="K19" i="12"/>
  <c r="O14" i="12" s="1"/>
  <c r="H19" i="12"/>
  <c r="O13" i="12" s="1"/>
  <c r="K18" i="12"/>
  <c r="H18" i="12"/>
  <c r="Q14" i="12"/>
  <c r="K14" i="12"/>
  <c r="H14" i="12"/>
  <c r="K13" i="12"/>
  <c r="H13" i="12"/>
  <c r="O11" i="12" s="1"/>
  <c r="K12" i="12"/>
  <c r="H12" i="12"/>
  <c r="Q11" i="12" l="1"/>
  <c r="P14" i="12"/>
  <c r="O12" i="12"/>
  <c r="K46" i="11"/>
  <c r="K42" i="11"/>
  <c r="H41" i="11"/>
  <c r="K34" i="11"/>
  <c r="K33" i="11"/>
  <c r="K47" i="11" l="1"/>
  <c r="H47" i="11"/>
  <c r="K40" i="11"/>
  <c r="H40" i="11"/>
  <c r="H33" i="11"/>
  <c r="K26" i="11"/>
  <c r="H26" i="11"/>
  <c r="K19" i="11"/>
  <c r="H19" i="11"/>
  <c r="K14" i="11"/>
  <c r="H13" i="11"/>
  <c r="K13" i="11"/>
  <c r="H28" i="11" l="1"/>
  <c r="H42" i="11"/>
  <c r="K28" i="11"/>
  <c r="H12" i="11"/>
  <c r="K12" i="11"/>
  <c r="O12" i="11" s="1"/>
  <c r="H18" i="11"/>
  <c r="H20" i="11"/>
  <c r="O13" i="11" s="1"/>
  <c r="H27" i="11"/>
  <c r="P11" i="11" s="1"/>
  <c r="H32" i="11"/>
  <c r="H34" i="11"/>
  <c r="Q11" i="11"/>
  <c r="H46" i="11"/>
  <c r="H48" i="11"/>
  <c r="H14" i="11"/>
  <c r="K18" i="11"/>
  <c r="K20" i="11"/>
  <c r="K27" i="11"/>
  <c r="K32" i="11"/>
  <c r="K41" i="11"/>
  <c r="Q12" i="11" s="1"/>
  <c r="K48" i="11"/>
  <c r="P13" i="11" l="1"/>
  <c r="O14" i="11"/>
  <c r="Q13" i="11"/>
  <c r="P14" i="11"/>
  <c r="Q14" i="11"/>
  <c r="P12" i="11"/>
  <c r="O11" i="11"/>
  <c r="B63" i="9"/>
  <c r="D66" i="9"/>
  <c r="B66" i="9"/>
  <c r="D63" i="9"/>
  <c r="B64" i="9"/>
  <c r="D64" i="9"/>
  <c r="C65" i="9"/>
  <c r="C66" i="9"/>
  <c r="C63" i="9"/>
  <c r="C64" i="9"/>
  <c r="B65" i="9"/>
  <c r="D65" i="9"/>
  <c r="K53" i="10"/>
  <c r="M53" i="10" s="1"/>
  <c r="C53" i="10"/>
  <c r="E53" i="10" s="1"/>
  <c r="K52" i="10"/>
  <c r="M52" i="10"/>
  <c r="E52" i="10"/>
  <c r="C52" i="10"/>
  <c r="K51" i="10"/>
  <c r="M51" i="10" s="1"/>
  <c r="C51" i="10"/>
  <c r="E51" i="10" s="1"/>
  <c r="K47" i="10"/>
  <c r="M47" i="10" s="1"/>
  <c r="C47" i="10"/>
  <c r="E47" i="10" s="1"/>
  <c r="K46" i="10"/>
  <c r="M46" i="10"/>
  <c r="C46" i="10"/>
  <c r="E46" i="10"/>
  <c r="K45" i="10"/>
  <c r="O45" i="10"/>
  <c r="C45" i="10"/>
  <c r="E45" i="10" s="1"/>
  <c r="K38" i="10"/>
  <c r="M38" i="10" s="1"/>
  <c r="C38" i="10"/>
  <c r="E38" i="10"/>
  <c r="K37" i="10"/>
  <c r="M37" i="10" s="1"/>
  <c r="C37" i="10"/>
  <c r="E37" i="10"/>
  <c r="K36" i="10"/>
  <c r="M36" i="10" s="1"/>
  <c r="C36" i="10"/>
  <c r="E36" i="10" s="1"/>
  <c r="K32" i="10"/>
  <c r="M32" i="10" s="1"/>
  <c r="C32" i="10"/>
  <c r="E32" i="10" s="1"/>
  <c r="K31" i="10"/>
  <c r="M31" i="10"/>
  <c r="C31" i="10"/>
  <c r="E31" i="10" s="1"/>
  <c r="K30" i="10"/>
  <c r="M30" i="10" s="1"/>
  <c r="C30" i="10"/>
  <c r="E30" i="10" s="1"/>
  <c r="K23" i="10"/>
  <c r="M23" i="10"/>
  <c r="C23" i="10"/>
  <c r="E23" i="10"/>
  <c r="K22" i="10"/>
  <c r="M22" i="10"/>
  <c r="C22" i="10"/>
  <c r="E22" i="10"/>
  <c r="K21" i="10"/>
  <c r="M21" i="10"/>
  <c r="C21" i="10"/>
  <c r="E21" i="10"/>
  <c r="K17" i="10"/>
  <c r="M17" i="10"/>
  <c r="C17" i="10"/>
  <c r="E17" i="10"/>
  <c r="K16" i="10"/>
  <c r="M16" i="10"/>
  <c r="C16" i="10"/>
  <c r="E16" i="10"/>
  <c r="K15" i="10"/>
  <c r="O15" i="10"/>
  <c r="C15" i="10"/>
  <c r="E15" i="10"/>
  <c r="C10" i="10"/>
  <c r="E10" i="10"/>
  <c r="C9" i="10"/>
  <c r="E9" i="10"/>
  <c r="E8" i="10"/>
  <c r="C8" i="10"/>
  <c r="C8" i="9"/>
  <c r="E8" i="9"/>
  <c r="C9" i="9"/>
  <c r="E9" i="9"/>
  <c r="C10" i="9"/>
  <c r="E10" i="9"/>
  <c r="C15" i="9"/>
  <c r="E15" i="9"/>
  <c r="K15" i="9"/>
  <c r="M15" i="9"/>
  <c r="C16" i="9"/>
  <c r="E16" i="9"/>
  <c r="K16" i="9"/>
  <c r="M16" i="9"/>
  <c r="N15" i="9"/>
  <c r="C17" i="9"/>
  <c r="E17" i="9"/>
  <c r="K17" i="9"/>
  <c r="M17" i="9"/>
  <c r="C21" i="9"/>
  <c r="E21" i="9"/>
  <c r="K21" i="9"/>
  <c r="M21" i="9"/>
  <c r="C22" i="9"/>
  <c r="E22" i="9"/>
  <c r="K22" i="9"/>
  <c r="M22" i="9"/>
  <c r="C23" i="9"/>
  <c r="E23" i="9"/>
  <c r="K23" i="9"/>
  <c r="M23" i="9"/>
  <c r="C30" i="9"/>
  <c r="E30" i="9"/>
  <c r="K30" i="9"/>
  <c r="M30" i="9"/>
  <c r="C31" i="9"/>
  <c r="E31" i="9"/>
  <c r="F30" i="9"/>
  <c r="K31" i="9"/>
  <c r="M31" i="9"/>
  <c r="C32" i="9"/>
  <c r="E32" i="9"/>
  <c r="K32" i="9"/>
  <c r="M32" i="9"/>
  <c r="C36" i="9"/>
  <c r="E36" i="9"/>
  <c r="K36" i="9"/>
  <c r="M36" i="9"/>
  <c r="C37" i="9"/>
  <c r="E37" i="9"/>
  <c r="K37" i="9"/>
  <c r="M37" i="9"/>
  <c r="C38" i="9"/>
  <c r="E38" i="9"/>
  <c r="K38" i="9"/>
  <c r="M38" i="9"/>
  <c r="C45" i="9"/>
  <c r="E45" i="9"/>
  <c r="K45" i="9"/>
  <c r="O45" i="9"/>
  <c r="C46" i="9"/>
  <c r="E46" i="9"/>
  <c r="K46" i="9"/>
  <c r="M46" i="9"/>
  <c r="C47" i="9"/>
  <c r="E47" i="9"/>
  <c r="K47" i="9"/>
  <c r="M47" i="9"/>
  <c r="C51" i="9"/>
  <c r="E51" i="9"/>
  <c r="K51" i="9"/>
  <c r="M51" i="9"/>
  <c r="C52" i="9"/>
  <c r="E52" i="9"/>
  <c r="K52" i="9"/>
  <c r="M52" i="9"/>
  <c r="C53" i="9"/>
  <c r="E53" i="9"/>
  <c r="K53" i="9"/>
  <c r="M53" i="9"/>
  <c r="D66" i="7"/>
  <c r="D65" i="7"/>
  <c r="D64" i="7"/>
  <c r="D63" i="7"/>
  <c r="C66" i="7"/>
  <c r="C65" i="7"/>
  <c r="C64" i="7"/>
  <c r="C63" i="7"/>
  <c r="B66" i="7"/>
  <c r="B65" i="7"/>
  <c r="B64" i="7"/>
  <c r="B63" i="7"/>
  <c r="K53" i="7"/>
  <c r="M53" i="7"/>
  <c r="C53" i="7"/>
  <c r="E53" i="7"/>
  <c r="K52" i="7"/>
  <c r="M52" i="7"/>
  <c r="C52" i="7"/>
  <c r="E52" i="7"/>
  <c r="K51" i="7"/>
  <c r="M51" i="7"/>
  <c r="C51" i="7"/>
  <c r="E51" i="7"/>
  <c r="K47" i="7"/>
  <c r="M47" i="7"/>
  <c r="C47" i="7"/>
  <c r="E47" i="7"/>
  <c r="K46" i="7"/>
  <c r="M46" i="7"/>
  <c r="C46" i="7"/>
  <c r="E46" i="7"/>
  <c r="K45" i="7"/>
  <c r="O45" i="7"/>
  <c r="C45" i="7"/>
  <c r="E45" i="7"/>
  <c r="K38" i="7"/>
  <c r="M38" i="7"/>
  <c r="C38" i="7"/>
  <c r="E38" i="7"/>
  <c r="K37" i="7"/>
  <c r="M37" i="7"/>
  <c r="C37" i="7"/>
  <c r="E37" i="7"/>
  <c r="K36" i="7"/>
  <c r="M36" i="7"/>
  <c r="C36" i="7"/>
  <c r="E36" i="7"/>
  <c r="K32" i="7"/>
  <c r="M32" i="7"/>
  <c r="C32" i="7"/>
  <c r="E32" i="7"/>
  <c r="K31" i="7"/>
  <c r="M31" i="7"/>
  <c r="C31" i="7"/>
  <c r="E31" i="7"/>
  <c r="K30" i="7"/>
  <c r="M30" i="7"/>
  <c r="C30" i="7"/>
  <c r="E30" i="7"/>
  <c r="K23" i="7"/>
  <c r="M23" i="7"/>
  <c r="C23" i="7"/>
  <c r="E23" i="7"/>
  <c r="K22" i="7"/>
  <c r="M22" i="7"/>
  <c r="C22" i="7"/>
  <c r="E22" i="7"/>
  <c r="K21" i="7"/>
  <c r="M21" i="7"/>
  <c r="C21" i="7"/>
  <c r="E21" i="7"/>
  <c r="K17" i="7"/>
  <c r="M17" i="7"/>
  <c r="C17" i="7"/>
  <c r="E17" i="7"/>
  <c r="K16" i="7"/>
  <c r="M16" i="7"/>
  <c r="C16" i="7"/>
  <c r="E16" i="7"/>
  <c r="K15" i="7"/>
  <c r="M15" i="7"/>
  <c r="C15" i="7"/>
  <c r="E15" i="7"/>
  <c r="C10" i="7"/>
  <c r="E10" i="7"/>
  <c r="C9" i="7"/>
  <c r="E9" i="7"/>
  <c r="C8" i="7"/>
  <c r="E8" i="7"/>
  <c r="N21" i="7"/>
  <c r="G15" i="7"/>
  <c r="N15" i="7"/>
  <c r="O30" i="7"/>
  <c r="O21" i="7"/>
  <c r="O15" i="7"/>
  <c r="F15" i="7"/>
  <c r="F21" i="7"/>
  <c r="G21" i="7"/>
  <c r="F8" i="7"/>
  <c r="G8" i="7"/>
  <c r="N51" i="7"/>
  <c r="O51" i="7"/>
  <c r="M45" i="7"/>
  <c r="N45" i="7"/>
  <c r="F51" i="7"/>
  <c r="G51" i="7"/>
  <c r="G45" i="7"/>
  <c r="F45" i="7"/>
  <c r="F36" i="7"/>
  <c r="G36" i="7"/>
  <c r="O36" i="7"/>
  <c r="N36" i="7"/>
  <c r="N30" i="7"/>
  <c r="G30" i="7"/>
  <c r="F30" i="7"/>
  <c r="G51" i="9"/>
  <c r="F51" i="9"/>
  <c r="M15" i="10"/>
  <c r="N15" i="10"/>
  <c r="G8" i="10"/>
  <c r="O21" i="10"/>
  <c r="N21" i="10"/>
  <c r="F15" i="10"/>
  <c r="G15" i="10"/>
  <c r="G21" i="10"/>
  <c r="O30" i="10"/>
  <c r="F8" i="10"/>
  <c r="F21" i="10"/>
  <c r="M45" i="10"/>
  <c r="N45" i="10" s="1"/>
  <c r="O30" i="9"/>
  <c r="N21" i="9"/>
  <c r="F8" i="9"/>
  <c r="G30" i="9"/>
  <c r="M45" i="9"/>
  <c r="N45" i="9"/>
  <c r="F15" i="9"/>
  <c r="G15" i="9"/>
  <c r="N30" i="9"/>
  <c r="N36" i="9"/>
  <c r="O36" i="9"/>
  <c r="G21" i="9"/>
  <c r="F21" i="9"/>
  <c r="F45" i="9"/>
  <c r="G45" i="9"/>
  <c r="N51" i="9"/>
  <c r="O51" i="9"/>
  <c r="F36" i="9"/>
  <c r="G36" i="9"/>
  <c r="G8" i="9"/>
  <c r="O15" i="9"/>
  <c r="O21" i="9"/>
  <c r="O51" i="10" l="1"/>
  <c r="N51" i="10"/>
  <c r="G51" i="10"/>
  <c r="F51" i="10"/>
  <c r="G45" i="10"/>
  <c r="F45" i="10"/>
  <c r="O36" i="10"/>
  <c r="N36" i="10"/>
  <c r="N30" i="10"/>
  <c r="F36" i="10"/>
  <c r="G36" i="10"/>
  <c r="F30" i="10"/>
  <c r="G30" i="10"/>
</calcChain>
</file>

<file path=xl/sharedStrings.xml><?xml version="1.0" encoding="utf-8"?>
<sst xmlns="http://schemas.openxmlformats.org/spreadsheetml/2006/main" count="1143" uniqueCount="88">
  <si>
    <t>Sample</t>
  </si>
  <si>
    <t xml:space="preserve"> +E2</t>
  </si>
  <si>
    <t xml:space="preserve"> +E2 #1</t>
  </si>
  <si>
    <t xml:space="preserve"> +E2 #2</t>
  </si>
  <si>
    <t xml:space="preserve"> +E2 #3</t>
  </si>
  <si>
    <t>Counter Read</t>
  </si>
  <si>
    <t>Cells/mL</t>
  </si>
  <si>
    <t>mL of cells</t>
  </si>
  <si>
    <t>Total cell number</t>
  </si>
  <si>
    <t>Average total cell #</t>
  </si>
  <si>
    <t>Stdev</t>
  </si>
  <si>
    <t xml:space="preserve"> +10pM E2</t>
  </si>
  <si>
    <t xml:space="preserve"> +10pM E2 #1</t>
  </si>
  <si>
    <t xml:space="preserve"> +10pM E2 #2</t>
  </si>
  <si>
    <t xml:space="preserve"> +10pM E2 #3</t>
  </si>
  <si>
    <t xml:space="preserve"> -E2 +100nM Palbo</t>
  </si>
  <si>
    <t xml:space="preserve"> +E2 +500nM ICI #1</t>
  </si>
  <si>
    <t xml:space="preserve"> +E2 +500nM ICI #2</t>
  </si>
  <si>
    <t xml:space="preserve"> +E2 +500nM ICI #3</t>
  </si>
  <si>
    <t>Thurs 6/13/2019, 45k cells plated on (13) 60mm dishes of MCF7f p82+17+30.</t>
  </si>
  <si>
    <t>Day 0 (6/14)</t>
  </si>
  <si>
    <t xml:space="preserve">Week 1 (6/21) </t>
  </si>
  <si>
    <t xml:space="preserve"> +E2+250nM Palbo #1</t>
  </si>
  <si>
    <t xml:space="preserve"> +E2+250nM Palbo #2</t>
  </si>
  <si>
    <t xml:space="preserve"> +E2+250nM Palbo #3</t>
  </si>
  <si>
    <t xml:space="preserve"> +E2 +500nM ICI</t>
  </si>
  <si>
    <t xml:space="preserve"> +E2 +250nM Palbo</t>
  </si>
  <si>
    <t xml:space="preserve"> -E2+100nM Palbo #1</t>
  </si>
  <si>
    <t xml:space="preserve"> -E2+100nM Palbo #2</t>
  </si>
  <si>
    <t xml:space="preserve"> -E2+100nM Palbo #3</t>
  </si>
  <si>
    <r>
      <t xml:space="preserve">Friday 6/14/19, Count T=0 plate. Wash all remaining plates 1x with PBS, dose accordingly: </t>
    </r>
    <r>
      <rPr>
        <sz val="11"/>
        <color indexed="10"/>
        <rFont val="Calibri"/>
        <family val="2"/>
      </rPr>
      <t>(3) +10pM E2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30"/>
        <rFont val="Calibri"/>
        <family val="2"/>
      </rPr>
      <t>(3) -E2+100nM Palbo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10"/>
        <rFont val="Calibri"/>
        <family val="2"/>
      </rPr>
      <t>(3) +E2+250nM Palbo (3) +E2+500nM ICI</t>
    </r>
    <r>
      <rPr>
        <sz val="11"/>
        <color theme="1"/>
        <rFont val="Calibri"/>
        <family val="2"/>
        <scheme val="minor"/>
      </rPr>
      <t xml:space="preserve">  *Re-dosed plates every Monday and Friday, counted each week on Friday</t>
    </r>
  </si>
  <si>
    <t>Coulter Counter Counts: MCF7f  +10pM E2/500nM ICI/250nM Palbo/-E2 +100nM Palbo 3 weeks (10%CCS+10nM E2)</t>
  </si>
  <si>
    <t>Week 3 (7/6)</t>
  </si>
  <si>
    <t>Week 2 (6/28)</t>
  </si>
  <si>
    <t xml:space="preserve"> +10pM E2 *Very Confluent</t>
  </si>
  <si>
    <t xml:space="preserve"> +E2 +250nM Palbo *Getting confluent</t>
  </si>
  <si>
    <t>Week1</t>
  </si>
  <si>
    <t>Week2</t>
  </si>
  <si>
    <t>Week3</t>
  </si>
  <si>
    <t>T=0</t>
  </si>
  <si>
    <t xml:space="preserve"> +E2+250nM Palbo </t>
  </si>
  <si>
    <t xml:space="preserve"> -E2+100nM Palbo</t>
  </si>
  <si>
    <t xml:space="preserve"> +10pM E2 </t>
  </si>
  <si>
    <t>Normalized to T=0</t>
  </si>
  <si>
    <t xml:space="preserve"> +E2+500nM Palbo #3</t>
  </si>
  <si>
    <t xml:space="preserve"> +E2+500nM Palbo #2</t>
  </si>
  <si>
    <t xml:space="preserve"> +E2+500nM Palbo #1</t>
  </si>
  <si>
    <t xml:space="preserve"> +E2 +500nM Palbo</t>
  </si>
  <si>
    <t>Week 3 (8/1)</t>
  </si>
  <si>
    <t xml:space="preserve"> +E2 +500nM Palbo </t>
  </si>
  <si>
    <t>Week 2 (7/25)</t>
  </si>
  <si>
    <r>
      <t xml:space="preserve">Thurs 7/11/19, Count T=0 plate. Wash all remaining plates 1x with PBS, dose accordingly: </t>
    </r>
    <r>
      <rPr>
        <sz val="11"/>
        <color indexed="10"/>
        <rFont val="Calibri"/>
        <family val="2"/>
      </rPr>
      <t>(3) +10pM E2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30"/>
        <rFont val="Calibri"/>
        <family val="2"/>
      </rPr>
      <t>(3) -E2+100nM Palbo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10"/>
        <rFont val="Calibri"/>
        <family val="2"/>
      </rPr>
      <t>(3) +E2+500nM Palbo (3) +E2+500nM ICI</t>
    </r>
    <r>
      <rPr>
        <sz val="11"/>
        <color theme="1"/>
        <rFont val="Calibri"/>
        <family val="2"/>
        <scheme val="minor"/>
      </rPr>
      <t xml:space="preserve">  *Re-dosed plates every Monday and Thurs, counted each week on Thurs</t>
    </r>
  </si>
  <si>
    <r>
      <t>Wed 7/10/2019, 45k cells plated on (13) 60mm dishes of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MCF7f p82+12+15+3 **Newer/Recently thawed passage of MCF7s (from 6/21/18 and thawed on 6/7/19**</t>
    </r>
    <r>
      <rPr>
        <sz val="11"/>
        <color theme="1"/>
        <rFont val="Calibri"/>
        <family val="2"/>
        <scheme val="minor"/>
      </rPr>
      <t>.</t>
    </r>
  </si>
  <si>
    <t>Coulter Counter Counts: MCF7f  +10pM E2/500nM ICI/500nM Palbo/100nM-E2 Palbo 3 weeks (10%CCS+10nM E2)</t>
  </si>
  <si>
    <r>
      <t>Tues 7/23/2019, 45k cells plated on (13) 60mm dishes of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MCF7f p82+12+15+5 **Newer/Recently thawed passage of MCF7s (from 6/21/18 and thawed on 6/7/19**</t>
    </r>
    <r>
      <rPr>
        <sz val="11"/>
        <color theme="1"/>
        <rFont val="Calibri"/>
        <family val="2"/>
        <scheme val="minor"/>
      </rPr>
      <t>.</t>
    </r>
  </si>
  <si>
    <r>
      <t xml:space="preserve">Wed 7/24/19, Count T=0 plate. Wash all remaining plates 1x with PBS, dose accordingly: </t>
    </r>
    <r>
      <rPr>
        <sz val="11"/>
        <color indexed="10"/>
        <rFont val="Calibri"/>
        <family val="2"/>
      </rPr>
      <t>(3) +10pM E2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30"/>
        <rFont val="Calibri"/>
        <family val="2"/>
      </rPr>
      <t>(3) -E2+100nM Palbo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10"/>
        <rFont val="Calibri"/>
        <family val="2"/>
      </rPr>
      <t>(3) +E2+500nM Palbo (3) +E2+500nM ICI</t>
    </r>
    <r>
      <rPr>
        <sz val="11"/>
        <color theme="1"/>
        <rFont val="Calibri"/>
        <family val="2"/>
        <scheme val="minor"/>
      </rPr>
      <t xml:space="preserve">  *Re-dosed plates every Friday and Tues, counted each week on Tues</t>
    </r>
  </si>
  <si>
    <t>Day 0 (7/23)</t>
  </si>
  <si>
    <t xml:space="preserve">Week 1 (7/30) </t>
  </si>
  <si>
    <t>Week 2 (8/6)</t>
  </si>
  <si>
    <t>Week 3 (8/13)</t>
  </si>
  <si>
    <t xml:space="preserve"> +E2+500nM Palbo </t>
  </si>
  <si>
    <t>Day 0</t>
  </si>
  <si>
    <t>Week 1</t>
  </si>
  <si>
    <t xml:space="preserve"> +E2 +500nM ICI </t>
  </si>
  <si>
    <t>Day0</t>
  </si>
  <si>
    <t xml:space="preserve"> +E2 +500nM ICI #1 </t>
  </si>
  <si>
    <t xml:space="preserve"> +E2 +500nM ICI  #1</t>
  </si>
  <si>
    <t xml:space="preserve"> +E2 +500nM ICI  #2</t>
  </si>
  <si>
    <t xml:space="preserve"> +E2 +500nM ICI  #3</t>
  </si>
  <si>
    <t xml:space="preserve"> -E2 + 100nM Palbo</t>
  </si>
  <si>
    <t xml:space="preserve"> -E2 + 100nM Palbo #1</t>
  </si>
  <si>
    <t xml:space="preserve"> -E2 + 100nM Palbo #2</t>
  </si>
  <si>
    <t xml:space="preserve"> -E2 + 100nM Palbo #3</t>
  </si>
  <si>
    <t>Week 2</t>
  </si>
  <si>
    <t>Week 3</t>
  </si>
  <si>
    <t xml:space="preserve"> +E2+Palbo 500nM #1</t>
  </si>
  <si>
    <t xml:space="preserve"> +E2+Palbo 500nM #2</t>
  </si>
  <si>
    <t xml:space="preserve"> +E2+Palbo 500nM #3</t>
  </si>
  <si>
    <t xml:space="preserve"> +E2 +500 nM Palbo</t>
  </si>
  <si>
    <t xml:space="preserve"> +E2 +500nM Palbo #1</t>
  </si>
  <si>
    <t xml:space="preserve"> +E2 +500nM Palbo #2</t>
  </si>
  <si>
    <t xml:space="preserve"> +E2 +500nM Palbo #3</t>
  </si>
  <si>
    <r>
      <t>Monday 8/12/2019, 45k cells plated on (13) 60mm dishes of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MCF7f p82+12+15+10 **Newer/Recently thawed passage of MCF7s (from 6/21/18 and thawed on 6/7/19**</t>
    </r>
    <r>
      <rPr>
        <sz val="11"/>
        <color theme="1"/>
        <rFont val="Calibri"/>
        <family val="2"/>
        <scheme val="minor"/>
      </rPr>
      <t>.</t>
    </r>
  </si>
  <si>
    <r>
      <t xml:space="preserve">Tues 8/13/19, Count T=0 plate. Wash all remaining plates 1x with PBS, dose accordingly: </t>
    </r>
    <r>
      <rPr>
        <sz val="11"/>
        <color indexed="10"/>
        <rFont val="Calibri"/>
        <family val="2"/>
      </rPr>
      <t>(3) +10pM E2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30"/>
        <rFont val="Calibri"/>
        <family val="2"/>
      </rPr>
      <t>(3) -E2+100nM Palbo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indexed="10"/>
        <rFont val="Calibri"/>
        <family val="2"/>
      </rPr>
      <t>(3) +E2+500nM Palbo (3) +E2+500nM ICI</t>
    </r>
    <r>
      <rPr>
        <sz val="11"/>
        <color theme="1"/>
        <rFont val="Calibri"/>
        <family val="2"/>
        <scheme val="minor"/>
      </rPr>
      <t xml:space="preserve">  *Re-dosed plates every Friday and Tues, counted each week on Tues</t>
    </r>
  </si>
  <si>
    <t>Day 0 (8/13)</t>
  </si>
  <si>
    <t xml:space="preserve">Week 1 (8/20) </t>
  </si>
  <si>
    <t>Week 2 (8/27)</t>
  </si>
  <si>
    <t>Week 3 (9/3)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</si>
</sst>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5" x14ac:knownFonts="1">
    <font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sz val="11"/>
      <color indexed="30"/>
      <name val="Calibri"/>
      <family val="2"/>
    </font>
    <font>
      <b/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6"/>
      <color theme="1"/>
      <name val="Calibri"/>
      <scheme val="minor"/>
    </font>
    <font>
      <sz val="16"/>
      <color rgb="FFFF0000"/>
      <name val="Calibri"/>
      <family val="2"/>
      <scheme val="minor"/>
    </font>
    <font>
      <sz val="16"/>
      <color rgb="FFFF0000"/>
      <name val="Calibri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FF0000"/>
      <name val="Calibri"/>
      <scheme val="minor"/>
    </font>
    <font>
      <sz val="16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/>
    <xf numFmtId="0" fontId="0" fillId="0" borderId="3" xfId="0" applyBorder="1"/>
    <xf numFmtId="0" fontId="4" fillId="0" borderId="0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3" fillId="0" borderId="0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4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20" fillId="0" borderId="0" xfId="0" applyFont="1" applyBorder="1" applyAlignment="1">
      <alignment horizontal="center"/>
    </xf>
    <xf numFmtId="164" fontId="13" fillId="0" borderId="0" xfId="0" applyNumberFormat="1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Border="1" applyAlignment="1">
      <alignment horizontal="center"/>
    </xf>
    <xf numFmtId="0" fontId="22" fillId="0" borderId="0" xfId="0" applyFont="1" applyBorder="1"/>
    <xf numFmtId="0" fontId="23" fillId="0" borderId="0" xfId="0" applyFont="1" applyBorder="1"/>
    <xf numFmtId="0" fontId="24" fillId="0" borderId="0" xfId="0" applyFont="1" applyBorder="1"/>
    <xf numFmtId="0" fontId="7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1" fillId="0" borderId="9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Normalized to T=0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'Rep1'!$A$63</c:f>
              <c:strCache>
                <c:ptCount val="1"/>
                <c:pt idx="0">
                  <c:v> +10pM E2 </c:v>
                </c:pt>
              </c:strCache>
            </c:strRef>
          </c:tx>
          <c:spPr>
            <a:solidFill>
              <a:srgbClr val="FF0000"/>
            </a:solidFill>
            <a:ln w="25400">
              <a:noFill/>
            </a:ln>
          </c:spPr>
          <c:invertIfNegative val="0"/>
          <c:cat>
            <c:strRef>
              <c:f>'Rep1'!$B$62:$D$62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'Rep1'!$B$63:$D$63</c:f>
              <c:numCache>
                <c:formatCode>0.00</c:formatCode>
                <c:ptCount val="3"/>
                <c:pt idx="0">
                  <c:v>24.179487179487179</c:v>
                </c:pt>
                <c:pt idx="1">
                  <c:v>93.341880341880341</c:v>
                </c:pt>
                <c:pt idx="2">
                  <c:v>110.008547008547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E-9C4F-B642-B45E5DFF55C1}"/>
            </c:ext>
          </c:extLst>
        </c:ser>
        <c:ser>
          <c:idx val="1"/>
          <c:order val="1"/>
          <c:tx>
            <c:strRef>
              <c:f>'Rep1'!$A$64</c:f>
              <c:strCache>
                <c:ptCount val="1"/>
                <c:pt idx="0">
                  <c:v> +E2+250nM Palbo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'Rep1'!$B$62:$D$62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'Rep1'!$B$64:$D$64</c:f>
              <c:numCache>
                <c:formatCode>0.00</c:formatCode>
                <c:ptCount val="3"/>
                <c:pt idx="0">
                  <c:v>4.8632478632478628</c:v>
                </c:pt>
                <c:pt idx="1">
                  <c:v>37.521367521367516</c:v>
                </c:pt>
                <c:pt idx="2">
                  <c:v>61.957264957264961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E-9C4F-B642-B45E5DFF55C1}"/>
            </c:ext>
          </c:extLst>
        </c:ser>
        <c:ser>
          <c:idx val="2"/>
          <c:order val="2"/>
          <c:tx>
            <c:strRef>
              <c:f>'Rep1'!$A$65</c:f>
              <c:strCache>
                <c:ptCount val="1"/>
                <c:pt idx="0">
                  <c:v> -E2+100nM Palbo</c:v>
                </c:pt>
              </c:strCache>
            </c:strRef>
          </c:tx>
          <c:spPr>
            <a:solidFill>
              <a:srgbClr val="0070C0"/>
            </a:solidFill>
            <a:ln w="25400">
              <a:noFill/>
            </a:ln>
          </c:spPr>
          <c:invertIfNegative val="0"/>
          <c:cat>
            <c:strRef>
              <c:f>'Rep1'!$B$62:$D$62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'Rep1'!$B$65:$D$65</c:f>
              <c:numCache>
                <c:formatCode>0.00</c:formatCode>
                <c:ptCount val="3"/>
                <c:pt idx="0">
                  <c:v>2.9316239316239314</c:v>
                </c:pt>
                <c:pt idx="1">
                  <c:v>2.4957264957264957</c:v>
                </c:pt>
                <c:pt idx="2">
                  <c:v>1.6923076923076923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E-9C4F-B642-B45E5DFF55C1}"/>
            </c:ext>
          </c:extLst>
        </c:ser>
        <c:ser>
          <c:idx val="3"/>
          <c:order val="3"/>
          <c:tx>
            <c:strRef>
              <c:f>'Rep1'!$A$66</c:f>
              <c:strCache>
                <c:ptCount val="1"/>
                <c:pt idx="0">
                  <c:v> +E2 +500nM ICI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'Rep1'!$B$62:$D$62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'Rep1'!$B$66:$D$66</c:f>
              <c:numCache>
                <c:formatCode>0.00</c:formatCode>
                <c:ptCount val="3"/>
                <c:pt idx="0">
                  <c:v>3.5897435897435899</c:v>
                </c:pt>
                <c:pt idx="1">
                  <c:v>5.2649572649572649</c:v>
                </c:pt>
                <c:pt idx="2">
                  <c:v>13.76923076923077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5E-9C4F-B642-B45E5DFF5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422720"/>
        <c:axId val="1"/>
      </c:barChart>
      <c:catAx>
        <c:axId val="167042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4227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768416940451265"/>
          <c:y val="0.89959484829233505"/>
          <c:w val="0.70255469159575312"/>
          <c:h val="7.423840981053250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Rep#2 Normalized to T=0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'Rep2'!$A$63</c:f>
              <c:strCache>
                <c:ptCount val="1"/>
                <c:pt idx="0">
                  <c:v> +10pM E2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'Rep2'!$B$62:$D$62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'Rep2'!$B$63:$D$63</c:f>
              <c:numCache>
                <c:formatCode>0.00</c:formatCode>
                <c:ptCount val="3"/>
                <c:pt idx="0">
                  <c:v>6.5181818181818185</c:v>
                </c:pt>
                <c:pt idx="1">
                  <c:v>24.663636363636368</c:v>
                </c:pt>
                <c:pt idx="2">
                  <c:v>66.609090909090924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B-BB43-AC17-47F9C765D9CB}"/>
            </c:ext>
          </c:extLst>
        </c:ser>
        <c:ser>
          <c:idx val="1"/>
          <c:order val="1"/>
          <c:tx>
            <c:strRef>
              <c:f>'Rep2'!$A$64</c:f>
              <c:strCache>
                <c:ptCount val="1"/>
                <c:pt idx="0">
                  <c:v> +E2+500nM Palbo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'Rep2'!$B$62:$D$62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'Rep2'!$B$64:$D$64</c:f>
              <c:numCache>
                <c:formatCode>0.00</c:formatCode>
                <c:ptCount val="3"/>
                <c:pt idx="0">
                  <c:v>1.0181818181818183</c:v>
                </c:pt>
                <c:pt idx="1">
                  <c:v>1.2363636363636366</c:v>
                </c:pt>
                <c:pt idx="2">
                  <c:v>2.8090909090909091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0B-BB43-AC17-47F9C765D9CB}"/>
            </c:ext>
          </c:extLst>
        </c:ser>
        <c:ser>
          <c:idx val="2"/>
          <c:order val="2"/>
          <c:tx>
            <c:strRef>
              <c:f>'Rep2'!$A$65</c:f>
              <c:strCache>
                <c:ptCount val="1"/>
                <c:pt idx="0">
                  <c:v> -E2+100nM Palbo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'Rep2'!$B$62:$D$62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'Rep2'!$B$65:$D$65</c:f>
              <c:numCache>
                <c:formatCode>0.00</c:formatCode>
                <c:ptCount val="3"/>
                <c:pt idx="0">
                  <c:v>1.1818181818181819</c:v>
                </c:pt>
                <c:pt idx="1">
                  <c:v>0.98181818181818192</c:v>
                </c:pt>
                <c:pt idx="2">
                  <c:v>0.84545454545454546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0B-BB43-AC17-47F9C765D9CB}"/>
            </c:ext>
          </c:extLst>
        </c:ser>
        <c:ser>
          <c:idx val="3"/>
          <c:order val="3"/>
          <c:tx>
            <c:strRef>
              <c:f>'Rep2'!$A$66</c:f>
              <c:strCache>
                <c:ptCount val="1"/>
                <c:pt idx="0">
                  <c:v> +E2 +500nM ICI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'Rep2'!$B$62:$D$62</c:f>
              <c:strCache>
                <c:ptCount val="3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</c:strCache>
            </c:strRef>
          </c:cat>
          <c:val>
            <c:numRef>
              <c:f>'Rep2'!$B$66:$D$66</c:f>
              <c:numCache>
                <c:formatCode>0.00</c:formatCode>
                <c:ptCount val="3"/>
                <c:pt idx="0">
                  <c:v>1.9090909090909092</c:v>
                </c:pt>
                <c:pt idx="1">
                  <c:v>2.5727272727272728</c:v>
                </c:pt>
                <c:pt idx="2">
                  <c:v>3.918181818181818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0B-BB43-AC17-47F9C765D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4954512"/>
        <c:axId val="1"/>
      </c:barChart>
      <c:catAx>
        <c:axId val="163495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95451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636116066113451"/>
          <c:y val="0.92016779896973444"/>
          <c:w val="0.56730918504061256"/>
          <c:h val="5.9029632386737682E-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55</xdr:row>
      <xdr:rowOff>114300</xdr:rowOff>
    </xdr:from>
    <xdr:to>
      <xdr:col>15</xdr:col>
      <xdr:colOff>190500</xdr:colOff>
      <xdr:row>70</xdr:row>
      <xdr:rowOff>165100</xdr:rowOff>
    </xdr:to>
    <xdr:graphicFrame macro="">
      <xdr:nvGraphicFramePr>
        <xdr:cNvPr id="1029" name="Chart 1">
          <a:extLst>
            <a:ext uri="{FF2B5EF4-FFF2-40B4-BE49-F238E27FC236}">
              <a16:creationId xmlns:a16="http://schemas.microsoft.com/office/drawing/2014/main" id="{8025E375-7B85-E448-B37B-ED8E7393D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1054100</xdr:colOff>
      <xdr:row>56</xdr:row>
      <xdr:rowOff>76200</xdr:rowOff>
    </xdr:from>
    <xdr:to>
      <xdr:col>18</xdr:col>
      <xdr:colOff>330200</xdr:colOff>
      <xdr:row>75</xdr:row>
      <xdr:rowOff>114300</xdr:rowOff>
    </xdr:to>
    <xdr:graphicFrame macro="">
      <xdr:nvGraphicFramePr>
        <xdr:cNvPr id="3073" name="Chart 2">
          <a:extLst>
            <a:ext uri="{FF2B5EF4-FFF2-40B4-BE49-F238E27FC236}">
              <a16:creationId xmlns:a16="http://schemas.microsoft.com/office/drawing/2014/main" id="{5820CEB8-CDA9-4A4C-B8EB-A2303E636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workbookViewId="0">
      <selection activeCell="F74" sqref="F74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8" width="9.5" bestFit="1" customWidth="1"/>
    <col min="9" max="9" width="20.3320312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</cols>
  <sheetData>
    <row r="1" spans="1:15" ht="19" x14ac:dyDescent="0.25">
      <c r="A1" s="3" t="s">
        <v>31</v>
      </c>
    </row>
    <row r="2" spans="1:15" x14ac:dyDescent="0.2">
      <c r="A2" t="s">
        <v>19</v>
      </c>
    </row>
    <row r="3" spans="1:15" x14ac:dyDescent="0.2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5" ht="19" x14ac:dyDescent="0.25">
      <c r="A5" s="66" t="s">
        <v>20</v>
      </c>
      <c r="B5" s="67"/>
      <c r="C5" s="67"/>
      <c r="D5" s="67"/>
      <c r="E5" s="67"/>
      <c r="F5" s="67"/>
      <c r="G5" s="68"/>
    </row>
    <row r="6" spans="1:15" ht="16" x14ac:dyDescent="0.2">
      <c r="A6" s="60" t="s">
        <v>1</v>
      </c>
      <c r="B6" s="61"/>
      <c r="C6" s="61"/>
      <c r="D6" s="61"/>
      <c r="E6" s="61"/>
      <c r="F6" s="61"/>
      <c r="G6" s="62"/>
    </row>
    <row r="7" spans="1:15" ht="32" x14ac:dyDescent="0.2">
      <c r="A7" s="4" t="s">
        <v>0</v>
      </c>
      <c r="B7" s="5" t="s">
        <v>5</v>
      </c>
      <c r="C7" s="5" t="s">
        <v>6</v>
      </c>
      <c r="D7" s="5" t="s">
        <v>7</v>
      </c>
      <c r="E7" s="5" t="s">
        <v>8</v>
      </c>
      <c r="F7" s="9" t="s">
        <v>9</v>
      </c>
      <c r="G7" s="6" t="s">
        <v>10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14" t="s">
        <v>2</v>
      </c>
      <c r="B8" s="15">
        <v>38</v>
      </c>
      <c r="C8" s="16">
        <f>B8*400</f>
        <v>15200</v>
      </c>
      <c r="D8" s="15">
        <v>2.5</v>
      </c>
      <c r="E8" s="16">
        <f>C8*D8</f>
        <v>38000</v>
      </c>
      <c r="F8" s="17">
        <f>AVERAGE(E8:E10)</f>
        <v>39000</v>
      </c>
      <c r="G8" s="18">
        <f>_xlfn.STDEV.S(E8:E10)</f>
        <v>3605.5512754639894</v>
      </c>
      <c r="H8" s="1"/>
      <c r="I8" s="1"/>
      <c r="J8" s="1"/>
      <c r="K8" s="1"/>
      <c r="L8" s="1"/>
      <c r="M8" s="1"/>
      <c r="N8" s="1"/>
      <c r="O8" s="1"/>
    </row>
    <row r="9" spans="1:15" x14ac:dyDescent="0.2">
      <c r="A9" s="14" t="s">
        <v>3</v>
      </c>
      <c r="B9" s="15">
        <v>36</v>
      </c>
      <c r="C9" s="16">
        <f>B9*400</f>
        <v>14400</v>
      </c>
      <c r="D9" s="15">
        <v>2.5</v>
      </c>
      <c r="E9" s="16">
        <f>C9*D9</f>
        <v>36000</v>
      </c>
      <c r="F9" s="16"/>
      <c r="G9" s="19"/>
      <c r="H9" s="1"/>
      <c r="I9" s="1"/>
      <c r="J9" s="1"/>
      <c r="K9" s="1"/>
      <c r="L9" s="1"/>
      <c r="M9" s="1"/>
      <c r="N9" s="1"/>
      <c r="O9" s="1"/>
    </row>
    <row r="10" spans="1:15" x14ac:dyDescent="0.2">
      <c r="A10" s="20" t="s">
        <v>4</v>
      </c>
      <c r="B10" s="21">
        <v>43</v>
      </c>
      <c r="C10" s="22">
        <f>B10*400</f>
        <v>17200</v>
      </c>
      <c r="D10" s="21">
        <v>2.5</v>
      </c>
      <c r="E10" s="22">
        <f>C10*D10</f>
        <v>43000</v>
      </c>
      <c r="F10" s="22"/>
      <c r="G10" s="23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9" x14ac:dyDescent="0.25">
      <c r="A12" s="66" t="s">
        <v>21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8"/>
    </row>
    <row r="13" spans="1:15" ht="16" x14ac:dyDescent="0.2">
      <c r="A13" s="60" t="s">
        <v>11</v>
      </c>
      <c r="B13" s="61"/>
      <c r="C13" s="61"/>
      <c r="D13" s="61"/>
      <c r="E13" s="61"/>
      <c r="F13" s="61"/>
      <c r="G13" s="62"/>
      <c r="H13" s="15"/>
      <c r="I13" s="69" t="s">
        <v>25</v>
      </c>
      <c r="J13" s="70"/>
      <c r="K13" s="70"/>
      <c r="L13" s="70"/>
      <c r="M13" s="70"/>
      <c r="N13" s="70"/>
      <c r="O13" s="71"/>
    </row>
    <row r="14" spans="1:15" ht="32" x14ac:dyDescent="0.2">
      <c r="A14" s="4" t="s">
        <v>0</v>
      </c>
      <c r="B14" s="5" t="s">
        <v>5</v>
      </c>
      <c r="C14" s="5" t="s">
        <v>6</v>
      </c>
      <c r="D14" s="5" t="s">
        <v>7</v>
      </c>
      <c r="E14" s="5" t="s">
        <v>8</v>
      </c>
      <c r="F14" s="9" t="s">
        <v>9</v>
      </c>
      <c r="G14" s="6" t="s">
        <v>10</v>
      </c>
      <c r="H14" s="15"/>
      <c r="I14" s="10" t="s">
        <v>0</v>
      </c>
      <c r="J14" s="11" t="s">
        <v>5</v>
      </c>
      <c r="K14" s="11" t="s">
        <v>6</v>
      </c>
      <c r="L14" s="11" t="s">
        <v>7</v>
      </c>
      <c r="M14" s="11" t="s">
        <v>8</v>
      </c>
      <c r="N14" s="12" t="s">
        <v>9</v>
      </c>
      <c r="O14" s="13" t="s">
        <v>10</v>
      </c>
    </row>
    <row r="15" spans="1:15" x14ac:dyDescent="0.2">
      <c r="A15" s="14" t="s">
        <v>12</v>
      </c>
      <c r="B15" s="15">
        <v>952</v>
      </c>
      <c r="C15" s="16">
        <f>B15*400</f>
        <v>380800</v>
      </c>
      <c r="D15" s="15">
        <v>2.5</v>
      </c>
      <c r="E15" s="16">
        <f>C15*D15</f>
        <v>952000</v>
      </c>
      <c r="F15" s="17">
        <f>AVERAGE(E15:E17)</f>
        <v>943000</v>
      </c>
      <c r="G15" s="18">
        <f>_xlfn.STDEV.S(E15:E17)</f>
        <v>16462.077633154327</v>
      </c>
      <c r="H15" s="15"/>
      <c r="I15" s="14" t="s">
        <v>16</v>
      </c>
      <c r="J15" s="15">
        <v>132</v>
      </c>
      <c r="K15" s="16">
        <f>J15*400</f>
        <v>52800</v>
      </c>
      <c r="L15" s="15">
        <v>2.5</v>
      </c>
      <c r="M15" s="16">
        <f>K15*L15</f>
        <v>132000</v>
      </c>
      <c r="N15" s="17">
        <f>AVERAGE(M15:M17)</f>
        <v>140000</v>
      </c>
      <c r="O15" s="18">
        <f>_xlfn.STDEV.S(K15:K17)</f>
        <v>3019.9337741083</v>
      </c>
    </row>
    <row r="16" spans="1:15" x14ac:dyDescent="0.2">
      <c r="A16" s="14" t="s">
        <v>13</v>
      </c>
      <c r="B16" s="15">
        <v>924</v>
      </c>
      <c r="C16" s="16">
        <f>B16*400</f>
        <v>369600</v>
      </c>
      <c r="D16" s="15">
        <v>2.5</v>
      </c>
      <c r="E16" s="16">
        <f>C16*D16</f>
        <v>924000</v>
      </c>
      <c r="F16" s="16"/>
      <c r="G16" s="19"/>
      <c r="H16" s="15"/>
      <c r="I16" s="14" t="s">
        <v>17</v>
      </c>
      <c r="J16" s="15">
        <v>141</v>
      </c>
      <c r="K16" s="16">
        <f>J16*400</f>
        <v>56400</v>
      </c>
      <c r="L16" s="15">
        <v>2.5</v>
      </c>
      <c r="M16" s="16">
        <f>K16*L16</f>
        <v>141000</v>
      </c>
      <c r="N16" s="16"/>
      <c r="O16" s="19"/>
    </row>
    <row r="17" spans="1:23" x14ac:dyDescent="0.2">
      <c r="A17" s="20" t="s">
        <v>14</v>
      </c>
      <c r="B17" s="21">
        <v>953</v>
      </c>
      <c r="C17" s="22">
        <f>B17*400</f>
        <v>381200</v>
      </c>
      <c r="D17" s="21">
        <v>2.5</v>
      </c>
      <c r="E17" s="22">
        <f>C17*D17</f>
        <v>953000</v>
      </c>
      <c r="F17" s="22"/>
      <c r="G17" s="23"/>
      <c r="H17" s="15"/>
      <c r="I17" s="20" t="s">
        <v>18</v>
      </c>
      <c r="J17" s="21">
        <v>147</v>
      </c>
      <c r="K17" s="22">
        <f>J17*400</f>
        <v>58800</v>
      </c>
      <c r="L17" s="21">
        <v>2.5</v>
      </c>
      <c r="M17" s="22">
        <f>K17*L17</f>
        <v>147000</v>
      </c>
      <c r="N17" s="22"/>
      <c r="O17" s="23"/>
    </row>
    <row r="18" spans="1:23" x14ac:dyDescent="0.2">
      <c r="A18" s="14"/>
      <c r="B18" s="15"/>
      <c r="C18" s="16"/>
      <c r="D18" s="15"/>
      <c r="E18" s="16"/>
      <c r="F18" s="16"/>
      <c r="G18" s="16"/>
      <c r="H18" s="15"/>
      <c r="I18" s="26"/>
      <c r="J18" s="15"/>
      <c r="K18" s="16"/>
      <c r="L18" s="15"/>
      <c r="M18" s="16"/>
      <c r="N18" s="16"/>
      <c r="O18" s="19"/>
      <c r="P18" s="26"/>
      <c r="Q18" s="15"/>
      <c r="R18" s="16"/>
      <c r="S18" s="15"/>
      <c r="T18" s="16"/>
      <c r="U18" s="16"/>
      <c r="V18" s="16"/>
      <c r="W18" s="7"/>
    </row>
    <row r="19" spans="1:23" ht="16" x14ac:dyDescent="0.2">
      <c r="A19" s="60" t="s">
        <v>26</v>
      </c>
      <c r="B19" s="61"/>
      <c r="C19" s="61"/>
      <c r="D19" s="61"/>
      <c r="E19" s="61"/>
      <c r="F19" s="61"/>
      <c r="G19" s="62"/>
      <c r="H19" s="7"/>
      <c r="I19" s="63" t="s">
        <v>15</v>
      </c>
      <c r="J19" s="64"/>
      <c r="K19" s="64"/>
      <c r="L19" s="64"/>
      <c r="M19" s="64"/>
      <c r="N19" s="64"/>
      <c r="O19" s="65"/>
    </row>
    <row r="20" spans="1:23" ht="32" x14ac:dyDescent="0.2">
      <c r="A20" s="10" t="s">
        <v>0</v>
      </c>
      <c r="B20" s="11" t="s">
        <v>5</v>
      </c>
      <c r="C20" s="11" t="s">
        <v>6</v>
      </c>
      <c r="D20" s="11" t="s">
        <v>7</v>
      </c>
      <c r="E20" s="11" t="s">
        <v>8</v>
      </c>
      <c r="F20" s="12" t="s">
        <v>9</v>
      </c>
      <c r="G20" s="13" t="s">
        <v>10</v>
      </c>
      <c r="H20" s="7"/>
      <c r="I20" s="10" t="s">
        <v>0</v>
      </c>
      <c r="J20" s="11" t="s">
        <v>5</v>
      </c>
      <c r="K20" s="11" t="s">
        <v>6</v>
      </c>
      <c r="L20" s="11" t="s">
        <v>7</v>
      </c>
      <c r="M20" s="11" t="s">
        <v>8</v>
      </c>
      <c r="N20" s="12" t="s">
        <v>9</v>
      </c>
      <c r="O20" s="13" t="s">
        <v>10</v>
      </c>
    </row>
    <row r="21" spans="1:23" x14ac:dyDescent="0.2">
      <c r="A21" s="14" t="s">
        <v>22</v>
      </c>
      <c r="B21" s="15">
        <v>205</v>
      </c>
      <c r="C21" s="16">
        <f>B21*400</f>
        <v>82000</v>
      </c>
      <c r="D21" s="15">
        <v>2.5</v>
      </c>
      <c r="E21" s="16">
        <f>C21*D21</f>
        <v>205000</v>
      </c>
      <c r="F21" s="17">
        <f>AVERAGE(E21:E23)</f>
        <v>189666.66666666666</v>
      </c>
      <c r="G21" s="18">
        <f>_xlfn.STDEV.S(E21:E23)</f>
        <v>14189.197769195174</v>
      </c>
      <c r="H21" s="7"/>
      <c r="I21" s="24" t="s">
        <v>27</v>
      </c>
      <c r="J21" s="15">
        <v>103</v>
      </c>
      <c r="K21" s="16">
        <f>J21*400</f>
        <v>41200</v>
      </c>
      <c r="L21" s="15">
        <v>2.5</v>
      </c>
      <c r="M21" s="16">
        <f>K21*L21</f>
        <v>103000</v>
      </c>
      <c r="N21" s="25">
        <f>AVERAGE(M21:M23)</f>
        <v>114333.33333333333</v>
      </c>
      <c r="O21" s="18">
        <f>_xlfn.STDEV.S(M21:M23)</f>
        <v>11503.622617824931</v>
      </c>
    </row>
    <row r="22" spans="1:23" x14ac:dyDescent="0.2">
      <c r="A22" s="14" t="s">
        <v>23</v>
      </c>
      <c r="B22" s="15">
        <v>187</v>
      </c>
      <c r="C22" s="16">
        <f>B22*400</f>
        <v>74800</v>
      </c>
      <c r="D22" s="15">
        <v>2.5</v>
      </c>
      <c r="E22" s="16">
        <f>C22*D22</f>
        <v>187000</v>
      </c>
      <c r="F22" s="16"/>
      <c r="G22" s="19"/>
      <c r="H22" s="7"/>
      <c r="I22" s="24" t="s">
        <v>28</v>
      </c>
      <c r="J22" s="15">
        <v>114</v>
      </c>
      <c r="K22" s="16">
        <f>J22*400</f>
        <v>45600</v>
      </c>
      <c r="L22" s="15">
        <v>2.5</v>
      </c>
      <c r="M22" s="16">
        <f>K22*L22</f>
        <v>114000</v>
      </c>
      <c r="N22" s="16"/>
      <c r="O22" s="19"/>
    </row>
    <row r="23" spans="1:23" x14ac:dyDescent="0.2">
      <c r="A23" s="20" t="s">
        <v>24</v>
      </c>
      <c r="B23" s="21">
        <v>177</v>
      </c>
      <c r="C23" s="22">
        <f>B23*400</f>
        <v>70800</v>
      </c>
      <c r="D23" s="21">
        <v>2.5</v>
      </c>
      <c r="E23" s="22">
        <f>C23*D23</f>
        <v>177000</v>
      </c>
      <c r="F23" s="22"/>
      <c r="G23" s="23"/>
      <c r="H23" s="8"/>
      <c r="I23" s="27" t="s">
        <v>29</v>
      </c>
      <c r="J23" s="21">
        <v>126</v>
      </c>
      <c r="K23" s="22">
        <f>J23*400</f>
        <v>50400</v>
      </c>
      <c r="L23" s="21">
        <v>2.5</v>
      </c>
      <c r="M23" s="22">
        <f>K23*L23</f>
        <v>126000</v>
      </c>
      <c r="N23" s="22"/>
      <c r="O23" s="23"/>
    </row>
    <row r="24" spans="1:23" x14ac:dyDescent="0.2">
      <c r="A24" s="14"/>
      <c r="B24" s="15"/>
      <c r="C24" s="16"/>
      <c r="D24" s="15"/>
      <c r="E24" s="16"/>
      <c r="F24" s="16"/>
      <c r="G24" s="16"/>
      <c r="H24" s="15"/>
      <c r="I24" s="26"/>
      <c r="J24" s="15"/>
      <c r="K24" s="16"/>
      <c r="L24" s="15"/>
      <c r="M24" s="16"/>
      <c r="N24" s="16"/>
      <c r="O24" s="19"/>
    </row>
    <row r="25" spans="1:23" x14ac:dyDescent="0.2">
      <c r="A25" s="14"/>
      <c r="B25" s="15"/>
      <c r="C25" s="16"/>
      <c r="D25" s="15"/>
      <c r="E25" s="16"/>
      <c r="F25" s="16"/>
      <c r="G25" s="16"/>
      <c r="H25" s="15"/>
      <c r="I25" s="26"/>
      <c r="J25" s="15"/>
      <c r="K25" s="16"/>
      <c r="L25" s="15"/>
      <c r="M25" s="16"/>
      <c r="N25" s="16"/>
      <c r="O25" s="19"/>
    </row>
    <row r="26" spans="1:23" x14ac:dyDescent="0.2">
      <c r="A26" s="14"/>
      <c r="B26" s="15"/>
      <c r="C26" s="16"/>
      <c r="D26" s="15"/>
      <c r="E26" s="16"/>
      <c r="F26" s="16"/>
      <c r="G26" s="16"/>
      <c r="H26" s="15"/>
      <c r="I26" s="26"/>
      <c r="J26" s="15"/>
      <c r="K26" s="16"/>
      <c r="L26" s="15"/>
      <c r="M26" s="16"/>
      <c r="N26" s="16"/>
      <c r="O26" s="19"/>
    </row>
    <row r="27" spans="1:23" ht="15.75" customHeight="1" x14ac:dyDescent="0.25">
      <c r="A27" s="66" t="s">
        <v>33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8"/>
    </row>
    <row r="28" spans="1:23" ht="16" x14ac:dyDescent="0.2">
      <c r="A28" s="60" t="s">
        <v>34</v>
      </c>
      <c r="B28" s="61"/>
      <c r="C28" s="61"/>
      <c r="D28" s="61"/>
      <c r="E28" s="61"/>
      <c r="F28" s="61"/>
      <c r="G28" s="62"/>
      <c r="H28" s="15"/>
      <c r="I28" s="69" t="s">
        <v>25</v>
      </c>
      <c r="J28" s="70"/>
      <c r="K28" s="70"/>
      <c r="L28" s="70"/>
      <c r="M28" s="70"/>
      <c r="N28" s="70"/>
      <c r="O28" s="71"/>
    </row>
    <row r="29" spans="1:23" ht="32" x14ac:dyDescent="0.2">
      <c r="A29" s="4" t="s">
        <v>0</v>
      </c>
      <c r="B29" s="5" t="s">
        <v>5</v>
      </c>
      <c r="C29" s="5" t="s">
        <v>6</v>
      </c>
      <c r="D29" s="5" t="s">
        <v>7</v>
      </c>
      <c r="E29" s="5" t="s">
        <v>8</v>
      </c>
      <c r="F29" s="9" t="s">
        <v>9</v>
      </c>
      <c r="G29" s="6" t="s">
        <v>10</v>
      </c>
      <c r="H29" s="15"/>
      <c r="I29" s="10" t="s">
        <v>0</v>
      </c>
      <c r="J29" s="11" t="s">
        <v>5</v>
      </c>
      <c r="K29" s="11" t="s">
        <v>6</v>
      </c>
      <c r="L29" s="11" t="s">
        <v>7</v>
      </c>
      <c r="M29" s="11" t="s">
        <v>8</v>
      </c>
      <c r="N29" s="12" t="s">
        <v>9</v>
      </c>
      <c r="O29" s="13" t="s">
        <v>10</v>
      </c>
    </row>
    <row r="30" spans="1:23" x14ac:dyDescent="0.2">
      <c r="A30" s="14" t="s">
        <v>12</v>
      </c>
      <c r="B30" s="15">
        <v>3694</v>
      </c>
      <c r="C30" s="16">
        <f>B30*400</f>
        <v>1477600</v>
      </c>
      <c r="D30" s="15">
        <v>2.5</v>
      </c>
      <c r="E30" s="16">
        <f>C30*D30</f>
        <v>3694000</v>
      </c>
      <c r="F30" s="17">
        <f>AVERAGE(E30:E32)</f>
        <v>3640333.3333333335</v>
      </c>
      <c r="G30" s="18">
        <f>_xlfn.STDEV.S(E30:E32)</f>
        <v>49318.691520896347</v>
      </c>
      <c r="H30" s="15"/>
      <c r="I30" s="14" t="s">
        <v>16</v>
      </c>
      <c r="J30" s="15">
        <v>221</v>
      </c>
      <c r="K30" s="16">
        <f>J30*400</f>
        <v>88400</v>
      </c>
      <c r="L30" s="15">
        <v>2.5</v>
      </c>
      <c r="M30" s="16">
        <f>K30*L30</f>
        <v>221000</v>
      </c>
      <c r="N30" s="17">
        <f>AVERAGE(M30:M32)</f>
        <v>205333.33333333334</v>
      </c>
      <c r="O30" s="18">
        <f>_xlfn.STDEV.S(K30:K32)</f>
        <v>5604.7598818623201</v>
      </c>
    </row>
    <row r="31" spans="1:23" x14ac:dyDescent="0.2">
      <c r="A31" s="14" t="s">
        <v>13</v>
      </c>
      <c r="B31" s="15">
        <v>3630</v>
      </c>
      <c r="C31" s="16">
        <f>B31*400</f>
        <v>1452000</v>
      </c>
      <c r="D31" s="15">
        <v>2.5</v>
      </c>
      <c r="E31" s="16">
        <f>C31*D31</f>
        <v>3630000</v>
      </c>
      <c r="F31" s="16"/>
      <c r="G31" s="19"/>
      <c r="H31" s="15"/>
      <c r="I31" s="14" t="s">
        <v>17</v>
      </c>
      <c r="J31" s="15">
        <v>201</v>
      </c>
      <c r="K31" s="16">
        <f>J31*400</f>
        <v>80400</v>
      </c>
      <c r="L31" s="15">
        <v>2.5</v>
      </c>
      <c r="M31" s="16">
        <f>K31*L31</f>
        <v>201000</v>
      </c>
      <c r="N31" s="16"/>
      <c r="O31" s="19"/>
    </row>
    <row r="32" spans="1:23" x14ac:dyDescent="0.2">
      <c r="A32" s="20" t="s">
        <v>14</v>
      </c>
      <c r="B32" s="21">
        <v>3597</v>
      </c>
      <c r="C32" s="22">
        <f>B32*400</f>
        <v>1438800</v>
      </c>
      <c r="D32" s="21">
        <v>2.5</v>
      </c>
      <c r="E32" s="22">
        <f>C32*D32</f>
        <v>3597000</v>
      </c>
      <c r="F32" s="22"/>
      <c r="G32" s="23"/>
      <c r="H32" s="15"/>
      <c r="I32" s="20" t="s">
        <v>18</v>
      </c>
      <c r="J32" s="21">
        <v>194</v>
      </c>
      <c r="K32" s="22">
        <f>J32*400</f>
        <v>77600</v>
      </c>
      <c r="L32" s="21">
        <v>2.5</v>
      </c>
      <c r="M32" s="22">
        <f>K32*L32</f>
        <v>194000</v>
      </c>
      <c r="N32" s="22"/>
      <c r="O32" s="23"/>
    </row>
    <row r="33" spans="1:22" x14ac:dyDescent="0.2">
      <c r="A33" s="14"/>
      <c r="B33" s="15"/>
      <c r="C33" s="16"/>
      <c r="D33" s="15"/>
      <c r="E33" s="16"/>
      <c r="F33" s="16"/>
      <c r="G33" s="16"/>
      <c r="H33" s="15"/>
      <c r="I33" s="26"/>
      <c r="J33" s="15"/>
      <c r="K33" s="16"/>
      <c r="L33" s="15"/>
      <c r="M33" s="16"/>
      <c r="N33" s="16"/>
      <c r="O33" s="19"/>
    </row>
    <row r="34" spans="1:22" ht="15.75" customHeight="1" x14ac:dyDescent="0.2">
      <c r="A34" s="60" t="s">
        <v>35</v>
      </c>
      <c r="B34" s="61"/>
      <c r="C34" s="61"/>
      <c r="D34" s="61"/>
      <c r="E34" s="61"/>
      <c r="F34" s="61"/>
      <c r="G34" s="62"/>
      <c r="H34" s="7"/>
      <c r="I34" s="63" t="s">
        <v>15</v>
      </c>
      <c r="J34" s="64"/>
      <c r="K34" s="64"/>
      <c r="L34" s="64"/>
      <c r="M34" s="64"/>
      <c r="N34" s="64"/>
      <c r="O34" s="65"/>
    </row>
    <row r="35" spans="1:22" ht="32" x14ac:dyDescent="0.2">
      <c r="A35" s="10" t="s">
        <v>0</v>
      </c>
      <c r="B35" s="11" t="s">
        <v>5</v>
      </c>
      <c r="C35" s="11" t="s">
        <v>6</v>
      </c>
      <c r="D35" s="11" t="s">
        <v>7</v>
      </c>
      <c r="E35" s="11" t="s">
        <v>8</v>
      </c>
      <c r="F35" s="12" t="s">
        <v>9</v>
      </c>
      <c r="G35" s="13" t="s">
        <v>10</v>
      </c>
      <c r="H35" s="7"/>
      <c r="I35" s="10" t="s">
        <v>0</v>
      </c>
      <c r="J35" s="11" t="s">
        <v>5</v>
      </c>
      <c r="K35" s="11" t="s">
        <v>6</v>
      </c>
      <c r="L35" s="11" t="s">
        <v>7</v>
      </c>
      <c r="M35" s="11" t="s">
        <v>8</v>
      </c>
      <c r="N35" s="12" t="s">
        <v>9</v>
      </c>
      <c r="O35" s="13" t="s">
        <v>10</v>
      </c>
    </row>
    <row r="36" spans="1:22" x14ac:dyDescent="0.2">
      <c r="A36" s="14" t="s">
        <v>22</v>
      </c>
      <c r="B36" s="15">
        <v>1506</v>
      </c>
      <c r="C36" s="16">
        <f>B36*400</f>
        <v>602400</v>
      </c>
      <c r="D36" s="15">
        <v>2.5</v>
      </c>
      <c r="E36" s="16">
        <f>C36*D36</f>
        <v>1506000</v>
      </c>
      <c r="F36" s="17">
        <f>AVERAGE(E36:E38)</f>
        <v>1463333.3333333333</v>
      </c>
      <c r="G36" s="18">
        <f>_xlfn.STDEV.S(E36:E38)</f>
        <v>50212.88015373479</v>
      </c>
      <c r="H36" s="7"/>
      <c r="I36" s="24" t="s">
        <v>27</v>
      </c>
      <c r="J36" s="15">
        <v>89</v>
      </c>
      <c r="K36" s="16">
        <f>J36*400</f>
        <v>35600</v>
      </c>
      <c r="L36" s="15">
        <v>2.5</v>
      </c>
      <c r="M36" s="16">
        <f>K36*L36</f>
        <v>89000</v>
      </c>
      <c r="N36" s="25">
        <f>AVERAGE(M36:M38)</f>
        <v>97333.333333333328</v>
      </c>
      <c r="O36" s="18">
        <f>_xlfn.STDEV.S(M36:M38)</f>
        <v>9073.7717258774665</v>
      </c>
    </row>
    <row r="37" spans="1:22" x14ac:dyDescent="0.2">
      <c r="A37" s="14" t="s">
        <v>23</v>
      </c>
      <c r="B37" s="15">
        <v>1408</v>
      </c>
      <c r="C37" s="16">
        <f>B37*400</f>
        <v>563200</v>
      </c>
      <c r="D37" s="15">
        <v>2.5</v>
      </c>
      <c r="E37" s="16">
        <f>C37*D37</f>
        <v>1408000</v>
      </c>
      <c r="F37" s="16"/>
      <c r="G37" s="19"/>
      <c r="H37" s="7"/>
      <c r="I37" s="24" t="s">
        <v>28</v>
      </c>
      <c r="J37" s="15">
        <v>107</v>
      </c>
      <c r="K37" s="16">
        <f>J37*400</f>
        <v>42800</v>
      </c>
      <c r="L37" s="15">
        <v>2.5</v>
      </c>
      <c r="M37" s="16">
        <f>K37*L37</f>
        <v>107000</v>
      </c>
      <c r="N37" s="16"/>
      <c r="O37" s="19"/>
    </row>
    <row r="38" spans="1:22" x14ac:dyDescent="0.2">
      <c r="A38" s="20" t="s">
        <v>24</v>
      </c>
      <c r="B38" s="21">
        <v>1476</v>
      </c>
      <c r="C38" s="22">
        <f>B38*400</f>
        <v>590400</v>
      </c>
      <c r="D38" s="21">
        <v>2.5</v>
      </c>
      <c r="E38" s="22">
        <f>C38*D38</f>
        <v>1476000</v>
      </c>
      <c r="F38" s="22"/>
      <c r="G38" s="23"/>
      <c r="H38" s="8"/>
      <c r="I38" s="27" t="s">
        <v>29</v>
      </c>
      <c r="J38" s="21">
        <v>96</v>
      </c>
      <c r="K38" s="22">
        <f>J38*400</f>
        <v>38400</v>
      </c>
      <c r="L38" s="21">
        <v>2.5</v>
      </c>
      <c r="M38" s="22">
        <f>K38*L38</f>
        <v>96000</v>
      </c>
      <c r="N38" s="22"/>
      <c r="O38" s="23"/>
    </row>
    <row r="39" spans="1:22" x14ac:dyDescent="0.2">
      <c r="A39" s="14"/>
      <c r="B39" s="15"/>
      <c r="C39" s="16"/>
      <c r="D39" s="15"/>
      <c r="E39" s="16"/>
      <c r="F39" s="16"/>
      <c r="G39" s="16"/>
      <c r="H39" s="7"/>
      <c r="I39" s="28"/>
      <c r="J39" s="15"/>
      <c r="K39" s="16"/>
      <c r="L39" s="15"/>
      <c r="M39" s="16"/>
      <c r="N39" s="16"/>
      <c r="O39" s="19"/>
    </row>
    <row r="40" spans="1:22" x14ac:dyDescent="0.2">
      <c r="A40" s="14"/>
      <c r="B40" s="15"/>
      <c r="C40" s="16"/>
      <c r="D40" s="15"/>
      <c r="E40" s="16"/>
      <c r="F40" s="16"/>
      <c r="G40" s="16"/>
      <c r="H40" s="7"/>
      <c r="I40" s="28"/>
      <c r="J40" s="15"/>
      <c r="K40" s="16"/>
      <c r="L40" s="15"/>
      <c r="M40" s="16"/>
      <c r="N40" s="16"/>
      <c r="O40" s="19"/>
    </row>
    <row r="41" spans="1:22" x14ac:dyDescent="0.2">
      <c r="A41" s="14"/>
      <c r="B41" s="15"/>
      <c r="C41" s="16"/>
      <c r="D41" s="15"/>
      <c r="E41" s="16"/>
      <c r="F41" s="16"/>
      <c r="G41" s="16"/>
      <c r="H41" s="15"/>
      <c r="I41" s="26"/>
      <c r="J41" s="15"/>
      <c r="K41" s="16"/>
      <c r="L41" s="15"/>
      <c r="M41" s="16"/>
      <c r="N41" s="16"/>
      <c r="O41" s="19"/>
    </row>
    <row r="42" spans="1:22" ht="19" x14ac:dyDescent="0.25">
      <c r="A42" s="66" t="s">
        <v>32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8"/>
      <c r="P42" s="26"/>
      <c r="Q42" s="15"/>
      <c r="R42" s="16"/>
      <c r="S42" s="15"/>
      <c r="T42" s="16"/>
      <c r="U42" s="16"/>
      <c r="V42" s="16"/>
    </row>
    <row r="43" spans="1:22" ht="16" x14ac:dyDescent="0.2">
      <c r="A43" s="60" t="s">
        <v>11</v>
      </c>
      <c r="B43" s="61"/>
      <c r="C43" s="61"/>
      <c r="D43" s="61"/>
      <c r="E43" s="61"/>
      <c r="F43" s="61"/>
      <c r="G43" s="62"/>
      <c r="H43" s="15"/>
      <c r="I43" s="69" t="s">
        <v>25</v>
      </c>
      <c r="J43" s="70"/>
      <c r="K43" s="70"/>
      <c r="L43" s="70"/>
      <c r="M43" s="70"/>
      <c r="N43" s="70"/>
      <c r="O43" s="71"/>
    </row>
    <row r="44" spans="1:22" ht="32" x14ac:dyDescent="0.2">
      <c r="A44" s="4" t="s">
        <v>0</v>
      </c>
      <c r="B44" s="5" t="s">
        <v>5</v>
      </c>
      <c r="C44" s="5" t="s">
        <v>6</v>
      </c>
      <c r="D44" s="5" t="s">
        <v>7</v>
      </c>
      <c r="E44" s="5" t="s">
        <v>8</v>
      </c>
      <c r="F44" s="9" t="s">
        <v>9</v>
      </c>
      <c r="G44" s="6" t="s">
        <v>10</v>
      </c>
      <c r="H44" s="15"/>
      <c r="I44" s="10" t="s">
        <v>0</v>
      </c>
      <c r="J44" s="11" t="s">
        <v>5</v>
      </c>
      <c r="K44" s="11" t="s">
        <v>6</v>
      </c>
      <c r="L44" s="11" t="s">
        <v>7</v>
      </c>
      <c r="M44" s="11" t="s">
        <v>8</v>
      </c>
      <c r="N44" s="12" t="s">
        <v>9</v>
      </c>
      <c r="O44" s="13" t="s">
        <v>10</v>
      </c>
    </row>
    <row r="45" spans="1:22" x14ac:dyDescent="0.2">
      <c r="A45" s="14" t="s">
        <v>12</v>
      </c>
      <c r="B45" s="15">
        <v>4340</v>
      </c>
      <c r="C45" s="16">
        <f>B45*400</f>
        <v>1736000</v>
      </c>
      <c r="D45" s="15">
        <v>2.5</v>
      </c>
      <c r="E45" s="16">
        <f>C45*D45</f>
        <v>4340000</v>
      </c>
      <c r="F45" s="17">
        <f>AVERAGE(E45:E47)</f>
        <v>4290333.333333333</v>
      </c>
      <c r="G45" s="18">
        <f>_xlfn.STDEV.S(E45:E47)</f>
        <v>227601.25951614004</v>
      </c>
      <c r="H45" s="15"/>
      <c r="I45" s="14" t="s">
        <v>16</v>
      </c>
      <c r="J45" s="15">
        <v>503</v>
      </c>
      <c r="K45" s="16">
        <f>J45*400</f>
        <v>201200</v>
      </c>
      <c r="L45" s="15">
        <v>2.5</v>
      </c>
      <c r="M45" s="16">
        <f>K45*L45</f>
        <v>503000</v>
      </c>
      <c r="N45" s="17">
        <f>AVERAGE(M45:M47)</f>
        <v>537000</v>
      </c>
      <c r="O45" s="18">
        <f>_xlfn.STDEV.S(K45:K47)</f>
        <v>12106.196760337245</v>
      </c>
    </row>
    <row r="46" spans="1:22" x14ac:dyDescent="0.2">
      <c r="A46" s="14" t="s">
        <v>13</v>
      </c>
      <c r="B46" s="15">
        <v>4042</v>
      </c>
      <c r="C46" s="16">
        <f>B46*400</f>
        <v>1616800</v>
      </c>
      <c r="D46" s="15">
        <v>2.5</v>
      </c>
      <c r="E46" s="16">
        <f>C46*D46</f>
        <v>4042000</v>
      </c>
      <c r="F46" s="16"/>
      <c r="G46" s="19"/>
      <c r="H46" s="15"/>
      <c r="I46" s="14" t="s">
        <v>17</v>
      </c>
      <c r="J46" s="15">
        <v>561</v>
      </c>
      <c r="K46" s="16">
        <f>J46*400</f>
        <v>224400</v>
      </c>
      <c r="L46" s="15">
        <v>2.5</v>
      </c>
      <c r="M46" s="16">
        <f>K46*L46</f>
        <v>561000</v>
      </c>
      <c r="N46" s="16"/>
      <c r="O46" s="19"/>
    </row>
    <row r="47" spans="1:22" x14ac:dyDescent="0.2">
      <c r="A47" s="20" t="s">
        <v>14</v>
      </c>
      <c r="B47" s="21">
        <v>4489</v>
      </c>
      <c r="C47" s="22">
        <f>B47*400</f>
        <v>1795600</v>
      </c>
      <c r="D47" s="21">
        <v>2.5</v>
      </c>
      <c r="E47" s="22">
        <f>C47*D47</f>
        <v>4489000</v>
      </c>
      <c r="F47" s="22"/>
      <c r="G47" s="23"/>
      <c r="H47" s="15"/>
      <c r="I47" s="20" t="s">
        <v>18</v>
      </c>
      <c r="J47" s="21">
        <v>547</v>
      </c>
      <c r="K47" s="22">
        <f>J47*400</f>
        <v>218800</v>
      </c>
      <c r="L47" s="21">
        <v>2.5</v>
      </c>
      <c r="M47" s="22">
        <f>K47*L47</f>
        <v>547000</v>
      </c>
      <c r="N47" s="22"/>
      <c r="O47" s="23"/>
    </row>
    <row r="48" spans="1:22" x14ac:dyDescent="0.2">
      <c r="A48" s="14"/>
      <c r="B48" s="15"/>
      <c r="C48" s="16"/>
      <c r="D48" s="15"/>
      <c r="E48" s="16"/>
      <c r="F48" s="16"/>
      <c r="G48" s="16"/>
      <c r="H48" s="15"/>
      <c r="I48" s="26"/>
      <c r="J48" s="15"/>
      <c r="K48" s="16"/>
      <c r="L48" s="15"/>
      <c r="M48" s="16"/>
      <c r="N48" s="16"/>
      <c r="O48" s="19"/>
    </row>
    <row r="49" spans="1:15" ht="15.75" customHeight="1" x14ac:dyDescent="0.2">
      <c r="A49" s="60" t="s">
        <v>26</v>
      </c>
      <c r="B49" s="61"/>
      <c r="C49" s="61"/>
      <c r="D49" s="61"/>
      <c r="E49" s="61"/>
      <c r="F49" s="61"/>
      <c r="G49" s="62"/>
      <c r="H49" s="7"/>
      <c r="I49" s="63" t="s">
        <v>15</v>
      </c>
      <c r="J49" s="64"/>
      <c r="K49" s="64"/>
      <c r="L49" s="64"/>
      <c r="M49" s="64"/>
      <c r="N49" s="64"/>
      <c r="O49" s="65"/>
    </row>
    <row r="50" spans="1:15" ht="32" x14ac:dyDescent="0.2">
      <c r="A50" s="10" t="s">
        <v>0</v>
      </c>
      <c r="B50" s="11" t="s">
        <v>5</v>
      </c>
      <c r="C50" s="11" t="s">
        <v>6</v>
      </c>
      <c r="D50" s="11" t="s">
        <v>7</v>
      </c>
      <c r="E50" s="11" t="s">
        <v>8</v>
      </c>
      <c r="F50" s="12" t="s">
        <v>9</v>
      </c>
      <c r="G50" s="13" t="s">
        <v>10</v>
      </c>
      <c r="H50" s="7"/>
      <c r="I50" s="10" t="s">
        <v>0</v>
      </c>
      <c r="J50" s="11" t="s">
        <v>5</v>
      </c>
      <c r="K50" s="11" t="s">
        <v>6</v>
      </c>
      <c r="L50" s="11" t="s">
        <v>7</v>
      </c>
      <c r="M50" s="11" t="s">
        <v>8</v>
      </c>
      <c r="N50" s="12" t="s">
        <v>9</v>
      </c>
      <c r="O50" s="13" t="s">
        <v>10</v>
      </c>
    </row>
    <row r="51" spans="1:15" x14ac:dyDescent="0.2">
      <c r="A51" s="14" t="s">
        <v>22</v>
      </c>
      <c r="B51" s="15">
        <v>2380</v>
      </c>
      <c r="C51" s="16">
        <f>B51*400</f>
        <v>952000</v>
      </c>
      <c r="D51" s="15">
        <v>2.5</v>
      </c>
      <c r="E51" s="16">
        <f>C51*D51</f>
        <v>2380000</v>
      </c>
      <c r="F51" s="17">
        <f>AVERAGE(E51:E53)</f>
        <v>2416333.3333333335</v>
      </c>
      <c r="G51" s="18">
        <f>_xlfn.STDEV.S(E51:E53)</f>
        <v>178298.43895371977</v>
      </c>
      <c r="H51" s="7"/>
      <c r="I51" s="24" t="s">
        <v>27</v>
      </c>
      <c r="J51" s="15">
        <v>64</v>
      </c>
      <c r="K51" s="16">
        <f>J51*400</f>
        <v>25600</v>
      </c>
      <c r="L51" s="15">
        <v>2.5</v>
      </c>
      <c r="M51" s="16">
        <f>K51*L51</f>
        <v>64000</v>
      </c>
      <c r="N51" s="25">
        <f>AVERAGE(M51:M53)</f>
        <v>66000</v>
      </c>
      <c r="O51" s="18">
        <f>_xlfn.STDEV.S(M51:M53)</f>
        <v>5291.502622129181</v>
      </c>
    </row>
    <row r="52" spans="1:15" x14ac:dyDescent="0.2">
      <c r="A52" s="14" t="s">
        <v>23</v>
      </c>
      <c r="B52" s="15">
        <v>2610</v>
      </c>
      <c r="C52" s="16">
        <f>B52*400</f>
        <v>1044000</v>
      </c>
      <c r="D52" s="15">
        <v>2.5</v>
      </c>
      <c r="E52" s="16">
        <f>C52*D52</f>
        <v>2610000</v>
      </c>
      <c r="F52" s="16"/>
      <c r="G52" s="19"/>
      <c r="H52" s="7"/>
      <c r="I52" s="24" t="s">
        <v>28</v>
      </c>
      <c r="J52" s="15">
        <v>62</v>
      </c>
      <c r="K52" s="16">
        <f>J52*400</f>
        <v>24800</v>
      </c>
      <c r="L52" s="15">
        <v>2.5</v>
      </c>
      <c r="M52" s="16">
        <f>K52*L52</f>
        <v>62000</v>
      </c>
      <c r="N52" s="16"/>
      <c r="O52" s="19"/>
    </row>
    <row r="53" spans="1:15" x14ac:dyDescent="0.2">
      <c r="A53" s="20" t="s">
        <v>24</v>
      </c>
      <c r="B53" s="21">
        <v>2259</v>
      </c>
      <c r="C53" s="22">
        <f>B53*400</f>
        <v>903600</v>
      </c>
      <c r="D53" s="21">
        <v>2.5</v>
      </c>
      <c r="E53" s="22">
        <f>C53*D53</f>
        <v>2259000</v>
      </c>
      <c r="F53" s="22"/>
      <c r="G53" s="23"/>
      <c r="H53" s="8"/>
      <c r="I53" s="27" t="s">
        <v>29</v>
      </c>
      <c r="J53" s="21">
        <v>72</v>
      </c>
      <c r="K53" s="22">
        <f>J53*400</f>
        <v>28800</v>
      </c>
      <c r="L53" s="21">
        <v>2.5</v>
      </c>
      <c r="M53" s="22">
        <f>K53*L53</f>
        <v>72000</v>
      </c>
      <c r="N53" s="22"/>
      <c r="O53" s="23"/>
    </row>
    <row r="54" spans="1:15" x14ac:dyDescent="0.2">
      <c r="A54" s="14"/>
      <c r="B54" s="15"/>
      <c r="C54" s="16"/>
      <c r="D54" s="15"/>
      <c r="E54" s="16"/>
      <c r="F54" s="16"/>
      <c r="G54" s="16"/>
      <c r="H54" s="15"/>
      <c r="I54" s="26"/>
      <c r="J54" s="15"/>
      <c r="K54" s="16"/>
      <c r="L54" s="15"/>
      <c r="M54" s="16"/>
      <c r="N54" s="16"/>
      <c r="O54" s="19"/>
    </row>
    <row r="55" spans="1:15" x14ac:dyDescent="0.2">
      <c r="B55" t="s">
        <v>36</v>
      </c>
      <c r="C55" t="s">
        <v>37</v>
      </c>
      <c r="D55" t="s">
        <v>38</v>
      </c>
    </row>
    <row r="56" spans="1:15" x14ac:dyDescent="0.2">
      <c r="A56" s="29" t="s">
        <v>42</v>
      </c>
      <c r="B56" s="31">
        <v>943000</v>
      </c>
      <c r="C56" s="31">
        <v>3640333.3333333335</v>
      </c>
      <c r="D56" s="31">
        <v>4290333.333333333</v>
      </c>
      <c r="F56" t="s">
        <v>39</v>
      </c>
      <c r="G56" s="17">
        <v>39000</v>
      </c>
    </row>
    <row r="57" spans="1:15" x14ac:dyDescent="0.2">
      <c r="A57" s="29" t="s">
        <v>40</v>
      </c>
      <c r="B57" s="31">
        <v>189666.66666666666</v>
      </c>
      <c r="C57" s="31">
        <v>1463333.3333333333</v>
      </c>
      <c r="D57" s="31">
        <v>2416333.3333333335</v>
      </c>
    </row>
    <row r="58" spans="1:15" x14ac:dyDescent="0.2">
      <c r="A58" s="30" t="s">
        <v>41</v>
      </c>
      <c r="B58" s="32">
        <v>114333.33333333333</v>
      </c>
      <c r="C58" s="32">
        <v>97333.333333333328</v>
      </c>
      <c r="D58" s="32">
        <v>66000</v>
      </c>
    </row>
    <row r="59" spans="1:15" x14ac:dyDescent="0.2">
      <c r="A59" s="29" t="s">
        <v>25</v>
      </c>
      <c r="B59" s="31">
        <v>140000</v>
      </c>
      <c r="C59" s="31">
        <v>205333.33333333334</v>
      </c>
      <c r="D59" s="31">
        <v>537000</v>
      </c>
    </row>
    <row r="61" spans="1:15" x14ac:dyDescent="0.2">
      <c r="A61" s="33" t="s">
        <v>43</v>
      </c>
    </row>
    <row r="62" spans="1:15" x14ac:dyDescent="0.2">
      <c r="B62" t="s">
        <v>36</v>
      </c>
      <c r="C62" t="s">
        <v>37</v>
      </c>
      <c r="D62" t="s">
        <v>38</v>
      </c>
    </row>
    <row r="63" spans="1:15" x14ac:dyDescent="0.2">
      <c r="A63" s="29" t="s">
        <v>42</v>
      </c>
      <c r="B63" s="34">
        <f>B56/G56</f>
        <v>24.179487179487179</v>
      </c>
      <c r="C63" s="34">
        <f>C56/G56</f>
        <v>93.341880341880341</v>
      </c>
      <c r="D63" s="34">
        <f>D56/G56</f>
        <v>110.008547008547</v>
      </c>
    </row>
    <row r="64" spans="1:15" x14ac:dyDescent="0.2">
      <c r="A64" s="29" t="s">
        <v>40</v>
      </c>
      <c r="B64" s="34">
        <f>B57/G56</f>
        <v>4.8632478632478628</v>
      </c>
      <c r="C64" s="34">
        <f>C57/G56</f>
        <v>37.521367521367516</v>
      </c>
      <c r="D64" s="34">
        <f>D57/G56</f>
        <v>61.957264957264961</v>
      </c>
    </row>
    <row r="65" spans="1:4" x14ac:dyDescent="0.2">
      <c r="A65" s="30" t="s">
        <v>41</v>
      </c>
      <c r="B65" s="35">
        <f>B58/G56</f>
        <v>2.9316239316239314</v>
      </c>
      <c r="C65" s="35">
        <f>C58/G56</f>
        <v>2.4957264957264957</v>
      </c>
      <c r="D65" s="35">
        <f>D58/G56</f>
        <v>1.6923076923076923</v>
      </c>
    </row>
    <row r="66" spans="1:4" x14ac:dyDescent="0.2">
      <c r="A66" s="29" t="s">
        <v>25</v>
      </c>
      <c r="B66" s="34">
        <f>B59/G56</f>
        <v>3.5897435897435899</v>
      </c>
      <c r="C66" s="34">
        <f>C59/G56</f>
        <v>5.2649572649572649</v>
      </c>
      <c r="D66" s="34">
        <f>D59/G56</f>
        <v>13.76923076923077</v>
      </c>
    </row>
  </sheetData>
  <mergeCells count="17">
    <mergeCell ref="A19:G19"/>
    <mergeCell ref="I19:O19"/>
    <mergeCell ref="A5:G5"/>
    <mergeCell ref="A6:G6"/>
    <mergeCell ref="A12:O12"/>
    <mergeCell ref="A13:G13"/>
    <mergeCell ref="I13:O13"/>
    <mergeCell ref="A49:G49"/>
    <mergeCell ref="I49:O49"/>
    <mergeCell ref="A34:G34"/>
    <mergeCell ref="I34:O34"/>
    <mergeCell ref="A27:O27"/>
    <mergeCell ref="A28:G28"/>
    <mergeCell ref="A42:O42"/>
    <mergeCell ref="A43:G43"/>
    <mergeCell ref="I43:O43"/>
    <mergeCell ref="I28:O28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6"/>
  <sheetViews>
    <sheetView workbookViewId="0">
      <selection activeCell="G56" sqref="G56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8" width="9.5" bestFit="1" customWidth="1"/>
    <col min="9" max="9" width="20.3320312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</cols>
  <sheetData>
    <row r="1" spans="1:15" ht="19" x14ac:dyDescent="0.25">
      <c r="A1" s="3" t="s">
        <v>53</v>
      </c>
    </row>
    <row r="2" spans="1:15" x14ac:dyDescent="0.2">
      <c r="A2" t="s">
        <v>52</v>
      </c>
    </row>
    <row r="3" spans="1:15" x14ac:dyDescent="0.2">
      <c r="A3" s="2" t="s">
        <v>51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5" ht="19" x14ac:dyDescent="0.25">
      <c r="A5" s="66" t="s">
        <v>20</v>
      </c>
      <c r="B5" s="67"/>
      <c r="C5" s="67"/>
      <c r="D5" s="67"/>
      <c r="E5" s="67"/>
      <c r="F5" s="67"/>
      <c r="G5" s="68"/>
    </row>
    <row r="6" spans="1:15" ht="16" x14ac:dyDescent="0.2">
      <c r="A6" s="60" t="s">
        <v>1</v>
      </c>
      <c r="B6" s="61"/>
      <c r="C6" s="61"/>
      <c r="D6" s="61"/>
      <c r="E6" s="61"/>
      <c r="F6" s="61"/>
      <c r="G6" s="62"/>
    </row>
    <row r="7" spans="1:15" ht="32" x14ac:dyDescent="0.2">
      <c r="A7" s="4" t="s">
        <v>0</v>
      </c>
      <c r="B7" s="5" t="s">
        <v>5</v>
      </c>
      <c r="C7" s="5" t="s">
        <v>6</v>
      </c>
      <c r="D7" s="5" t="s">
        <v>7</v>
      </c>
      <c r="E7" s="5" t="s">
        <v>8</v>
      </c>
      <c r="F7" s="9" t="s">
        <v>9</v>
      </c>
      <c r="G7" s="6" t="s">
        <v>10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14" t="s">
        <v>2</v>
      </c>
      <c r="B8" s="15">
        <v>36</v>
      </c>
      <c r="C8" s="16">
        <f>B8*400</f>
        <v>14400</v>
      </c>
      <c r="D8" s="15">
        <v>2.5</v>
      </c>
      <c r="E8" s="16">
        <f>C8*D8</f>
        <v>36000</v>
      </c>
      <c r="F8" s="17">
        <f>AVERAGE(E8:E10)</f>
        <v>36666.666666666664</v>
      </c>
      <c r="G8" s="18">
        <f>_xlfn.STDEV.S(E8:E10)</f>
        <v>5033.2229568471585</v>
      </c>
      <c r="H8" s="1"/>
      <c r="I8" s="1"/>
      <c r="J8" s="1"/>
      <c r="K8" s="1"/>
      <c r="L8" s="1"/>
      <c r="M8" s="1"/>
      <c r="N8" s="1"/>
      <c r="O8" s="1"/>
    </row>
    <row r="9" spans="1:15" x14ac:dyDescent="0.2">
      <c r="A9" s="14" t="s">
        <v>3</v>
      </c>
      <c r="B9" s="15">
        <v>42</v>
      </c>
      <c r="C9" s="16">
        <f>B9*400</f>
        <v>16800</v>
      </c>
      <c r="D9" s="15">
        <v>2.5</v>
      </c>
      <c r="E9" s="16">
        <f>C9*D9</f>
        <v>42000</v>
      </c>
      <c r="F9" s="16"/>
      <c r="G9" s="19"/>
      <c r="H9" s="1"/>
      <c r="I9" s="1"/>
      <c r="J9" s="1"/>
      <c r="K9" s="1"/>
      <c r="L9" s="1"/>
      <c r="M9" s="1"/>
      <c r="N9" s="1"/>
      <c r="O9" s="1"/>
    </row>
    <row r="10" spans="1:15" x14ac:dyDescent="0.2">
      <c r="A10" s="20" t="s">
        <v>4</v>
      </c>
      <c r="B10" s="21">
        <v>32</v>
      </c>
      <c r="C10" s="22">
        <f>B10*400</f>
        <v>12800</v>
      </c>
      <c r="D10" s="21">
        <v>2.5</v>
      </c>
      <c r="E10" s="22">
        <f>C10*D10</f>
        <v>32000</v>
      </c>
      <c r="F10" s="22"/>
      <c r="G10" s="23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9" x14ac:dyDescent="0.25">
      <c r="A12" s="66" t="s">
        <v>21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8"/>
    </row>
    <row r="13" spans="1:15" ht="16" x14ac:dyDescent="0.2">
      <c r="A13" s="60" t="s">
        <v>11</v>
      </c>
      <c r="B13" s="61"/>
      <c r="C13" s="61"/>
      <c r="D13" s="61"/>
      <c r="E13" s="61"/>
      <c r="F13" s="61"/>
      <c r="G13" s="62"/>
      <c r="H13" s="15"/>
      <c r="I13" s="69" t="s">
        <v>25</v>
      </c>
      <c r="J13" s="70"/>
      <c r="K13" s="70"/>
      <c r="L13" s="70"/>
      <c r="M13" s="70"/>
      <c r="N13" s="70"/>
      <c r="O13" s="71"/>
    </row>
    <row r="14" spans="1:15" ht="32" x14ac:dyDescent="0.2">
      <c r="A14" s="4" t="s">
        <v>0</v>
      </c>
      <c r="B14" s="5" t="s">
        <v>5</v>
      </c>
      <c r="C14" s="5" t="s">
        <v>6</v>
      </c>
      <c r="D14" s="5" t="s">
        <v>7</v>
      </c>
      <c r="E14" s="5" t="s">
        <v>8</v>
      </c>
      <c r="F14" s="9" t="s">
        <v>9</v>
      </c>
      <c r="G14" s="6" t="s">
        <v>10</v>
      </c>
      <c r="H14" s="15"/>
      <c r="I14" s="10" t="s">
        <v>0</v>
      </c>
      <c r="J14" s="11" t="s">
        <v>5</v>
      </c>
      <c r="K14" s="11" t="s">
        <v>6</v>
      </c>
      <c r="L14" s="11" t="s">
        <v>7</v>
      </c>
      <c r="M14" s="11" t="s">
        <v>8</v>
      </c>
      <c r="N14" s="12" t="s">
        <v>9</v>
      </c>
      <c r="O14" s="13" t="s">
        <v>10</v>
      </c>
    </row>
    <row r="15" spans="1:15" x14ac:dyDescent="0.2">
      <c r="A15" s="14" t="s">
        <v>12</v>
      </c>
      <c r="B15" s="15">
        <v>273</v>
      </c>
      <c r="C15" s="16">
        <f>B15*400</f>
        <v>109200</v>
      </c>
      <c r="D15" s="15">
        <v>2.5</v>
      </c>
      <c r="E15" s="16">
        <f>C15*D15</f>
        <v>273000</v>
      </c>
      <c r="F15" s="17">
        <f>AVERAGE(E15:E17)</f>
        <v>239000</v>
      </c>
      <c r="G15" s="18">
        <f>_xlfn.STDEV.S(E15:E17)</f>
        <v>29512.709126747413</v>
      </c>
      <c r="H15" s="15"/>
      <c r="I15" s="14" t="s">
        <v>16</v>
      </c>
      <c r="J15" s="15">
        <v>78</v>
      </c>
      <c r="K15" s="16">
        <f>J15*400</f>
        <v>31200</v>
      </c>
      <c r="L15" s="15">
        <v>2.5</v>
      </c>
      <c r="M15" s="16">
        <f>K15*L15</f>
        <v>78000</v>
      </c>
      <c r="N15" s="17">
        <f>AVERAGE(M15:M17)</f>
        <v>70000</v>
      </c>
      <c r="O15" s="18">
        <f>_xlfn.STDEV.S(K15:K17)</f>
        <v>3200</v>
      </c>
    </row>
    <row r="16" spans="1:15" x14ac:dyDescent="0.2">
      <c r="A16" s="14" t="s">
        <v>13</v>
      </c>
      <c r="B16" s="15">
        <v>224</v>
      </c>
      <c r="C16" s="16">
        <f>B16*400</f>
        <v>89600</v>
      </c>
      <c r="D16" s="15">
        <v>2.5</v>
      </c>
      <c r="E16" s="16">
        <f>C16*D16</f>
        <v>224000</v>
      </c>
      <c r="F16" s="16"/>
      <c r="G16" s="19"/>
      <c r="H16" s="15"/>
      <c r="I16" s="14" t="s">
        <v>17</v>
      </c>
      <c r="J16" s="15">
        <v>62</v>
      </c>
      <c r="K16" s="16">
        <f>J16*400</f>
        <v>24800</v>
      </c>
      <c r="L16" s="15">
        <v>2.5</v>
      </c>
      <c r="M16" s="16">
        <f>K16*L16</f>
        <v>62000</v>
      </c>
      <c r="N16" s="16"/>
      <c r="O16" s="19"/>
    </row>
    <row r="17" spans="1:23" x14ac:dyDescent="0.2">
      <c r="A17" s="20" t="s">
        <v>14</v>
      </c>
      <c r="B17" s="21">
        <v>220</v>
      </c>
      <c r="C17" s="22">
        <f>B17*400</f>
        <v>88000</v>
      </c>
      <c r="D17" s="21">
        <v>2.5</v>
      </c>
      <c r="E17" s="22">
        <f>C17*D17</f>
        <v>220000</v>
      </c>
      <c r="F17" s="22"/>
      <c r="G17" s="23"/>
      <c r="H17" s="15"/>
      <c r="I17" s="20" t="s">
        <v>18</v>
      </c>
      <c r="J17" s="21">
        <v>70</v>
      </c>
      <c r="K17" s="22">
        <f>J17*400</f>
        <v>28000</v>
      </c>
      <c r="L17" s="21">
        <v>2.5</v>
      </c>
      <c r="M17" s="22">
        <f>K17*L17</f>
        <v>70000</v>
      </c>
      <c r="N17" s="22"/>
      <c r="O17" s="23"/>
    </row>
    <row r="18" spans="1:23" x14ac:dyDescent="0.2">
      <c r="A18" s="14"/>
      <c r="B18" s="15"/>
      <c r="C18" s="16"/>
      <c r="D18" s="15"/>
      <c r="E18" s="16"/>
      <c r="F18" s="16"/>
      <c r="G18" s="16"/>
      <c r="H18" s="15"/>
      <c r="I18" s="26"/>
      <c r="J18" s="15"/>
      <c r="K18" s="16"/>
      <c r="L18" s="15"/>
      <c r="M18" s="16"/>
      <c r="N18" s="16"/>
      <c r="O18" s="19"/>
      <c r="P18" s="26"/>
      <c r="Q18" s="15"/>
      <c r="R18" s="16"/>
      <c r="S18" s="15"/>
      <c r="T18" s="16"/>
      <c r="U18" s="16"/>
      <c r="V18" s="16"/>
      <c r="W18" s="7"/>
    </row>
    <row r="19" spans="1:23" ht="16" x14ac:dyDescent="0.2">
      <c r="A19" s="60" t="s">
        <v>47</v>
      </c>
      <c r="B19" s="61"/>
      <c r="C19" s="61"/>
      <c r="D19" s="61"/>
      <c r="E19" s="61"/>
      <c r="F19" s="61"/>
      <c r="G19" s="62"/>
      <c r="H19" s="7"/>
      <c r="I19" s="63" t="s">
        <v>15</v>
      </c>
      <c r="J19" s="64"/>
      <c r="K19" s="64"/>
      <c r="L19" s="64"/>
      <c r="M19" s="64"/>
      <c r="N19" s="64"/>
      <c r="O19" s="65"/>
    </row>
    <row r="20" spans="1:23" ht="32" x14ac:dyDescent="0.2">
      <c r="A20" s="10" t="s">
        <v>0</v>
      </c>
      <c r="B20" s="11" t="s">
        <v>5</v>
      </c>
      <c r="C20" s="11" t="s">
        <v>6</v>
      </c>
      <c r="D20" s="11" t="s">
        <v>7</v>
      </c>
      <c r="E20" s="11" t="s">
        <v>8</v>
      </c>
      <c r="F20" s="12" t="s">
        <v>9</v>
      </c>
      <c r="G20" s="13" t="s">
        <v>10</v>
      </c>
      <c r="H20" s="7"/>
      <c r="I20" s="10" t="s">
        <v>0</v>
      </c>
      <c r="J20" s="11" t="s">
        <v>5</v>
      </c>
      <c r="K20" s="11" t="s">
        <v>6</v>
      </c>
      <c r="L20" s="11" t="s">
        <v>7</v>
      </c>
      <c r="M20" s="11" t="s">
        <v>8</v>
      </c>
      <c r="N20" s="12" t="s">
        <v>9</v>
      </c>
      <c r="O20" s="13" t="s">
        <v>10</v>
      </c>
    </row>
    <row r="21" spans="1:23" x14ac:dyDescent="0.2">
      <c r="A21" s="14" t="s">
        <v>46</v>
      </c>
      <c r="B21" s="15">
        <v>28</v>
      </c>
      <c r="C21" s="16">
        <f>B21*400</f>
        <v>11200</v>
      </c>
      <c r="D21" s="15">
        <v>2.5</v>
      </c>
      <c r="E21" s="16">
        <f>C21*D21</f>
        <v>28000</v>
      </c>
      <c r="F21" s="17">
        <f>AVERAGE(E21:E23)</f>
        <v>37333.333333333336</v>
      </c>
      <c r="G21" s="18">
        <f>_xlfn.STDEV.S(E21:E23)</f>
        <v>10066.44591369433</v>
      </c>
      <c r="H21" s="7"/>
      <c r="I21" s="24" t="s">
        <v>27</v>
      </c>
      <c r="J21" s="15">
        <v>54</v>
      </c>
      <c r="K21" s="16">
        <f>J21*400</f>
        <v>21600</v>
      </c>
      <c r="L21" s="15">
        <v>2.5</v>
      </c>
      <c r="M21" s="16">
        <f>K21*L21</f>
        <v>54000</v>
      </c>
      <c r="N21" s="25">
        <f>AVERAGE(M21:M23)</f>
        <v>43333.333333333336</v>
      </c>
      <c r="O21" s="18">
        <f>_xlfn.STDEV.S(M21:M23)</f>
        <v>15947.83161854092</v>
      </c>
    </row>
    <row r="22" spans="1:23" x14ac:dyDescent="0.2">
      <c r="A22" s="14" t="s">
        <v>45</v>
      </c>
      <c r="B22" s="15">
        <v>48</v>
      </c>
      <c r="C22" s="16">
        <f>B22*400</f>
        <v>19200</v>
      </c>
      <c r="D22" s="15">
        <v>2.5</v>
      </c>
      <c r="E22" s="16">
        <f>C22*D22</f>
        <v>48000</v>
      </c>
      <c r="F22" s="16"/>
      <c r="G22" s="19"/>
      <c r="H22" s="7"/>
      <c r="I22" s="24" t="s">
        <v>28</v>
      </c>
      <c r="J22" s="15">
        <v>25</v>
      </c>
      <c r="K22" s="16">
        <f>J22*400</f>
        <v>10000</v>
      </c>
      <c r="L22" s="15">
        <v>2.5</v>
      </c>
      <c r="M22" s="16">
        <f>K22*L22</f>
        <v>25000</v>
      </c>
      <c r="N22" s="16"/>
      <c r="O22" s="19"/>
    </row>
    <row r="23" spans="1:23" x14ac:dyDescent="0.2">
      <c r="A23" s="20" t="s">
        <v>44</v>
      </c>
      <c r="B23" s="21">
        <v>36</v>
      </c>
      <c r="C23" s="22">
        <f>B23*400</f>
        <v>14400</v>
      </c>
      <c r="D23" s="21">
        <v>2.5</v>
      </c>
      <c r="E23" s="22">
        <f>C23*D23</f>
        <v>36000</v>
      </c>
      <c r="F23" s="22"/>
      <c r="G23" s="23"/>
      <c r="H23" s="8"/>
      <c r="I23" s="27" t="s">
        <v>29</v>
      </c>
      <c r="J23" s="21">
        <v>51</v>
      </c>
      <c r="K23" s="22">
        <f>J23*400</f>
        <v>20400</v>
      </c>
      <c r="L23" s="21">
        <v>2.5</v>
      </c>
      <c r="M23" s="22">
        <f>K23*L23</f>
        <v>51000</v>
      </c>
      <c r="N23" s="22"/>
      <c r="O23" s="23"/>
    </row>
    <row r="24" spans="1:23" x14ac:dyDescent="0.2">
      <c r="A24" s="14"/>
      <c r="B24" s="15"/>
      <c r="C24" s="16"/>
      <c r="D24" s="15"/>
      <c r="E24" s="16"/>
      <c r="F24" s="16"/>
      <c r="G24" s="16"/>
      <c r="H24" s="15"/>
      <c r="I24" s="26"/>
      <c r="J24" s="15"/>
      <c r="K24" s="16"/>
      <c r="L24" s="15"/>
      <c r="M24" s="16"/>
      <c r="N24" s="16"/>
      <c r="O24" s="19"/>
    </row>
    <row r="25" spans="1:23" x14ac:dyDescent="0.2">
      <c r="A25" s="14"/>
      <c r="B25" s="15"/>
      <c r="C25" s="16"/>
      <c r="D25" s="15"/>
      <c r="E25" s="16"/>
      <c r="F25" s="16"/>
      <c r="G25" s="16"/>
      <c r="H25" s="15"/>
      <c r="I25" s="26"/>
      <c r="J25" s="15"/>
      <c r="K25" s="16"/>
      <c r="L25" s="15"/>
      <c r="M25" s="16"/>
      <c r="N25" s="16"/>
      <c r="O25" s="19"/>
    </row>
    <row r="26" spans="1:23" x14ac:dyDescent="0.2">
      <c r="A26" s="14"/>
      <c r="B26" s="15"/>
      <c r="C26" s="16"/>
      <c r="D26" s="15"/>
      <c r="E26" s="16"/>
      <c r="F26" s="16"/>
      <c r="G26" s="16"/>
      <c r="H26" s="15"/>
      <c r="I26" s="26"/>
      <c r="J26" s="15"/>
      <c r="K26" s="16"/>
      <c r="L26" s="15"/>
      <c r="M26" s="16"/>
      <c r="N26" s="16"/>
      <c r="O26" s="19"/>
    </row>
    <row r="27" spans="1:23" ht="15.75" customHeight="1" x14ac:dyDescent="0.25">
      <c r="A27" s="66" t="s">
        <v>50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8"/>
    </row>
    <row r="28" spans="1:23" ht="16" x14ac:dyDescent="0.2">
      <c r="A28" s="60" t="s">
        <v>42</v>
      </c>
      <c r="B28" s="61"/>
      <c r="C28" s="61"/>
      <c r="D28" s="61"/>
      <c r="E28" s="61"/>
      <c r="F28" s="61"/>
      <c r="G28" s="62"/>
      <c r="H28" s="15"/>
      <c r="I28" s="69" t="s">
        <v>25</v>
      </c>
      <c r="J28" s="70"/>
      <c r="K28" s="70"/>
      <c r="L28" s="70"/>
      <c r="M28" s="70"/>
      <c r="N28" s="70"/>
      <c r="O28" s="71"/>
    </row>
    <row r="29" spans="1:23" ht="32" x14ac:dyDescent="0.2">
      <c r="A29" s="4" t="s">
        <v>0</v>
      </c>
      <c r="B29" s="5" t="s">
        <v>5</v>
      </c>
      <c r="C29" s="5" t="s">
        <v>6</v>
      </c>
      <c r="D29" s="5" t="s">
        <v>7</v>
      </c>
      <c r="E29" s="5" t="s">
        <v>8</v>
      </c>
      <c r="F29" s="9" t="s">
        <v>9</v>
      </c>
      <c r="G29" s="6" t="s">
        <v>10</v>
      </c>
      <c r="H29" s="15"/>
      <c r="I29" s="10" t="s">
        <v>0</v>
      </c>
      <c r="J29" s="11" t="s">
        <v>5</v>
      </c>
      <c r="K29" s="11" t="s">
        <v>6</v>
      </c>
      <c r="L29" s="11" t="s">
        <v>7</v>
      </c>
      <c r="M29" s="11" t="s">
        <v>8</v>
      </c>
      <c r="N29" s="12" t="s">
        <v>9</v>
      </c>
      <c r="O29" s="13" t="s">
        <v>10</v>
      </c>
    </row>
    <row r="30" spans="1:23" x14ac:dyDescent="0.2">
      <c r="A30" s="14" t="s">
        <v>12</v>
      </c>
      <c r="B30" s="15">
        <v>897</v>
      </c>
      <c r="C30" s="16">
        <f>B30*400</f>
        <v>358800</v>
      </c>
      <c r="D30" s="15">
        <v>2.5</v>
      </c>
      <c r="E30" s="16">
        <f>C30*D30</f>
        <v>897000</v>
      </c>
      <c r="F30" s="17">
        <f>AVERAGE(E30:E32)</f>
        <v>904333.33333333337</v>
      </c>
      <c r="G30" s="18">
        <f>_xlfn.STDEV.S(E30:E32)</f>
        <v>21939.310229205781</v>
      </c>
      <c r="H30" s="15"/>
      <c r="I30" s="14" t="s">
        <v>16</v>
      </c>
      <c r="J30" s="15">
        <v>89</v>
      </c>
      <c r="K30" s="16">
        <f>J30*400</f>
        <v>35600</v>
      </c>
      <c r="L30" s="15">
        <v>2.5</v>
      </c>
      <c r="M30" s="16">
        <f>K30*L30</f>
        <v>89000</v>
      </c>
      <c r="N30" s="17">
        <f>AVERAGE(M30:M32)</f>
        <v>94333.333333333328</v>
      </c>
      <c r="O30" s="18">
        <f>_xlfn.STDEV.S(K30:K32)</f>
        <v>4406.0564378288818</v>
      </c>
    </row>
    <row r="31" spans="1:23" x14ac:dyDescent="0.2">
      <c r="A31" s="14" t="s">
        <v>13</v>
      </c>
      <c r="B31" s="15">
        <v>929</v>
      </c>
      <c r="C31" s="16">
        <f>B31*400</f>
        <v>371600</v>
      </c>
      <c r="D31" s="15">
        <v>2.5</v>
      </c>
      <c r="E31" s="16">
        <f>C31*D31</f>
        <v>929000</v>
      </c>
      <c r="F31" s="16"/>
      <c r="G31" s="19"/>
      <c r="H31" s="15"/>
      <c r="I31" s="14" t="s">
        <v>17</v>
      </c>
      <c r="J31" s="15">
        <v>107</v>
      </c>
      <c r="K31" s="16">
        <f>J31*400</f>
        <v>42800</v>
      </c>
      <c r="L31" s="15">
        <v>2.5</v>
      </c>
      <c r="M31" s="16">
        <f>K31*L31</f>
        <v>107000</v>
      </c>
      <c r="N31" s="16"/>
      <c r="O31" s="19"/>
    </row>
    <row r="32" spans="1:23" x14ac:dyDescent="0.2">
      <c r="A32" s="20" t="s">
        <v>14</v>
      </c>
      <c r="B32" s="21">
        <v>887</v>
      </c>
      <c r="C32" s="22">
        <f>B32*400</f>
        <v>354800</v>
      </c>
      <c r="D32" s="21">
        <v>2.5</v>
      </c>
      <c r="E32" s="22">
        <f>C32*D32</f>
        <v>887000</v>
      </c>
      <c r="F32" s="22"/>
      <c r="G32" s="23"/>
      <c r="H32" s="15"/>
      <c r="I32" s="20" t="s">
        <v>18</v>
      </c>
      <c r="J32" s="21">
        <v>87</v>
      </c>
      <c r="K32" s="22">
        <f>J32*400</f>
        <v>34800</v>
      </c>
      <c r="L32" s="21">
        <v>2.5</v>
      </c>
      <c r="M32" s="22">
        <f>K32*L32</f>
        <v>87000</v>
      </c>
      <c r="N32" s="22"/>
      <c r="O32" s="23"/>
    </row>
    <row r="33" spans="1:22" x14ac:dyDescent="0.2">
      <c r="A33" s="14"/>
      <c r="B33" s="15"/>
      <c r="C33" s="16"/>
      <c r="D33" s="15"/>
      <c r="E33" s="16"/>
      <c r="F33" s="16"/>
      <c r="G33" s="16"/>
      <c r="H33" s="15"/>
      <c r="I33" s="26"/>
      <c r="J33" s="15"/>
      <c r="K33" s="16"/>
      <c r="L33" s="15"/>
      <c r="M33" s="16"/>
      <c r="N33" s="16"/>
      <c r="O33" s="19"/>
    </row>
    <row r="34" spans="1:22" ht="15.75" customHeight="1" x14ac:dyDescent="0.2">
      <c r="A34" s="60" t="s">
        <v>49</v>
      </c>
      <c r="B34" s="61"/>
      <c r="C34" s="61"/>
      <c r="D34" s="61"/>
      <c r="E34" s="61"/>
      <c r="F34" s="61"/>
      <c r="G34" s="62"/>
      <c r="H34" s="7"/>
      <c r="I34" s="63" t="s">
        <v>15</v>
      </c>
      <c r="J34" s="64"/>
      <c r="K34" s="64"/>
      <c r="L34" s="64"/>
      <c r="M34" s="64"/>
      <c r="N34" s="64"/>
      <c r="O34" s="65"/>
    </row>
    <row r="35" spans="1:22" ht="32" x14ac:dyDescent="0.2">
      <c r="A35" s="10" t="s">
        <v>0</v>
      </c>
      <c r="B35" s="11" t="s">
        <v>5</v>
      </c>
      <c r="C35" s="11" t="s">
        <v>6</v>
      </c>
      <c r="D35" s="11" t="s">
        <v>7</v>
      </c>
      <c r="E35" s="11" t="s">
        <v>8</v>
      </c>
      <c r="F35" s="12" t="s">
        <v>9</v>
      </c>
      <c r="G35" s="13" t="s">
        <v>10</v>
      </c>
      <c r="H35" s="7"/>
      <c r="I35" s="10" t="s">
        <v>0</v>
      </c>
      <c r="J35" s="11" t="s">
        <v>5</v>
      </c>
      <c r="K35" s="11" t="s">
        <v>6</v>
      </c>
      <c r="L35" s="11" t="s">
        <v>7</v>
      </c>
      <c r="M35" s="11" t="s">
        <v>8</v>
      </c>
      <c r="N35" s="12" t="s">
        <v>9</v>
      </c>
      <c r="O35" s="13" t="s">
        <v>10</v>
      </c>
    </row>
    <row r="36" spans="1:22" x14ac:dyDescent="0.2">
      <c r="A36" s="14" t="s">
        <v>46</v>
      </c>
      <c r="B36" s="15">
        <v>56</v>
      </c>
      <c r="C36" s="16">
        <f>B36*400</f>
        <v>22400</v>
      </c>
      <c r="D36" s="15">
        <v>2.5</v>
      </c>
      <c r="E36" s="16">
        <f>C36*D36</f>
        <v>56000</v>
      </c>
      <c r="F36" s="17">
        <f>AVERAGE(E36:E38)</f>
        <v>45333.333333333336</v>
      </c>
      <c r="G36" s="18">
        <f>_xlfn.STDEV.S(E36:E38)</f>
        <v>9451.6312525052253</v>
      </c>
      <c r="H36" s="7"/>
      <c r="I36" s="24" t="s">
        <v>27</v>
      </c>
      <c r="J36" s="15">
        <v>24</v>
      </c>
      <c r="K36" s="16">
        <f>J36*400</f>
        <v>9600</v>
      </c>
      <c r="L36" s="15">
        <v>2.5</v>
      </c>
      <c r="M36" s="16">
        <f>K36*L36</f>
        <v>24000</v>
      </c>
      <c r="N36" s="25">
        <f>AVERAGE(M36:M38)</f>
        <v>36000</v>
      </c>
      <c r="O36" s="18">
        <f>_xlfn.STDEV.S(M36:M38)</f>
        <v>17435.595774162695</v>
      </c>
    </row>
    <row r="37" spans="1:22" x14ac:dyDescent="0.2">
      <c r="A37" s="14" t="s">
        <v>45</v>
      </c>
      <c r="B37" s="15">
        <v>42</v>
      </c>
      <c r="C37" s="16">
        <f>B37*400</f>
        <v>16800</v>
      </c>
      <c r="D37" s="15">
        <v>2.5</v>
      </c>
      <c r="E37" s="16">
        <f>C37*D37</f>
        <v>42000</v>
      </c>
      <c r="F37" s="16"/>
      <c r="G37" s="19"/>
      <c r="H37" s="7"/>
      <c r="I37" s="24" t="s">
        <v>28</v>
      </c>
      <c r="J37" s="15">
        <v>56</v>
      </c>
      <c r="K37" s="16">
        <f>J37*400</f>
        <v>22400</v>
      </c>
      <c r="L37" s="15">
        <v>2.5</v>
      </c>
      <c r="M37" s="16">
        <f>K37*L37</f>
        <v>56000</v>
      </c>
      <c r="N37" s="16"/>
      <c r="O37" s="19"/>
    </row>
    <row r="38" spans="1:22" x14ac:dyDescent="0.2">
      <c r="A38" s="20" t="s">
        <v>44</v>
      </c>
      <c r="B38" s="21">
        <v>38</v>
      </c>
      <c r="C38" s="22">
        <f>B38*400</f>
        <v>15200</v>
      </c>
      <c r="D38" s="21">
        <v>2.5</v>
      </c>
      <c r="E38" s="22">
        <f>C38*D38</f>
        <v>38000</v>
      </c>
      <c r="F38" s="22"/>
      <c r="G38" s="23"/>
      <c r="H38" s="8"/>
      <c r="I38" s="27" t="s">
        <v>29</v>
      </c>
      <c r="J38" s="21">
        <v>28</v>
      </c>
      <c r="K38" s="22">
        <f>J38*400</f>
        <v>11200</v>
      </c>
      <c r="L38" s="21">
        <v>2.5</v>
      </c>
      <c r="M38" s="22">
        <f>K38*L38</f>
        <v>28000</v>
      </c>
      <c r="N38" s="22"/>
      <c r="O38" s="23"/>
    </row>
    <row r="39" spans="1:22" x14ac:dyDescent="0.2">
      <c r="A39" s="14"/>
      <c r="B39" s="15"/>
      <c r="C39" s="16"/>
      <c r="D39" s="15"/>
      <c r="E39" s="16"/>
      <c r="F39" s="16"/>
      <c r="G39" s="16"/>
      <c r="H39" s="7"/>
      <c r="I39" s="28"/>
      <c r="J39" s="15"/>
      <c r="K39" s="16"/>
      <c r="L39" s="15"/>
      <c r="M39" s="16"/>
      <c r="N39" s="16"/>
      <c r="O39" s="19"/>
    </row>
    <row r="40" spans="1:22" x14ac:dyDescent="0.2">
      <c r="A40" s="14"/>
      <c r="B40" s="15"/>
      <c r="C40" s="16"/>
      <c r="D40" s="15"/>
      <c r="E40" s="16"/>
      <c r="F40" s="16"/>
      <c r="G40" s="16"/>
      <c r="H40" s="7"/>
      <c r="I40" s="28"/>
      <c r="J40" s="15"/>
      <c r="K40" s="16"/>
      <c r="L40" s="15"/>
      <c r="M40" s="16"/>
      <c r="N40" s="16"/>
      <c r="O40" s="19"/>
    </row>
    <row r="41" spans="1:22" x14ac:dyDescent="0.2">
      <c r="A41" s="14"/>
      <c r="B41" s="15"/>
      <c r="C41" s="16"/>
      <c r="D41" s="15"/>
      <c r="E41" s="16"/>
      <c r="F41" s="16"/>
      <c r="G41" s="16"/>
      <c r="H41" s="15"/>
      <c r="I41" s="26"/>
      <c r="J41" s="15"/>
      <c r="K41" s="16"/>
      <c r="L41" s="15"/>
      <c r="M41" s="16"/>
      <c r="N41" s="16"/>
      <c r="O41" s="19"/>
    </row>
    <row r="42" spans="1:22" ht="19" x14ac:dyDescent="0.25">
      <c r="A42" s="66" t="s">
        <v>48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8"/>
      <c r="P42" s="26"/>
      <c r="Q42" s="15"/>
      <c r="R42" s="16"/>
      <c r="S42" s="15"/>
      <c r="T42" s="16"/>
      <c r="U42" s="16"/>
      <c r="V42" s="16"/>
    </row>
    <row r="43" spans="1:22" ht="16" x14ac:dyDescent="0.2">
      <c r="A43" s="60" t="s">
        <v>11</v>
      </c>
      <c r="B43" s="61"/>
      <c r="C43" s="61"/>
      <c r="D43" s="61"/>
      <c r="E43" s="61"/>
      <c r="F43" s="61"/>
      <c r="G43" s="62"/>
      <c r="H43" s="15"/>
      <c r="I43" s="69" t="s">
        <v>25</v>
      </c>
      <c r="J43" s="70"/>
      <c r="K43" s="70"/>
      <c r="L43" s="70"/>
      <c r="M43" s="70"/>
      <c r="N43" s="70"/>
      <c r="O43" s="71"/>
    </row>
    <row r="44" spans="1:22" ht="32" x14ac:dyDescent="0.2">
      <c r="A44" s="4" t="s">
        <v>0</v>
      </c>
      <c r="B44" s="5" t="s">
        <v>5</v>
      </c>
      <c r="C44" s="5" t="s">
        <v>6</v>
      </c>
      <c r="D44" s="5" t="s">
        <v>7</v>
      </c>
      <c r="E44" s="5" t="s">
        <v>8</v>
      </c>
      <c r="F44" s="9" t="s">
        <v>9</v>
      </c>
      <c r="G44" s="6" t="s">
        <v>10</v>
      </c>
      <c r="H44" s="15"/>
      <c r="I44" s="10" t="s">
        <v>0</v>
      </c>
      <c r="J44" s="11" t="s">
        <v>5</v>
      </c>
      <c r="K44" s="11" t="s">
        <v>6</v>
      </c>
      <c r="L44" s="11" t="s">
        <v>7</v>
      </c>
      <c r="M44" s="11" t="s">
        <v>8</v>
      </c>
      <c r="N44" s="12" t="s">
        <v>9</v>
      </c>
      <c r="O44" s="13" t="s">
        <v>10</v>
      </c>
    </row>
    <row r="45" spans="1:22" x14ac:dyDescent="0.2">
      <c r="A45" s="14" t="s">
        <v>12</v>
      </c>
      <c r="B45" s="15">
        <v>2420</v>
      </c>
      <c r="C45" s="16">
        <f>B45*400</f>
        <v>968000</v>
      </c>
      <c r="D45" s="15">
        <v>2.5</v>
      </c>
      <c r="E45" s="16">
        <f>C45*D45</f>
        <v>2420000</v>
      </c>
      <c r="F45" s="17">
        <f>AVERAGE(E45:E47)</f>
        <v>2442333.3333333335</v>
      </c>
      <c r="G45" s="18">
        <f>_xlfn.STDEV.S(E45:E47)</f>
        <v>21126.602503321097</v>
      </c>
      <c r="H45" s="15"/>
      <c r="I45" s="14" t="s">
        <v>16</v>
      </c>
      <c r="J45" s="15">
        <v>162</v>
      </c>
      <c r="K45" s="16">
        <f>J45*400</f>
        <v>64800</v>
      </c>
      <c r="L45" s="15">
        <v>2.5</v>
      </c>
      <c r="M45" s="16">
        <f>K45*L45</f>
        <v>162000</v>
      </c>
      <c r="N45" s="17">
        <f>AVERAGE(M45:M47)</f>
        <v>143666.66666666666</v>
      </c>
      <c r="O45" s="18">
        <f>_xlfn.STDEV.S(K45:K47)</f>
        <v>7203.7027515946975</v>
      </c>
    </row>
    <row r="46" spans="1:22" x14ac:dyDescent="0.2">
      <c r="A46" s="14" t="s">
        <v>13</v>
      </c>
      <c r="B46" s="15">
        <v>2462</v>
      </c>
      <c r="C46" s="16">
        <f>B46*400</f>
        <v>984800</v>
      </c>
      <c r="D46" s="15">
        <v>2.5</v>
      </c>
      <c r="E46" s="16">
        <f>C46*D46</f>
        <v>2462000</v>
      </c>
      <c r="F46" s="16"/>
      <c r="G46" s="19"/>
      <c r="H46" s="15"/>
      <c r="I46" s="14" t="s">
        <v>17</v>
      </c>
      <c r="J46" s="15">
        <v>126</v>
      </c>
      <c r="K46" s="16">
        <f>J46*400</f>
        <v>50400</v>
      </c>
      <c r="L46" s="15">
        <v>2.5</v>
      </c>
      <c r="M46" s="16">
        <f>K46*L46</f>
        <v>126000</v>
      </c>
      <c r="N46" s="16"/>
      <c r="O46" s="19"/>
    </row>
    <row r="47" spans="1:22" x14ac:dyDescent="0.2">
      <c r="A47" s="20" t="s">
        <v>14</v>
      </c>
      <c r="B47" s="21">
        <v>2445</v>
      </c>
      <c r="C47" s="22">
        <f>B47*400</f>
        <v>978000</v>
      </c>
      <c r="D47" s="21">
        <v>2.5</v>
      </c>
      <c r="E47" s="22">
        <f>C47*D47</f>
        <v>2445000</v>
      </c>
      <c r="F47" s="22"/>
      <c r="G47" s="23"/>
      <c r="H47" s="15"/>
      <c r="I47" s="20" t="s">
        <v>18</v>
      </c>
      <c r="J47" s="21">
        <v>143</v>
      </c>
      <c r="K47" s="22">
        <f>J47*400</f>
        <v>57200</v>
      </c>
      <c r="L47" s="21">
        <v>2.5</v>
      </c>
      <c r="M47" s="22">
        <f>K47*L47</f>
        <v>143000</v>
      </c>
      <c r="N47" s="22"/>
      <c r="O47" s="23"/>
    </row>
    <row r="48" spans="1:22" x14ac:dyDescent="0.2">
      <c r="A48" s="14"/>
      <c r="B48" s="15"/>
      <c r="C48" s="16"/>
      <c r="D48" s="15"/>
      <c r="E48" s="16"/>
      <c r="F48" s="16"/>
      <c r="G48" s="16"/>
      <c r="H48" s="15"/>
      <c r="I48" s="26"/>
      <c r="J48" s="15"/>
      <c r="K48" s="16"/>
      <c r="L48" s="15"/>
      <c r="M48" s="16"/>
      <c r="N48" s="16"/>
      <c r="O48" s="19"/>
    </row>
    <row r="49" spans="1:15" ht="15.75" customHeight="1" x14ac:dyDescent="0.2">
      <c r="A49" s="60" t="s">
        <v>47</v>
      </c>
      <c r="B49" s="61"/>
      <c r="C49" s="61"/>
      <c r="D49" s="61"/>
      <c r="E49" s="61"/>
      <c r="F49" s="61"/>
      <c r="G49" s="62"/>
      <c r="H49" s="7"/>
      <c r="I49" s="63" t="s">
        <v>15</v>
      </c>
      <c r="J49" s="64"/>
      <c r="K49" s="64"/>
      <c r="L49" s="64"/>
      <c r="M49" s="64"/>
      <c r="N49" s="64"/>
      <c r="O49" s="65"/>
    </row>
    <row r="50" spans="1:15" ht="32" x14ac:dyDescent="0.2">
      <c r="A50" s="10" t="s">
        <v>0</v>
      </c>
      <c r="B50" s="11" t="s">
        <v>5</v>
      </c>
      <c r="C50" s="11" t="s">
        <v>6</v>
      </c>
      <c r="D50" s="11" t="s">
        <v>7</v>
      </c>
      <c r="E50" s="11" t="s">
        <v>8</v>
      </c>
      <c r="F50" s="12" t="s">
        <v>9</v>
      </c>
      <c r="G50" s="13" t="s">
        <v>10</v>
      </c>
      <c r="H50" s="7"/>
      <c r="I50" s="10" t="s">
        <v>0</v>
      </c>
      <c r="J50" s="11" t="s">
        <v>5</v>
      </c>
      <c r="K50" s="11" t="s">
        <v>6</v>
      </c>
      <c r="L50" s="11" t="s">
        <v>7</v>
      </c>
      <c r="M50" s="11" t="s">
        <v>8</v>
      </c>
      <c r="N50" s="12" t="s">
        <v>9</v>
      </c>
      <c r="O50" s="13" t="s">
        <v>10</v>
      </c>
    </row>
    <row r="51" spans="1:15" x14ac:dyDescent="0.2">
      <c r="A51" s="14" t="s">
        <v>46</v>
      </c>
      <c r="B51" s="15">
        <v>100</v>
      </c>
      <c r="C51" s="16">
        <f>B51*400</f>
        <v>40000</v>
      </c>
      <c r="D51" s="15">
        <v>2.5</v>
      </c>
      <c r="E51" s="16">
        <f>C51*D51</f>
        <v>100000</v>
      </c>
      <c r="F51" s="17">
        <f>AVERAGE(E51:E53)</f>
        <v>103000</v>
      </c>
      <c r="G51" s="18">
        <f>_xlfn.STDEV.S(E51:E53)</f>
        <v>7937.2539331937714</v>
      </c>
      <c r="H51" s="7"/>
      <c r="I51" s="24" t="s">
        <v>27</v>
      </c>
      <c r="J51" s="15">
        <v>26</v>
      </c>
      <c r="K51" s="16">
        <f>J51*400</f>
        <v>10400</v>
      </c>
      <c r="L51" s="15">
        <v>2.5</v>
      </c>
      <c r="M51" s="16">
        <f>K51*L51</f>
        <v>26000</v>
      </c>
      <c r="N51" s="25">
        <f>AVERAGE(M51:M53)</f>
        <v>31000</v>
      </c>
      <c r="O51" s="18">
        <f>_xlfn.STDEV.S(M51:M53)</f>
        <v>4582.5756949558399</v>
      </c>
    </row>
    <row r="52" spans="1:15" x14ac:dyDescent="0.2">
      <c r="A52" s="14" t="s">
        <v>45</v>
      </c>
      <c r="B52" s="15">
        <v>112</v>
      </c>
      <c r="C52" s="16">
        <f>B52*400</f>
        <v>44800</v>
      </c>
      <c r="D52" s="15">
        <v>2.5</v>
      </c>
      <c r="E52" s="16">
        <f>C52*D52</f>
        <v>112000</v>
      </c>
      <c r="F52" s="16"/>
      <c r="G52" s="19"/>
      <c r="H52" s="7"/>
      <c r="I52" s="24" t="s">
        <v>28</v>
      </c>
      <c r="J52" s="15">
        <v>32</v>
      </c>
      <c r="K52" s="16">
        <f>J52*400</f>
        <v>12800</v>
      </c>
      <c r="L52" s="15">
        <v>2.5</v>
      </c>
      <c r="M52" s="16">
        <f>K52*L52</f>
        <v>32000</v>
      </c>
      <c r="N52" s="16"/>
      <c r="O52" s="19"/>
    </row>
    <row r="53" spans="1:15" x14ac:dyDescent="0.2">
      <c r="A53" s="20" t="s">
        <v>44</v>
      </c>
      <c r="B53" s="21">
        <v>97</v>
      </c>
      <c r="C53" s="22">
        <f>B53*400</f>
        <v>38800</v>
      </c>
      <c r="D53" s="21">
        <v>2.5</v>
      </c>
      <c r="E53" s="22">
        <f>C53*D53</f>
        <v>97000</v>
      </c>
      <c r="F53" s="22"/>
      <c r="G53" s="23"/>
      <c r="H53" s="8"/>
      <c r="I53" s="27" t="s">
        <v>29</v>
      </c>
      <c r="J53" s="21">
        <v>35</v>
      </c>
      <c r="K53" s="22">
        <f>J53*400</f>
        <v>14000</v>
      </c>
      <c r="L53" s="21">
        <v>2.5</v>
      </c>
      <c r="M53" s="22">
        <f>K53*L53</f>
        <v>35000</v>
      </c>
      <c r="N53" s="22"/>
      <c r="O53" s="23"/>
    </row>
    <row r="54" spans="1:15" x14ac:dyDescent="0.2">
      <c r="A54" s="14"/>
      <c r="B54" s="15"/>
      <c r="C54" s="16"/>
      <c r="D54" s="15"/>
      <c r="E54" s="16"/>
      <c r="F54" s="16"/>
      <c r="G54" s="16"/>
      <c r="H54" s="15"/>
      <c r="I54" s="26"/>
      <c r="J54" s="15"/>
      <c r="K54" s="16"/>
      <c r="L54" s="15"/>
      <c r="M54" s="16"/>
      <c r="N54" s="16"/>
      <c r="O54" s="19"/>
    </row>
    <row r="55" spans="1:15" x14ac:dyDescent="0.2">
      <c r="B55" t="s">
        <v>36</v>
      </c>
      <c r="C55" t="s">
        <v>37</v>
      </c>
      <c r="D55" t="s">
        <v>38</v>
      </c>
    </row>
    <row r="56" spans="1:15" x14ac:dyDescent="0.2">
      <c r="A56" s="29" t="s">
        <v>42</v>
      </c>
      <c r="B56" s="31">
        <v>239000</v>
      </c>
      <c r="C56" s="31">
        <v>904333.33333333337</v>
      </c>
      <c r="D56" s="31">
        <v>2442333.3333333335</v>
      </c>
      <c r="F56" t="s">
        <v>39</v>
      </c>
      <c r="G56" s="17">
        <v>36666.666666666664</v>
      </c>
    </row>
    <row r="57" spans="1:15" x14ac:dyDescent="0.2">
      <c r="A57" s="29" t="s">
        <v>60</v>
      </c>
      <c r="B57" s="31">
        <v>37333.333333333336</v>
      </c>
      <c r="C57" s="31">
        <v>45333.333333333336</v>
      </c>
      <c r="D57" s="31">
        <v>103000</v>
      </c>
    </row>
    <row r="58" spans="1:15" x14ac:dyDescent="0.2">
      <c r="A58" s="30" t="s">
        <v>41</v>
      </c>
      <c r="B58" s="32">
        <v>43333.333333333336</v>
      </c>
      <c r="C58" s="32">
        <v>36000</v>
      </c>
      <c r="D58" s="32">
        <v>31000</v>
      </c>
    </row>
    <row r="59" spans="1:15" x14ac:dyDescent="0.2">
      <c r="A59" s="29" t="s">
        <v>25</v>
      </c>
      <c r="B59" s="31">
        <v>70000</v>
      </c>
      <c r="C59" s="31">
        <v>94333.333333333328</v>
      </c>
      <c r="D59" s="31">
        <v>143666.66666666666</v>
      </c>
    </row>
    <row r="61" spans="1:15" x14ac:dyDescent="0.2">
      <c r="A61" s="33" t="s">
        <v>43</v>
      </c>
    </row>
    <row r="62" spans="1:15" x14ac:dyDescent="0.2">
      <c r="B62" t="s">
        <v>36</v>
      </c>
      <c r="C62" t="s">
        <v>37</v>
      </c>
      <c r="D62" t="s">
        <v>38</v>
      </c>
    </row>
    <row r="63" spans="1:15" x14ac:dyDescent="0.2">
      <c r="A63" s="29" t="s">
        <v>42</v>
      </c>
      <c r="B63" s="34">
        <f>B56/G56</f>
        <v>6.5181818181818185</v>
      </c>
      <c r="C63" s="34">
        <f>C56/G56</f>
        <v>24.663636363636368</v>
      </c>
      <c r="D63" s="34">
        <f>D56/G56</f>
        <v>66.609090909090924</v>
      </c>
    </row>
    <row r="64" spans="1:15" x14ac:dyDescent="0.2">
      <c r="A64" s="29" t="s">
        <v>60</v>
      </c>
      <c r="B64" s="34">
        <f>B57/G56</f>
        <v>1.0181818181818183</v>
      </c>
      <c r="C64" s="34">
        <f>C57/G56</f>
        <v>1.2363636363636366</v>
      </c>
      <c r="D64" s="34">
        <f>D57/G56</f>
        <v>2.8090909090909091</v>
      </c>
    </row>
    <row r="65" spans="1:4" x14ac:dyDescent="0.2">
      <c r="A65" s="30" t="s">
        <v>41</v>
      </c>
      <c r="B65" s="35">
        <f>B58/G56</f>
        <v>1.1818181818181819</v>
      </c>
      <c r="C65" s="35">
        <f>C58/G56</f>
        <v>0.98181818181818192</v>
      </c>
      <c r="D65" s="35">
        <f>D58/G56</f>
        <v>0.84545454545454546</v>
      </c>
    </row>
    <row r="66" spans="1:4" x14ac:dyDescent="0.2">
      <c r="A66" s="29" t="s">
        <v>25</v>
      </c>
      <c r="B66" s="34">
        <f>B59/G56</f>
        <v>1.9090909090909092</v>
      </c>
      <c r="C66" s="34">
        <f>C59/G56</f>
        <v>2.5727272727272728</v>
      </c>
      <c r="D66" s="34">
        <f>D59/G56</f>
        <v>3.918181818181818</v>
      </c>
    </row>
  </sheetData>
  <mergeCells count="17">
    <mergeCell ref="A19:G19"/>
    <mergeCell ref="I19:O19"/>
    <mergeCell ref="A49:G49"/>
    <mergeCell ref="I49:O49"/>
    <mergeCell ref="A34:G34"/>
    <mergeCell ref="I34:O34"/>
    <mergeCell ref="A27:O27"/>
    <mergeCell ref="A28:G28"/>
    <mergeCell ref="A42:O42"/>
    <mergeCell ref="A43:G43"/>
    <mergeCell ref="I43:O43"/>
    <mergeCell ref="I28:O28"/>
    <mergeCell ref="A5:G5"/>
    <mergeCell ref="A6:G6"/>
    <mergeCell ref="A12:O12"/>
    <mergeCell ref="A13:G13"/>
    <mergeCell ref="I13:O13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64"/>
  <sheetViews>
    <sheetView workbookViewId="0">
      <selection activeCell="D29" sqref="D29"/>
    </sheetView>
  </sheetViews>
  <sheetFormatPr baseColWidth="10" defaultRowHeight="21" x14ac:dyDescent="0.25"/>
  <cols>
    <col min="1" max="1" width="28" style="36" customWidth="1"/>
    <col min="2" max="2" width="10.33203125" style="36" bestFit="1" customWidth="1"/>
    <col min="3" max="3" width="13" style="36" bestFit="1" customWidth="1"/>
    <col min="4" max="4" width="28.33203125" style="36" customWidth="1"/>
    <col min="5" max="5" width="13" style="36" bestFit="1" customWidth="1"/>
    <col min="6" max="6" width="13.1640625" style="36" bestFit="1" customWidth="1"/>
    <col min="7" max="7" width="27.33203125" style="36" customWidth="1"/>
    <col min="8" max="8" width="14.6640625" style="36" customWidth="1"/>
    <col min="9" max="9" width="6.83203125" style="36" customWidth="1"/>
    <col min="10" max="10" width="27.6640625" style="36" customWidth="1"/>
    <col min="11" max="11" width="15" style="36" customWidth="1"/>
    <col min="12" max="12" width="10" style="36" customWidth="1"/>
    <col min="13" max="13" width="31.33203125" style="36" customWidth="1"/>
    <col min="14" max="14" width="15.33203125" style="36" customWidth="1"/>
    <col min="15" max="15" width="8.1640625" style="36" customWidth="1"/>
    <col min="16" max="16" width="21" style="36" customWidth="1"/>
    <col min="17" max="17" width="14.5" style="36" customWidth="1"/>
    <col min="18" max="18" width="24.83203125" style="36" customWidth="1"/>
    <col min="19" max="19" width="16" style="36" customWidth="1"/>
    <col min="20" max="20" width="10.83203125" style="36"/>
    <col min="21" max="21" width="15.83203125" style="36" customWidth="1"/>
    <col min="22" max="22" width="18.5" style="36" customWidth="1"/>
    <col min="23" max="16384" width="10.83203125" style="36"/>
  </cols>
  <sheetData>
    <row r="2" spans="1:19" x14ac:dyDescent="0.25">
      <c r="A2" s="36" t="s">
        <v>61</v>
      </c>
    </row>
    <row r="3" spans="1:19" x14ac:dyDescent="0.25">
      <c r="A3" s="37" t="s">
        <v>1</v>
      </c>
    </row>
    <row r="4" spans="1:19" ht="44" x14ac:dyDescent="0.25">
      <c r="A4" s="38" t="s">
        <v>0</v>
      </c>
      <c r="B4" s="39" t="s">
        <v>5</v>
      </c>
    </row>
    <row r="5" spans="1:19" x14ac:dyDescent="0.25">
      <c r="A5" s="40" t="s">
        <v>2</v>
      </c>
      <c r="B5" s="41">
        <v>36</v>
      </c>
    </row>
    <row r="6" spans="1:19" x14ac:dyDescent="0.25">
      <c r="A6" s="40" t="s">
        <v>3</v>
      </c>
      <c r="B6" s="41">
        <v>42</v>
      </c>
    </row>
    <row r="7" spans="1:19" x14ac:dyDescent="0.25">
      <c r="A7" s="42" t="s">
        <v>4</v>
      </c>
      <c r="B7" s="41">
        <v>32</v>
      </c>
    </row>
    <row r="9" spans="1:19" x14ac:dyDescent="0.25">
      <c r="A9" s="43" t="s">
        <v>62</v>
      </c>
      <c r="G9" s="44" t="s">
        <v>62</v>
      </c>
      <c r="H9" s="45"/>
      <c r="I9" s="45"/>
      <c r="J9" s="45"/>
      <c r="K9" s="45"/>
      <c r="O9" s="45"/>
      <c r="P9" s="45"/>
      <c r="Q9" s="45"/>
    </row>
    <row r="10" spans="1:19" x14ac:dyDescent="0.25">
      <c r="A10" s="37" t="s">
        <v>11</v>
      </c>
      <c r="D10" s="46" t="s">
        <v>63</v>
      </c>
      <c r="F10" s="47"/>
      <c r="G10" s="37" t="s">
        <v>11</v>
      </c>
      <c r="H10" s="45"/>
      <c r="I10" s="45"/>
      <c r="J10" s="46" t="s">
        <v>63</v>
      </c>
      <c r="K10" s="45"/>
      <c r="N10" s="48" t="s">
        <v>64</v>
      </c>
      <c r="O10" s="48" t="s">
        <v>36</v>
      </c>
      <c r="P10" s="48" t="s">
        <v>37</v>
      </c>
      <c r="Q10" s="48" t="s">
        <v>38</v>
      </c>
      <c r="S10" s="48"/>
    </row>
    <row r="11" spans="1:19" ht="44" x14ac:dyDescent="0.25">
      <c r="A11" s="39" t="s">
        <v>0</v>
      </c>
      <c r="B11" s="39" t="s">
        <v>5</v>
      </c>
      <c r="C11" s="41"/>
      <c r="D11" s="39" t="s">
        <v>0</v>
      </c>
      <c r="E11" s="39" t="s">
        <v>5</v>
      </c>
      <c r="G11" s="49" t="s">
        <v>0</v>
      </c>
      <c r="H11" s="49" t="s">
        <v>5</v>
      </c>
      <c r="I11" s="45"/>
      <c r="J11" s="49" t="s">
        <v>0</v>
      </c>
      <c r="K11" s="49" t="s">
        <v>5</v>
      </c>
      <c r="M11" s="48" t="s">
        <v>11</v>
      </c>
      <c r="N11" s="36">
        <v>1</v>
      </c>
      <c r="O11" s="36">
        <f>AVERAGE(H12:H14)</f>
        <v>6.5972222222222214</v>
      </c>
      <c r="P11" s="36">
        <f>AVERAGE(H26:H28)</f>
        <v>24.918154761904763</v>
      </c>
      <c r="Q11" s="36">
        <f>AVERAGE(H40:H42)</f>
        <v>67.41583994708995</v>
      </c>
    </row>
    <row r="12" spans="1:19" x14ac:dyDescent="0.25">
      <c r="A12" s="46" t="s">
        <v>12</v>
      </c>
      <c r="B12" s="41">
        <v>273</v>
      </c>
      <c r="C12" s="41"/>
      <c r="D12" s="46" t="s">
        <v>65</v>
      </c>
      <c r="E12" s="36">
        <v>78</v>
      </c>
      <c r="G12" s="37" t="s">
        <v>12</v>
      </c>
      <c r="H12" s="45">
        <f>B12/B5</f>
        <v>7.583333333333333</v>
      </c>
      <c r="I12" s="45"/>
      <c r="J12" s="37" t="s">
        <v>66</v>
      </c>
      <c r="K12" s="45">
        <f>E12/B5</f>
        <v>2.1666666666666665</v>
      </c>
      <c r="M12" s="50" t="s">
        <v>63</v>
      </c>
      <c r="N12" s="36">
        <v>1</v>
      </c>
      <c r="O12" s="36">
        <f>AVERAGE(K12:K14)</f>
        <v>1.9434523809523807</v>
      </c>
      <c r="P12" s="36">
        <f>AVERAGE(K26:K28)</f>
        <v>2.5795304232804233</v>
      </c>
      <c r="Q12" s="36">
        <f>AVERAGE(K40:K42)</f>
        <v>3.9895833333333335</v>
      </c>
    </row>
    <row r="13" spans="1:19" x14ac:dyDescent="0.25">
      <c r="A13" s="46" t="s">
        <v>13</v>
      </c>
      <c r="B13" s="41">
        <v>224</v>
      </c>
      <c r="C13" s="41"/>
      <c r="D13" s="46" t="s">
        <v>17</v>
      </c>
      <c r="E13" s="36">
        <v>62</v>
      </c>
      <c r="G13" s="37" t="s">
        <v>13</v>
      </c>
      <c r="H13" s="45">
        <f>B13/B6</f>
        <v>5.333333333333333</v>
      </c>
      <c r="I13" s="45"/>
      <c r="J13" s="37" t="s">
        <v>67</v>
      </c>
      <c r="K13" s="45">
        <f>E13/B6</f>
        <v>1.4761904761904763</v>
      </c>
      <c r="M13" s="48" t="s">
        <v>47</v>
      </c>
      <c r="N13" s="36">
        <v>1</v>
      </c>
      <c r="O13" s="36">
        <f>AVERAGE(H18:H20)</f>
        <v>1.0152116402116402</v>
      </c>
      <c r="P13" s="36">
        <f>AVERAGE(H32:H34)</f>
        <v>1.2476851851851851</v>
      </c>
      <c r="Q13" s="36">
        <f>AVERAGE(H46:H48)</f>
        <v>2.8252314814814814</v>
      </c>
    </row>
    <row r="14" spans="1:19" x14ac:dyDescent="0.25">
      <c r="A14" s="46" t="s">
        <v>14</v>
      </c>
      <c r="B14" s="41">
        <v>220</v>
      </c>
      <c r="C14" s="41"/>
      <c r="D14" s="46" t="s">
        <v>18</v>
      </c>
      <c r="E14" s="36">
        <v>70</v>
      </c>
      <c r="G14" s="37" t="s">
        <v>14</v>
      </c>
      <c r="H14" s="45">
        <f>B14/B7</f>
        <v>6.875</v>
      </c>
      <c r="I14" s="45"/>
      <c r="J14" s="37" t="s">
        <v>68</v>
      </c>
      <c r="K14" s="45">
        <f>E14/B7</f>
        <v>2.1875</v>
      </c>
      <c r="M14" s="48" t="s">
        <v>69</v>
      </c>
      <c r="N14" s="36">
        <v>1</v>
      </c>
      <c r="O14" s="36">
        <f>AVERAGE(K18:K20)</f>
        <v>1.2296626984126984</v>
      </c>
      <c r="P14" s="36">
        <f>AVERAGE(K32:K34)</f>
        <v>0.95833333333333337</v>
      </c>
      <c r="Q14" s="36">
        <f>AVERAGE(K46:K48)</f>
        <v>0.85929232804232802</v>
      </c>
    </row>
    <row r="15" spans="1:19" x14ac:dyDescent="0.25">
      <c r="A15" s="42"/>
      <c r="B15" s="41"/>
      <c r="C15" s="51"/>
      <c r="D15" s="41"/>
      <c r="E15" s="51"/>
      <c r="F15" s="51"/>
      <c r="G15" s="37"/>
      <c r="H15" s="45"/>
      <c r="I15" s="52"/>
      <c r="J15" s="45"/>
      <c r="K15" s="52"/>
      <c r="O15" s="45"/>
      <c r="P15" s="45"/>
      <c r="Q15" s="45"/>
    </row>
    <row r="16" spans="1:19" x14ac:dyDescent="0.25">
      <c r="A16" s="37" t="s">
        <v>47</v>
      </c>
      <c r="D16" s="53" t="s">
        <v>69</v>
      </c>
      <c r="G16" s="37" t="s">
        <v>47</v>
      </c>
      <c r="H16" s="45"/>
      <c r="I16" s="45"/>
      <c r="J16" s="53" t="s">
        <v>69</v>
      </c>
      <c r="K16" s="45"/>
      <c r="O16" s="45"/>
      <c r="P16" s="45"/>
      <c r="Q16" s="45"/>
    </row>
    <row r="17" spans="1:17" ht="44" x14ac:dyDescent="0.25">
      <c r="A17" s="39" t="s">
        <v>0</v>
      </c>
      <c r="B17" s="39" t="s">
        <v>5</v>
      </c>
      <c r="D17" s="39" t="s">
        <v>0</v>
      </c>
      <c r="E17" s="39" t="s">
        <v>5</v>
      </c>
      <c r="G17" s="49" t="s">
        <v>0</v>
      </c>
      <c r="H17" s="49" t="s">
        <v>5</v>
      </c>
      <c r="I17" s="45"/>
      <c r="J17" s="49" t="s">
        <v>0</v>
      </c>
      <c r="K17" s="49" t="s">
        <v>5</v>
      </c>
      <c r="O17" s="45"/>
      <c r="P17" s="45"/>
      <c r="Q17" s="45"/>
    </row>
    <row r="18" spans="1:17" x14ac:dyDescent="0.25">
      <c r="A18" s="37" t="s">
        <v>75</v>
      </c>
      <c r="B18" s="36">
        <v>28</v>
      </c>
      <c r="D18" s="54" t="s">
        <v>70</v>
      </c>
      <c r="E18" s="50">
        <v>54</v>
      </c>
      <c r="G18" s="37" t="s">
        <v>79</v>
      </c>
      <c r="H18" s="45">
        <f>B18/B5</f>
        <v>0.77777777777777779</v>
      </c>
      <c r="I18" s="45"/>
      <c r="J18" s="53" t="s">
        <v>70</v>
      </c>
      <c r="K18" s="45">
        <f>E18/B5</f>
        <v>1.5</v>
      </c>
      <c r="M18" s="37"/>
      <c r="N18" s="45"/>
      <c r="O18" s="45"/>
      <c r="P18" s="45"/>
      <c r="Q18" s="45"/>
    </row>
    <row r="19" spans="1:17" x14ac:dyDescent="0.25">
      <c r="A19" s="37" t="s">
        <v>76</v>
      </c>
      <c r="B19" s="36">
        <v>48</v>
      </c>
      <c r="D19" s="54" t="s">
        <v>71</v>
      </c>
      <c r="E19" s="50">
        <v>25</v>
      </c>
      <c r="G19" s="37" t="s">
        <v>80</v>
      </c>
      <c r="H19" s="45">
        <f>B19/B6</f>
        <v>1.1428571428571428</v>
      </c>
      <c r="I19" s="45"/>
      <c r="J19" s="53" t="s">
        <v>71</v>
      </c>
      <c r="K19" s="45">
        <f>E19/B6</f>
        <v>0.59523809523809523</v>
      </c>
      <c r="O19" s="45"/>
    </row>
    <row r="20" spans="1:17" x14ac:dyDescent="0.25">
      <c r="A20" s="37" t="s">
        <v>77</v>
      </c>
      <c r="B20" s="36">
        <v>36</v>
      </c>
      <c r="D20" s="54" t="s">
        <v>72</v>
      </c>
      <c r="E20" s="50">
        <v>51</v>
      </c>
      <c r="G20" s="37" t="s">
        <v>81</v>
      </c>
      <c r="H20" s="45">
        <f>B20/B7</f>
        <v>1.125</v>
      </c>
      <c r="I20" s="45"/>
      <c r="J20" s="53" t="s">
        <v>72</v>
      </c>
      <c r="K20" s="45">
        <f>E20/B7</f>
        <v>1.59375</v>
      </c>
      <c r="O20" s="45"/>
    </row>
    <row r="21" spans="1:17" x14ac:dyDescent="0.25">
      <c r="A21" s="37"/>
      <c r="D21" s="46"/>
      <c r="E21" s="50"/>
      <c r="H21" s="41"/>
      <c r="I21" s="46"/>
      <c r="J21" s="37"/>
      <c r="K21" s="45"/>
      <c r="L21" s="45"/>
    </row>
    <row r="22" spans="1:17" x14ac:dyDescent="0.25">
      <c r="I22" s="46"/>
    </row>
    <row r="23" spans="1:17" x14ac:dyDescent="0.25">
      <c r="A23" s="43" t="s">
        <v>73</v>
      </c>
      <c r="G23" s="43" t="s">
        <v>73</v>
      </c>
      <c r="Q23" s="41"/>
    </row>
    <row r="24" spans="1:17" x14ac:dyDescent="0.25">
      <c r="A24" s="37" t="s">
        <v>11</v>
      </c>
      <c r="D24" s="46" t="s">
        <v>63</v>
      </c>
      <c r="G24" s="37" t="s">
        <v>11</v>
      </c>
      <c r="J24" s="46" t="s">
        <v>63</v>
      </c>
      <c r="Q24" s="41"/>
    </row>
    <row r="25" spans="1:17" ht="44" x14ac:dyDescent="0.25">
      <c r="A25" s="39" t="s">
        <v>0</v>
      </c>
      <c r="B25" s="39" t="s">
        <v>5</v>
      </c>
      <c r="D25" s="39" t="s">
        <v>0</v>
      </c>
      <c r="E25" s="39" t="s">
        <v>5</v>
      </c>
      <c r="G25" s="39" t="s">
        <v>0</v>
      </c>
      <c r="H25" s="39" t="s">
        <v>5</v>
      </c>
      <c r="I25" s="41"/>
      <c r="J25" s="39" t="s">
        <v>0</v>
      </c>
      <c r="K25" s="39" t="s">
        <v>5</v>
      </c>
      <c r="Q25" s="41"/>
    </row>
    <row r="26" spans="1:17" x14ac:dyDescent="0.25">
      <c r="A26" s="46" t="s">
        <v>12</v>
      </c>
      <c r="B26" s="41">
        <v>897</v>
      </c>
      <c r="D26" s="46" t="s">
        <v>65</v>
      </c>
      <c r="E26" s="36">
        <v>89</v>
      </c>
      <c r="G26" s="46" t="s">
        <v>12</v>
      </c>
      <c r="H26" s="41">
        <f>B26/B5</f>
        <v>24.916666666666668</v>
      </c>
      <c r="I26" s="41"/>
      <c r="J26" s="46" t="s">
        <v>65</v>
      </c>
      <c r="K26" s="36">
        <f>E26/B5</f>
        <v>2.4722222222222223</v>
      </c>
      <c r="O26" s="47"/>
      <c r="Q26" s="41"/>
    </row>
    <row r="27" spans="1:17" x14ac:dyDescent="0.25">
      <c r="A27" s="46" t="s">
        <v>13</v>
      </c>
      <c r="B27" s="41">
        <v>929</v>
      </c>
      <c r="D27" s="46" t="s">
        <v>65</v>
      </c>
      <c r="E27" s="36">
        <v>107</v>
      </c>
      <c r="G27" s="46" t="s">
        <v>13</v>
      </c>
      <c r="H27" s="41">
        <f>B27/B6</f>
        <v>22.11904761904762</v>
      </c>
      <c r="I27" s="41"/>
      <c r="J27" s="46" t="s">
        <v>17</v>
      </c>
      <c r="K27" s="36">
        <f>E27/B6</f>
        <v>2.5476190476190474</v>
      </c>
    </row>
    <row r="28" spans="1:17" x14ac:dyDescent="0.25">
      <c r="A28" s="46" t="s">
        <v>14</v>
      </c>
      <c r="B28" s="41">
        <v>887</v>
      </c>
      <c r="D28" s="46" t="s">
        <v>65</v>
      </c>
      <c r="E28" s="36">
        <v>87</v>
      </c>
      <c r="G28" s="46" t="s">
        <v>14</v>
      </c>
      <c r="H28" s="41">
        <f>B28/B7</f>
        <v>27.71875</v>
      </c>
      <c r="I28" s="41"/>
      <c r="J28" s="46" t="s">
        <v>18</v>
      </c>
      <c r="K28" s="36">
        <f>E28/B7</f>
        <v>2.71875</v>
      </c>
    </row>
    <row r="29" spans="1:17" x14ac:dyDescent="0.25">
      <c r="A29" s="42"/>
      <c r="B29" s="41"/>
      <c r="D29" s="41"/>
      <c r="E29" s="51"/>
      <c r="F29" s="47"/>
      <c r="G29" s="42"/>
      <c r="H29" s="41"/>
      <c r="I29" s="51"/>
    </row>
    <row r="30" spans="1:17" x14ac:dyDescent="0.25">
      <c r="A30" s="37" t="s">
        <v>47</v>
      </c>
      <c r="C30" s="41"/>
      <c r="D30" s="53" t="s">
        <v>69</v>
      </c>
      <c r="G30" s="37" t="s">
        <v>47</v>
      </c>
      <c r="J30" s="53" t="s">
        <v>69</v>
      </c>
    </row>
    <row r="31" spans="1:17" ht="44" x14ac:dyDescent="0.25">
      <c r="A31" s="39" t="s">
        <v>0</v>
      </c>
      <c r="B31" s="39" t="s">
        <v>5</v>
      </c>
      <c r="C31" s="41"/>
      <c r="D31" s="39" t="s">
        <v>0</v>
      </c>
      <c r="E31" s="39" t="s">
        <v>5</v>
      </c>
      <c r="G31" s="39" t="s">
        <v>0</v>
      </c>
      <c r="H31" s="39" t="s">
        <v>5</v>
      </c>
      <c r="J31" s="39" t="s">
        <v>0</v>
      </c>
      <c r="K31" s="39" t="s">
        <v>5</v>
      </c>
      <c r="O31" s="51"/>
    </row>
    <row r="32" spans="1:17" x14ac:dyDescent="0.25">
      <c r="A32" s="37" t="s">
        <v>75</v>
      </c>
      <c r="B32" s="41">
        <v>56</v>
      </c>
      <c r="C32" s="41"/>
      <c r="D32" s="54" t="s">
        <v>70</v>
      </c>
      <c r="E32" s="50">
        <v>24</v>
      </c>
      <c r="G32" s="37" t="s">
        <v>79</v>
      </c>
      <c r="H32" s="36">
        <f>B32/B5</f>
        <v>1.5555555555555556</v>
      </c>
      <c r="J32" s="54" t="s">
        <v>70</v>
      </c>
      <c r="K32" s="50">
        <f>E32/B5</f>
        <v>0.66666666666666663</v>
      </c>
    </row>
    <row r="33" spans="1:17" x14ac:dyDescent="0.25">
      <c r="A33" s="37" t="s">
        <v>76</v>
      </c>
      <c r="B33" s="41">
        <v>42</v>
      </c>
      <c r="C33" s="41"/>
      <c r="D33" s="54" t="s">
        <v>71</v>
      </c>
      <c r="E33" s="50">
        <v>56</v>
      </c>
      <c r="G33" s="37" t="s">
        <v>80</v>
      </c>
      <c r="H33" s="36">
        <f>B33/B6</f>
        <v>1</v>
      </c>
      <c r="J33" s="54" t="s">
        <v>71</v>
      </c>
      <c r="K33" s="50">
        <f>E33/B6</f>
        <v>1.3333333333333333</v>
      </c>
      <c r="M33" s="46"/>
      <c r="N33" s="50"/>
    </row>
    <row r="34" spans="1:17" x14ac:dyDescent="0.25">
      <c r="A34" s="37" t="s">
        <v>77</v>
      </c>
      <c r="B34" s="41">
        <v>38</v>
      </c>
      <c r="C34" s="41"/>
      <c r="D34" s="54" t="s">
        <v>72</v>
      </c>
      <c r="E34" s="50">
        <v>28</v>
      </c>
      <c r="F34" s="51"/>
      <c r="G34" s="37" t="s">
        <v>81</v>
      </c>
      <c r="H34" s="36">
        <f>B34/B7</f>
        <v>1.1875</v>
      </c>
      <c r="J34" s="54" t="s">
        <v>72</v>
      </c>
      <c r="K34" s="50">
        <f>E34/B7</f>
        <v>0.875</v>
      </c>
    </row>
    <row r="35" spans="1:17" x14ac:dyDescent="0.25">
      <c r="A35" s="37"/>
      <c r="D35" s="46"/>
      <c r="E35" s="50"/>
      <c r="H35" s="41"/>
      <c r="J35" s="41"/>
    </row>
    <row r="37" spans="1:17" x14ac:dyDescent="0.25">
      <c r="A37" s="43" t="s">
        <v>74</v>
      </c>
      <c r="G37" s="43" t="s">
        <v>74</v>
      </c>
    </row>
    <row r="38" spans="1:17" x14ac:dyDescent="0.25">
      <c r="A38" s="37" t="s">
        <v>11</v>
      </c>
      <c r="D38" s="46" t="s">
        <v>63</v>
      </c>
      <c r="G38" s="37" t="s">
        <v>11</v>
      </c>
      <c r="J38" s="46" t="s">
        <v>63</v>
      </c>
      <c r="Q38" s="41"/>
    </row>
    <row r="39" spans="1:17" ht="44" x14ac:dyDescent="0.25">
      <c r="A39" s="39" t="s">
        <v>0</v>
      </c>
      <c r="B39" s="39" t="s">
        <v>5</v>
      </c>
      <c r="D39" s="39" t="s">
        <v>0</v>
      </c>
      <c r="E39" s="39" t="s">
        <v>5</v>
      </c>
      <c r="G39" s="39" t="s">
        <v>0</v>
      </c>
      <c r="H39" s="39" t="s">
        <v>5</v>
      </c>
      <c r="I39" s="41"/>
      <c r="J39" s="39" t="s">
        <v>0</v>
      </c>
      <c r="K39" s="39" t="s">
        <v>5</v>
      </c>
      <c r="Q39" s="41"/>
    </row>
    <row r="40" spans="1:17" x14ac:dyDescent="0.25">
      <c r="A40" s="46" t="s">
        <v>12</v>
      </c>
      <c r="B40" s="41">
        <v>2420</v>
      </c>
      <c r="D40" s="46" t="s">
        <v>66</v>
      </c>
      <c r="E40" s="36">
        <v>162</v>
      </c>
      <c r="G40" s="46" t="s">
        <v>12</v>
      </c>
      <c r="H40" s="41">
        <f>B40/B5</f>
        <v>67.222222222222229</v>
      </c>
      <c r="I40" s="41"/>
      <c r="J40" s="46" t="s">
        <v>66</v>
      </c>
      <c r="K40" s="36">
        <f>E40/B5</f>
        <v>4.5</v>
      </c>
      <c r="Q40" s="41"/>
    </row>
    <row r="41" spans="1:17" x14ac:dyDescent="0.25">
      <c r="A41" s="46" t="s">
        <v>13</v>
      </c>
      <c r="B41" s="41">
        <v>2462</v>
      </c>
      <c r="D41" s="46" t="s">
        <v>67</v>
      </c>
      <c r="E41" s="36">
        <v>126</v>
      </c>
      <c r="G41" s="46" t="s">
        <v>13</v>
      </c>
      <c r="H41" s="41">
        <f>B41/B6</f>
        <v>58.61904761904762</v>
      </c>
      <c r="I41" s="41"/>
      <c r="J41" s="46" t="s">
        <v>67</v>
      </c>
      <c r="K41" s="36">
        <f>E41/B6</f>
        <v>3</v>
      </c>
      <c r="Q41" s="41"/>
    </row>
    <row r="42" spans="1:17" x14ac:dyDescent="0.25">
      <c r="A42" s="46" t="s">
        <v>14</v>
      </c>
      <c r="B42" s="41">
        <v>2445</v>
      </c>
      <c r="D42" s="46" t="s">
        <v>68</v>
      </c>
      <c r="E42" s="36">
        <v>143</v>
      </c>
      <c r="G42" s="46" t="s">
        <v>14</v>
      </c>
      <c r="H42" s="41">
        <f>B42/B7</f>
        <v>76.40625</v>
      </c>
      <c r="I42" s="41"/>
      <c r="J42" s="46" t="s">
        <v>68</v>
      </c>
      <c r="K42" s="36">
        <f>E42/B7</f>
        <v>4.46875</v>
      </c>
      <c r="Q42" s="41"/>
    </row>
    <row r="43" spans="1:17" x14ac:dyDescent="0.25">
      <c r="A43" s="42"/>
      <c r="B43" s="41"/>
      <c r="D43" s="41"/>
      <c r="E43" s="51"/>
      <c r="G43" s="42"/>
      <c r="H43" s="41"/>
      <c r="I43" s="51"/>
      <c r="Q43" s="41"/>
    </row>
    <row r="44" spans="1:17" x14ac:dyDescent="0.25">
      <c r="A44" s="37" t="s">
        <v>78</v>
      </c>
      <c r="C44" s="41"/>
      <c r="D44" s="53" t="s">
        <v>69</v>
      </c>
      <c r="G44" s="37" t="s">
        <v>47</v>
      </c>
      <c r="J44" s="53" t="s">
        <v>69</v>
      </c>
      <c r="Q44" s="41"/>
    </row>
    <row r="45" spans="1:17" ht="44" x14ac:dyDescent="0.25">
      <c r="A45" s="39" t="s">
        <v>0</v>
      </c>
      <c r="B45" s="39" t="s">
        <v>5</v>
      </c>
      <c r="C45" s="41"/>
      <c r="D45" s="39" t="s">
        <v>0</v>
      </c>
      <c r="E45" s="39" t="s">
        <v>5</v>
      </c>
      <c r="G45" s="39" t="s">
        <v>0</v>
      </c>
      <c r="H45" s="39" t="s">
        <v>5</v>
      </c>
      <c r="J45" s="39" t="s">
        <v>0</v>
      </c>
      <c r="K45" s="39" t="s">
        <v>5</v>
      </c>
      <c r="O45" s="47"/>
      <c r="Q45" s="41"/>
    </row>
    <row r="46" spans="1:17" x14ac:dyDescent="0.25">
      <c r="A46" s="37" t="s">
        <v>79</v>
      </c>
      <c r="B46" s="36">
        <v>100</v>
      </c>
      <c r="C46" s="41"/>
      <c r="D46" s="54" t="s">
        <v>70</v>
      </c>
      <c r="E46" s="36">
        <v>26</v>
      </c>
      <c r="G46" s="37" t="s">
        <v>79</v>
      </c>
      <c r="H46" s="36">
        <f>B46/B5</f>
        <v>2.7777777777777777</v>
      </c>
      <c r="J46" s="54" t="s">
        <v>70</v>
      </c>
      <c r="K46" s="36">
        <f>E46/B5</f>
        <v>0.72222222222222221</v>
      </c>
      <c r="Q46" s="41"/>
    </row>
    <row r="47" spans="1:17" x14ac:dyDescent="0.25">
      <c r="A47" s="37" t="s">
        <v>80</v>
      </c>
      <c r="B47" s="36">
        <v>112</v>
      </c>
      <c r="C47" s="41"/>
      <c r="D47" s="54" t="s">
        <v>71</v>
      </c>
      <c r="E47" s="36">
        <v>32</v>
      </c>
      <c r="G47" s="37" t="s">
        <v>80</v>
      </c>
      <c r="H47" s="36">
        <f>B47/B6</f>
        <v>2.6666666666666665</v>
      </c>
      <c r="J47" s="54" t="s">
        <v>71</v>
      </c>
      <c r="K47" s="36">
        <f>E47/B6</f>
        <v>0.76190476190476186</v>
      </c>
      <c r="Q47" s="41"/>
    </row>
    <row r="48" spans="1:17" x14ac:dyDescent="0.25">
      <c r="A48" s="37" t="s">
        <v>81</v>
      </c>
      <c r="B48" s="36">
        <v>97</v>
      </c>
      <c r="C48" s="51"/>
      <c r="D48" s="54" t="s">
        <v>72</v>
      </c>
      <c r="E48" s="36">
        <v>35</v>
      </c>
      <c r="F48" s="47"/>
      <c r="G48" s="37" t="s">
        <v>81</v>
      </c>
      <c r="H48" s="36">
        <f>B48/B7</f>
        <v>3.03125</v>
      </c>
      <c r="J48" s="54" t="s">
        <v>72</v>
      </c>
      <c r="K48" s="36">
        <f>E48/B7</f>
        <v>1.09375</v>
      </c>
    </row>
    <row r="49" spans="1:15" x14ac:dyDescent="0.25">
      <c r="A49" s="37"/>
      <c r="D49" s="46"/>
      <c r="E49" s="50"/>
      <c r="H49" s="41"/>
      <c r="J49" s="37"/>
    </row>
    <row r="50" spans="1:15" x14ac:dyDescent="0.25">
      <c r="O50" s="51"/>
    </row>
    <row r="53" spans="1:15" x14ac:dyDescent="0.25">
      <c r="F53" s="51"/>
    </row>
    <row r="59" spans="1:15" x14ac:dyDescent="0.25">
      <c r="I59" s="46"/>
    </row>
    <row r="60" spans="1:15" x14ac:dyDescent="0.25">
      <c r="I60" s="46"/>
    </row>
    <row r="61" spans="1:15" x14ac:dyDescent="0.25">
      <c r="I61" s="46"/>
    </row>
    <row r="62" spans="1:15" x14ac:dyDescent="0.25">
      <c r="I62" s="46"/>
    </row>
    <row r="63" spans="1:15" x14ac:dyDescent="0.25">
      <c r="I63" s="46"/>
    </row>
    <row r="64" spans="1:15" x14ac:dyDescent="0.25">
      <c r="I64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6"/>
  <sheetViews>
    <sheetView workbookViewId="0">
      <selection activeCell="J51" sqref="J51:J53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8" width="9.5" bestFit="1" customWidth="1"/>
    <col min="9" max="9" width="20.3320312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</cols>
  <sheetData>
    <row r="1" spans="1:15" ht="19" x14ac:dyDescent="0.25">
      <c r="A1" s="3" t="s">
        <v>53</v>
      </c>
    </row>
    <row r="2" spans="1:15" x14ac:dyDescent="0.2">
      <c r="A2" t="s">
        <v>54</v>
      </c>
    </row>
    <row r="3" spans="1:15" x14ac:dyDescent="0.2">
      <c r="A3" s="2" t="s">
        <v>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5" ht="19" x14ac:dyDescent="0.25">
      <c r="A5" s="66" t="s">
        <v>56</v>
      </c>
      <c r="B5" s="67"/>
      <c r="C5" s="67"/>
      <c r="D5" s="67"/>
      <c r="E5" s="67"/>
      <c r="F5" s="67"/>
      <c r="G5" s="68"/>
    </row>
    <row r="6" spans="1:15" ht="16" x14ac:dyDescent="0.2">
      <c r="A6" s="60" t="s">
        <v>1</v>
      </c>
      <c r="B6" s="61"/>
      <c r="C6" s="61"/>
      <c r="D6" s="61"/>
      <c r="E6" s="61"/>
      <c r="F6" s="61"/>
      <c r="G6" s="62"/>
    </row>
    <row r="7" spans="1:15" ht="32" x14ac:dyDescent="0.2">
      <c r="A7" s="4" t="s">
        <v>0</v>
      </c>
      <c r="B7" s="5" t="s">
        <v>5</v>
      </c>
      <c r="C7" s="5" t="s">
        <v>6</v>
      </c>
      <c r="D7" s="5" t="s">
        <v>7</v>
      </c>
      <c r="E7" s="5" t="s">
        <v>8</v>
      </c>
      <c r="F7" s="9" t="s">
        <v>9</v>
      </c>
      <c r="G7" s="6" t="s">
        <v>10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14" t="s">
        <v>2</v>
      </c>
      <c r="B8" s="15">
        <v>30</v>
      </c>
      <c r="C8" s="16">
        <f>B8*400</f>
        <v>12000</v>
      </c>
      <c r="D8" s="15">
        <v>2.5</v>
      </c>
      <c r="E8" s="16">
        <f>C8*D8</f>
        <v>30000</v>
      </c>
      <c r="F8" s="17">
        <f>AVERAGE(E8:E10)</f>
        <v>32666.666666666668</v>
      </c>
      <c r="G8" s="18">
        <f>_xlfn.STDEV.S(E8:E10)</f>
        <v>4618.8021535169974</v>
      </c>
      <c r="H8" s="1"/>
      <c r="I8" s="1"/>
      <c r="J8" s="1"/>
      <c r="K8" s="1"/>
      <c r="L8" s="1"/>
      <c r="M8" s="1"/>
      <c r="N8" s="1"/>
      <c r="O8" s="1"/>
    </row>
    <row r="9" spans="1:15" x14ac:dyDescent="0.2">
      <c r="A9" s="14" t="s">
        <v>3</v>
      </c>
      <c r="B9" s="15">
        <v>30</v>
      </c>
      <c r="C9" s="16">
        <f>B9*400</f>
        <v>12000</v>
      </c>
      <c r="D9" s="15">
        <v>2.5</v>
      </c>
      <c r="E9" s="16">
        <f>C9*D9</f>
        <v>30000</v>
      </c>
      <c r="F9" s="16"/>
      <c r="G9" s="19"/>
      <c r="H9" s="1"/>
      <c r="I9" s="1"/>
      <c r="J9" s="1"/>
      <c r="K9" s="1"/>
      <c r="L9" s="1"/>
      <c r="M9" s="1"/>
      <c r="N9" s="1"/>
      <c r="O9" s="1"/>
    </row>
    <row r="10" spans="1:15" x14ac:dyDescent="0.2">
      <c r="A10" s="20" t="s">
        <v>4</v>
      </c>
      <c r="B10" s="21">
        <v>38</v>
      </c>
      <c r="C10" s="22">
        <f>B10*400</f>
        <v>15200</v>
      </c>
      <c r="D10" s="21">
        <v>2.5</v>
      </c>
      <c r="E10" s="22">
        <f>C10*D10</f>
        <v>38000</v>
      </c>
      <c r="F10" s="22"/>
      <c r="G10" s="23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9" x14ac:dyDescent="0.25">
      <c r="A12" s="66" t="s">
        <v>57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8"/>
    </row>
    <row r="13" spans="1:15" ht="16" x14ac:dyDescent="0.2">
      <c r="A13" s="60" t="s">
        <v>11</v>
      </c>
      <c r="B13" s="61"/>
      <c r="C13" s="61"/>
      <c r="D13" s="61"/>
      <c r="E13" s="61"/>
      <c r="F13" s="61"/>
      <c r="G13" s="62"/>
      <c r="H13" s="15"/>
      <c r="I13" s="69" t="s">
        <v>25</v>
      </c>
      <c r="J13" s="70"/>
      <c r="K13" s="70"/>
      <c r="L13" s="70"/>
      <c r="M13" s="70"/>
      <c r="N13" s="70"/>
      <c r="O13" s="71"/>
    </row>
    <row r="14" spans="1:15" ht="32" x14ac:dyDescent="0.2">
      <c r="A14" s="4" t="s">
        <v>0</v>
      </c>
      <c r="B14" s="5" t="s">
        <v>5</v>
      </c>
      <c r="C14" s="5" t="s">
        <v>6</v>
      </c>
      <c r="D14" s="5" t="s">
        <v>7</v>
      </c>
      <c r="E14" s="5" t="s">
        <v>8</v>
      </c>
      <c r="F14" s="9" t="s">
        <v>9</v>
      </c>
      <c r="G14" s="6" t="s">
        <v>10</v>
      </c>
      <c r="H14" s="15"/>
      <c r="I14" s="10" t="s">
        <v>0</v>
      </c>
      <c r="J14" s="11" t="s">
        <v>5</v>
      </c>
      <c r="K14" s="11" t="s">
        <v>6</v>
      </c>
      <c r="L14" s="11" t="s">
        <v>7</v>
      </c>
      <c r="M14" s="11" t="s">
        <v>8</v>
      </c>
      <c r="N14" s="12" t="s">
        <v>9</v>
      </c>
      <c r="O14" s="13" t="s">
        <v>10</v>
      </c>
    </row>
    <row r="15" spans="1:15" x14ac:dyDescent="0.2">
      <c r="A15" s="14" t="s">
        <v>12</v>
      </c>
      <c r="B15" s="15">
        <v>169</v>
      </c>
      <c r="C15" s="16">
        <f>B15*400</f>
        <v>67600</v>
      </c>
      <c r="D15" s="15">
        <v>2.5</v>
      </c>
      <c r="E15" s="16">
        <f>C15*D15</f>
        <v>169000</v>
      </c>
      <c r="F15" s="17">
        <f>AVERAGE(E15:E17)</f>
        <v>160000</v>
      </c>
      <c r="G15" s="18">
        <f>_xlfn.STDEV.S(E15:E17)</f>
        <v>13076.696830622021</v>
      </c>
      <c r="H15" s="15"/>
      <c r="I15" s="14" t="s">
        <v>16</v>
      </c>
      <c r="J15" s="15">
        <v>65</v>
      </c>
      <c r="K15" s="16">
        <f>J15*400</f>
        <v>26000</v>
      </c>
      <c r="L15" s="15">
        <v>2.5</v>
      </c>
      <c r="M15" s="16">
        <f>K15*L15</f>
        <v>65000</v>
      </c>
      <c r="N15" s="17">
        <f>AVERAGE(M15:M17)</f>
        <v>70666.666666666672</v>
      </c>
      <c r="O15" s="18">
        <f>_xlfn.STDEV.S(K15:K17)</f>
        <v>2411.0855093366836</v>
      </c>
    </row>
    <row r="16" spans="1:15" x14ac:dyDescent="0.2">
      <c r="A16" s="14" t="s">
        <v>13</v>
      </c>
      <c r="B16" s="15">
        <v>145</v>
      </c>
      <c r="C16" s="16">
        <f>B16*400</f>
        <v>58000</v>
      </c>
      <c r="D16" s="15">
        <v>2.5</v>
      </c>
      <c r="E16" s="16">
        <f>C16*D16</f>
        <v>145000</v>
      </c>
      <c r="F16" s="16"/>
      <c r="G16" s="19"/>
      <c r="H16" s="15"/>
      <c r="I16" s="14" t="s">
        <v>17</v>
      </c>
      <c r="J16" s="15">
        <v>70</v>
      </c>
      <c r="K16" s="16">
        <f>J16*400</f>
        <v>28000</v>
      </c>
      <c r="L16" s="15">
        <v>2.5</v>
      </c>
      <c r="M16" s="16">
        <f>K16*L16</f>
        <v>70000</v>
      </c>
      <c r="N16" s="16"/>
      <c r="O16" s="19"/>
    </row>
    <row r="17" spans="1:23" x14ac:dyDescent="0.2">
      <c r="A17" s="20" t="s">
        <v>14</v>
      </c>
      <c r="B17" s="21">
        <v>166</v>
      </c>
      <c r="C17" s="22">
        <f>B17*400</f>
        <v>66400</v>
      </c>
      <c r="D17" s="21">
        <v>2.5</v>
      </c>
      <c r="E17" s="22">
        <f>C17*D17</f>
        <v>166000</v>
      </c>
      <c r="F17" s="22"/>
      <c r="G17" s="23"/>
      <c r="H17" s="15"/>
      <c r="I17" s="20" t="s">
        <v>18</v>
      </c>
      <c r="J17" s="21">
        <v>77</v>
      </c>
      <c r="K17" s="22">
        <f>J17*400</f>
        <v>30800</v>
      </c>
      <c r="L17" s="21">
        <v>2.5</v>
      </c>
      <c r="M17" s="22">
        <f>K17*L17</f>
        <v>77000</v>
      </c>
      <c r="N17" s="22"/>
      <c r="O17" s="23"/>
    </row>
    <row r="18" spans="1:23" x14ac:dyDescent="0.2">
      <c r="A18" s="14"/>
      <c r="B18" s="15"/>
      <c r="C18" s="16"/>
      <c r="D18" s="15"/>
      <c r="E18" s="16"/>
      <c r="F18" s="16"/>
      <c r="G18" s="16"/>
      <c r="H18" s="15"/>
      <c r="I18" s="26"/>
      <c r="J18" s="15"/>
      <c r="K18" s="16"/>
      <c r="L18" s="15"/>
      <c r="M18" s="16"/>
      <c r="N18" s="16"/>
      <c r="O18" s="19"/>
      <c r="P18" s="26"/>
      <c r="Q18" s="15"/>
      <c r="R18" s="16"/>
      <c r="S18" s="15"/>
      <c r="T18" s="16"/>
      <c r="U18" s="16"/>
      <c r="V18" s="16"/>
      <c r="W18" s="7"/>
    </row>
    <row r="19" spans="1:23" ht="16" x14ac:dyDescent="0.2">
      <c r="A19" s="60" t="s">
        <v>47</v>
      </c>
      <c r="B19" s="61"/>
      <c r="C19" s="61"/>
      <c r="D19" s="61"/>
      <c r="E19" s="61"/>
      <c r="F19" s="61"/>
      <c r="G19" s="62"/>
      <c r="H19" s="7"/>
      <c r="I19" s="63" t="s">
        <v>15</v>
      </c>
      <c r="J19" s="64"/>
      <c r="K19" s="64"/>
      <c r="L19" s="64"/>
      <c r="M19" s="64"/>
      <c r="N19" s="64"/>
      <c r="O19" s="65"/>
    </row>
    <row r="20" spans="1:23" ht="32" x14ac:dyDescent="0.2">
      <c r="A20" s="10" t="s">
        <v>0</v>
      </c>
      <c r="B20" s="11" t="s">
        <v>5</v>
      </c>
      <c r="C20" s="11" t="s">
        <v>6</v>
      </c>
      <c r="D20" s="11" t="s">
        <v>7</v>
      </c>
      <c r="E20" s="11" t="s">
        <v>8</v>
      </c>
      <c r="F20" s="12" t="s">
        <v>9</v>
      </c>
      <c r="G20" s="13" t="s">
        <v>10</v>
      </c>
      <c r="H20" s="7"/>
      <c r="I20" s="10" t="s">
        <v>0</v>
      </c>
      <c r="J20" s="11" t="s">
        <v>5</v>
      </c>
      <c r="K20" s="11" t="s">
        <v>6</v>
      </c>
      <c r="L20" s="11" t="s">
        <v>7</v>
      </c>
      <c r="M20" s="11" t="s">
        <v>8</v>
      </c>
      <c r="N20" s="12" t="s">
        <v>9</v>
      </c>
      <c r="O20" s="13" t="s">
        <v>10</v>
      </c>
    </row>
    <row r="21" spans="1:23" x14ac:dyDescent="0.2">
      <c r="A21" s="14" t="s">
        <v>46</v>
      </c>
      <c r="B21" s="15">
        <v>52</v>
      </c>
      <c r="C21" s="16">
        <f>B21*400</f>
        <v>20800</v>
      </c>
      <c r="D21" s="15">
        <v>2.5</v>
      </c>
      <c r="E21" s="16">
        <f>C21*D21</f>
        <v>52000</v>
      </c>
      <c r="F21" s="17">
        <f>AVERAGE(E21:E23)</f>
        <v>55000</v>
      </c>
      <c r="G21" s="18">
        <f>_xlfn.STDEV.S(E21:E23)</f>
        <v>9848.8578017961045</v>
      </c>
      <c r="H21" s="7"/>
      <c r="I21" s="24" t="s">
        <v>27</v>
      </c>
      <c r="J21" s="15">
        <v>33</v>
      </c>
      <c r="K21" s="16">
        <f>J21*400</f>
        <v>13200</v>
      </c>
      <c r="L21" s="15">
        <v>2.5</v>
      </c>
      <c r="M21" s="16">
        <f>K21*L21</f>
        <v>33000</v>
      </c>
      <c r="N21" s="25">
        <f>AVERAGE(M21:M23)</f>
        <v>43000</v>
      </c>
      <c r="O21" s="18">
        <f>_xlfn.STDEV.S(M21:M23)</f>
        <v>9539.3920141694562</v>
      </c>
    </row>
    <row r="22" spans="1:23" x14ac:dyDescent="0.2">
      <c r="A22" s="14" t="s">
        <v>45</v>
      </c>
      <c r="B22" s="15">
        <v>47</v>
      </c>
      <c r="C22" s="16">
        <f>B22*400</f>
        <v>18800</v>
      </c>
      <c r="D22" s="15">
        <v>2.5</v>
      </c>
      <c r="E22" s="16">
        <f>C22*D22</f>
        <v>47000</v>
      </c>
      <c r="F22" s="16"/>
      <c r="G22" s="19"/>
      <c r="H22" s="7"/>
      <c r="I22" s="24" t="s">
        <v>28</v>
      </c>
      <c r="J22" s="15">
        <v>44</v>
      </c>
      <c r="K22" s="16">
        <f>J22*400</f>
        <v>17600</v>
      </c>
      <c r="L22" s="15">
        <v>2.5</v>
      </c>
      <c r="M22" s="16">
        <f>K22*L22</f>
        <v>44000</v>
      </c>
      <c r="N22" s="16"/>
      <c r="O22" s="19"/>
    </row>
    <row r="23" spans="1:23" x14ac:dyDescent="0.2">
      <c r="A23" s="20" t="s">
        <v>44</v>
      </c>
      <c r="B23" s="21">
        <v>66</v>
      </c>
      <c r="C23" s="22">
        <f>B23*400</f>
        <v>26400</v>
      </c>
      <c r="D23" s="21">
        <v>2.5</v>
      </c>
      <c r="E23" s="22">
        <f>C23*D23</f>
        <v>66000</v>
      </c>
      <c r="F23" s="22"/>
      <c r="G23" s="23"/>
      <c r="H23" s="8"/>
      <c r="I23" s="27" t="s">
        <v>29</v>
      </c>
      <c r="J23" s="21">
        <v>52</v>
      </c>
      <c r="K23" s="22">
        <f>J23*400</f>
        <v>20800</v>
      </c>
      <c r="L23" s="21">
        <v>2.5</v>
      </c>
      <c r="M23" s="22">
        <f>K23*L23</f>
        <v>52000</v>
      </c>
      <c r="N23" s="22"/>
      <c r="O23" s="23"/>
    </row>
    <row r="24" spans="1:23" x14ac:dyDescent="0.2">
      <c r="A24" s="14"/>
      <c r="B24" s="15"/>
      <c r="C24" s="16"/>
      <c r="D24" s="15"/>
      <c r="E24" s="16"/>
      <c r="F24" s="16"/>
      <c r="G24" s="16"/>
      <c r="H24" s="15"/>
      <c r="I24" s="26"/>
      <c r="J24" s="15"/>
      <c r="K24" s="16"/>
      <c r="L24" s="15"/>
      <c r="M24" s="16"/>
      <c r="N24" s="16"/>
      <c r="O24" s="19"/>
    </row>
    <row r="25" spans="1:23" x14ac:dyDescent="0.2">
      <c r="A25" s="14"/>
      <c r="B25" s="15"/>
      <c r="C25" s="16"/>
      <c r="D25" s="15"/>
      <c r="E25" s="16"/>
      <c r="F25" s="16"/>
      <c r="G25" s="16"/>
      <c r="H25" s="15"/>
      <c r="I25" s="26"/>
      <c r="J25" s="15"/>
      <c r="K25" s="16"/>
      <c r="L25" s="15"/>
      <c r="M25" s="16"/>
      <c r="N25" s="16"/>
      <c r="O25" s="19"/>
    </row>
    <row r="26" spans="1:23" x14ac:dyDescent="0.2">
      <c r="A26" s="14"/>
      <c r="B26" s="15"/>
      <c r="C26" s="16"/>
      <c r="D26" s="15"/>
      <c r="E26" s="16"/>
      <c r="F26" s="16"/>
      <c r="G26" s="16"/>
      <c r="H26" s="15"/>
      <c r="I26" s="26"/>
      <c r="J26" s="15"/>
      <c r="K26" s="16"/>
      <c r="L26" s="15"/>
      <c r="M26" s="16"/>
      <c r="N26" s="16"/>
      <c r="O26" s="19"/>
    </row>
    <row r="27" spans="1:23" ht="15.75" customHeight="1" x14ac:dyDescent="0.25">
      <c r="A27" s="66" t="s">
        <v>58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8"/>
    </row>
    <row r="28" spans="1:23" ht="16" x14ac:dyDescent="0.2">
      <c r="A28" s="60" t="s">
        <v>42</v>
      </c>
      <c r="B28" s="61"/>
      <c r="C28" s="61"/>
      <c r="D28" s="61"/>
      <c r="E28" s="61"/>
      <c r="F28" s="61"/>
      <c r="G28" s="62"/>
      <c r="H28" s="15"/>
      <c r="I28" s="69" t="s">
        <v>25</v>
      </c>
      <c r="J28" s="70"/>
      <c r="K28" s="70"/>
      <c r="L28" s="70"/>
      <c r="M28" s="70"/>
      <c r="N28" s="70"/>
      <c r="O28" s="71"/>
    </row>
    <row r="29" spans="1:23" ht="32" x14ac:dyDescent="0.2">
      <c r="A29" s="4" t="s">
        <v>0</v>
      </c>
      <c r="B29" s="5" t="s">
        <v>5</v>
      </c>
      <c r="C29" s="5" t="s">
        <v>6</v>
      </c>
      <c r="D29" s="5" t="s">
        <v>7</v>
      </c>
      <c r="E29" s="5" t="s">
        <v>8</v>
      </c>
      <c r="F29" s="9" t="s">
        <v>9</v>
      </c>
      <c r="G29" s="6" t="s">
        <v>10</v>
      </c>
      <c r="H29" s="15"/>
      <c r="I29" s="10" t="s">
        <v>0</v>
      </c>
      <c r="J29" s="11" t="s">
        <v>5</v>
      </c>
      <c r="K29" s="11" t="s">
        <v>6</v>
      </c>
      <c r="L29" s="11" t="s">
        <v>7</v>
      </c>
      <c r="M29" s="11" t="s">
        <v>8</v>
      </c>
      <c r="N29" s="12" t="s">
        <v>9</v>
      </c>
      <c r="O29" s="13" t="s">
        <v>10</v>
      </c>
    </row>
    <row r="30" spans="1:23" x14ac:dyDescent="0.2">
      <c r="A30" s="14" t="s">
        <v>12</v>
      </c>
      <c r="B30" s="15">
        <v>1114</v>
      </c>
      <c r="C30" s="16">
        <f>B30*400</f>
        <v>445600</v>
      </c>
      <c r="D30" s="15">
        <v>2.5</v>
      </c>
      <c r="E30" s="16">
        <f>C30*D30</f>
        <v>1114000</v>
      </c>
      <c r="F30" s="17">
        <f>AVERAGE(E30:E32)</f>
        <v>1098666.6666666667</v>
      </c>
      <c r="G30" s="18">
        <f>_xlfn.STDEV.S(E30:E32)</f>
        <v>14189.197769195174</v>
      </c>
      <c r="H30" s="15"/>
      <c r="I30" s="14" t="s">
        <v>16</v>
      </c>
      <c r="J30" s="15">
        <v>166</v>
      </c>
      <c r="K30" s="16">
        <f>J30*400</f>
        <v>66400</v>
      </c>
      <c r="L30" s="15">
        <v>2.5</v>
      </c>
      <c r="M30" s="16">
        <f>K30*L30</f>
        <v>166000</v>
      </c>
      <c r="N30" s="17">
        <f>AVERAGE(M30:M32)</f>
        <v>172666.66666666666</v>
      </c>
      <c r="O30" s="18">
        <f>_xlfn.STDEV.S(K30:K32)</f>
        <v>2343.7861108329262</v>
      </c>
    </row>
    <row r="31" spans="1:23" x14ac:dyDescent="0.2">
      <c r="A31" s="14" t="s">
        <v>13</v>
      </c>
      <c r="B31" s="15">
        <v>1086</v>
      </c>
      <c r="C31" s="16">
        <f>B31*400</f>
        <v>434400</v>
      </c>
      <c r="D31" s="15">
        <v>2.5</v>
      </c>
      <c r="E31" s="16">
        <f>C31*D31</f>
        <v>1086000</v>
      </c>
      <c r="F31" s="16"/>
      <c r="G31" s="19"/>
      <c r="H31" s="15"/>
      <c r="I31" s="14" t="s">
        <v>17</v>
      </c>
      <c r="J31" s="15">
        <v>177</v>
      </c>
      <c r="K31" s="16">
        <f>J31*400</f>
        <v>70800</v>
      </c>
      <c r="L31" s="15">
        <v>2.5</v>
      </c>
      <c r="M31" s="16">
        <f>K31*L31</f>
        <v>177000</v>
      </c>
      <c r="N31" s="16"/>
      <c r="O31" s="19"/>
    </row>
    <row r="32" spans="1:23" x14ac:dyDescent="0.2">
      <c r="A32" s="20" t="s">
        <v>14</v>
      </c>
      <c r="B32" s="21">
        <v>1096</v>
      </c>
      <c r="C32" s="22">
        <f>B32*400</f>
        <v>438400</v>
      </c>
      <c r="D32" s="21">
        <v>2.5</v>
      </c>
      <c r="E32" s="22">
        <f>C32*D32</f>
        <v>1096000</v>
      </c>
      <c r="F32" s="22"/>
      <c r="G32" s="23"/>
      <c r="H32" s="15"/>
      <c r="I32" s="20" t="s">
        <v>18</v>
      </c>
      <c r="J32" s="21">
        <v>175</v>
      </c>
      <c r="K32" s="22">
        <f>J32*400</f>
        <v>70000</v>
      </c>
      <c r="L32" s="21">
        <v>2.5</v>
      </c>
      <c r="M32" s="22">
        <f>K32*L32</f>
        <v>175000</v>
      </c>
      <c r="N32" s="22"/>
      <c r="O32" s="23"/>
    </row>
    <row r="33" spans="1:22" x14ac:dyDescent="0.2">
      <c r="A33" s="14"/>
      <c r="B33" s="15"/>
      <c r="C33" s="16"/>
      <c r="D33" s="15"/>
      <c r="E33" s="16"/>
      <c r="F33" s="16"/>
      <c r="G33" s="16"/>
      <c r="H33" s="15"/>
      <c r="I33" s="26"/>
      <c r="J33" s="15"/>
      <c r="K33" s="16"/>
      <c r="L33" s="15"/>
      <c r="M33" s="16"/>
      <c r="N33" s="16"/>
      <c r="O33" s="19"/>
    </row>
    <row r="34" spans="1:22" ht="15.75" customHeight="1" x14ac:dyDescent="0.2">
      <c r="A34" s="60" t="s">
        <v>49</v>
      </c>
      <c r="B34" s="61"/>
      <c r="C34" s="61"/>
      <c r="D34" s="61"/>
      <c r="E34" s="61"/>
      <c r="F34" s="61"/>
      <c r="G34" s="62"/>
      <c r="H34" s="7"/>
      <c r="I34" s="63" t="s">
        <v>15</v>
      </c>
      <c r="J34" s="64"/>
      <c r="K34" s="64"/>
      <c r="L34" s="64"/>
      <c r="M34" s="64"/>
      <c r="N34" s="64"/>
      <c r="O34" s="65"/>
    </row>
    <row r="35" spans="1:22" ht="32" x14ac:dyDescent="0.2">
      <c r="A35" s="10" t="s">
        <v>0</v>
      </c>
      <c r="B35" s="11" t="s">
        <v>5</v>
      </c>
      <c r="C35" s="11" t="s">
        <v>6</v>
      </c>
      <c r="D35" s="11" t="s">
        <v>7</v>
      </c>
      <c r="E35" s="11" t="s">
        <v>8</v>
      </c>
      <c r="F35" s="12" t="s">
        <v>9</v>
      </c>
      <c r="G35" s="13" t="s">
        <v>10</v>
      </c>
      <c r="H35" s="7"/>
      <c r="I35" s="10" t="s">
        <v>0</v>
      </c>
      <c r="J35" s="11" t="s">
        <v>5</v>
      </c>
      <c r="K35" s="11" t="s">
        <v>6</v>
      </c>
      <c r="L35" s="11" t="s">
        <v>7</v>
      </c>
      <c r="M35" s="11" t="s">
        <v>8</v>
      </c>
      <c r="N35" s="12" t="s">
        <v>9</v>
      </c>
      <c r="O35" s="13" t="s">
        <v>10</v>
      </c>
    </row>
    <row r="36" spans="1:22" x14ac:dyDescent="0.2">
      <c r="A36" s="14" t="s">
        <v>46</v>
      </c>
      <c r="B36" s="15">
        <v>56</v>
      </c>
      <c r="C36" s="16">
        <f>B36*400</f>
        <v>22400</v>
      </c>
      <c r="D36" s="15">
        <v>2.5</v>
      </c>
      <c r="E36" s="16">
        <f>C36*D36</f>
        <v>56000</v>
      </c>
      <c r="F36" s="17">
        <f>AVERAGE(E36:E38)</f>
        <v>52666.666666666664</v>
      </c>
      <c r="G36" s="18">
        <f>_xlfn.STDEV.S(E36:E38)</f>
        <v>4163.3319989322654</v>
      </c>
      <c r="H36" s="7"/>
      <c r="I36" s="24" t="s">
        <v>27</v>
      </c>
      <c r="J36" s="15">
        <v>33</v>
      </c>
      <c r="K36" s="16">
        <f>J36*400</f>
        <v>13200</v>
      </c>
      <c r="L36" s="15">
        <v>2.5</v>
      </c>
      <c r="M36" s="16">
        <f>K36*L36</f>
        <v>33000</v>
      </c>
      <c r="N36" s="25">
        <f>AVERAGE(M36:M38)</f>
        <v>38000</v>
      </c>
      <c r="O36" s="18">
        <f>_xlfn.STDEV.S(M36:M38)</f>
        <v>4582.5756949558399</v>
      </c>
    </row>
    <row r="37" spans="1:22" x14ac:dyDescent="0.2">
      <c r="A37" s="14" t="s">
        <v>45</v>
      </c>
      <c r="B37" s="15">
        <v>54</v>
      </c>
      <c r="C37" s="16">
        <f>B37*400</f>
        <v>21600</v>
      </c>
      <c r="D37" s="15">
        <v>2.5</v>
      </c>
      <c r="E37" s="16">
        <f>C37*D37</f>
        <v>54000</v>
      </c>
      <c r="F37" s="16"/>
      <c r="G37" s="19"/>
      <c r="H37" s="7"/>
      <c r="I37" s="24" t="s">
        <v>28</v>
      </c>
      <c r="J37" s="15">
        <v>42</v>
      </c>
      <c r="K37" s="16">
        <f>J37*400</f>
        <v>16800</v>
      </c>
      <c r="L37" s="15">
        <v>2.5</v>
      </c>
      <c r="M37" s="16">
        <f>K37*L37</f>
        <v>42000</v>
      </c>
      <c r="N37" s="16"/>
      <c r="O37" s="19"/>
    </row>
    <row r="38" spans="1:22" x14ac:dyDescent="0.2">
      <c r="A38" s="20" t="s">
        <v>44</v>
      </c>
      <c r="B38" s="21">
        <v>48</v>
      </c>
      <c r="C38" s="22">
        <f>B38*400</f>
        <v>19200</v>
      </c>
      <c r="D38" s="21">
        <v>2.5</v>
      </c>
      <c r="E38" s="22">
        <f>C38*D38</f>
        <v>48000</v>
      </c>
      <c r="F38" s="22"/>
      <c r="G38" s="23"/>
      <c r="H38" s="8"/>
      <c r="I38" s="27" t="s">
        <v>29</v>
      </c>
      <c r="J38" s="21">
        <v>39</v>
      </c>
      <c r="K38" s="22">
        <f>J38*400</f>
        <v>15600</v>
      </c>
      <c r="L38" s="21">
        <v>2.5</v>
      </c>
      <c r="M38" s="22">
        <f>K38*L38</f>
        <v>39000</v>
      </c>
      <c r="N38" s="22"/>
      <c r="O38" s="23"/>
    </row>
    <row r="39" spans="1:22" x14ac:dyDescent="0.2">
      <c r="A39" s="14"/>
      <c r="B39" s="15"/>
      <c r="C39" s="16"/>
      <c r="D39" s="15"/>
      <c r="E39" s="16"/>
      <c r="F39" s="16"/>
      <c r="G39" s="16"/>
      <c r="H39" s="7"/>
      <c r="I39" s="28"/>
      <c r="J39" s="15"/>
      <c r="K39" s="16"/>
      <c r="L39" s="15"/>
      <c r="M39" s="16"/>
      <c r="N39" s="16"/>
      <c r="O39" s="19"/>
    </row>
    <row r="40" spans="1:22" x14ac:dyDescent="0.2">
      <c r="A40" s="14"/>
      <c r="B40" s="15"/>
      <c r="C40" s="16"/>
      <c r="D40" s="15"/>
      <c r="E40" s="16"/>
      <c r="F40" s="16"/>
      <c r="G40" s="16"/>
      <c r="H40" s="7"/>
      <c r="I40" s="28"/>
      <c r="J40" s="15"/>
      <c r="K40" s="16"/>
      <c r="L40" s="15"/>
      <c r="M40" s="16"/>
      <c r="N40" s="16"/>
      <c r="O40" s="19"/>
    </row>
    <row r="41" spans="1:22" x14ac:dyDescent="0.2">
      <c r="A41" s="14"/>
      <c r="B41" s="15"/>
      <c r="C41" s="16"/>
      <c r="D41" s="15"/>
      <c r="E41" s="16"/>
      <c r="F41" s="16"/>
      <c r="G41" s="16"/>
      <c r="H41" s="15"/>
      <c r="I41" s="26"/>
      <c r="J41" s="15"/>
      <c r="K41" s="16"/>
      <c r="L41" s="15"/>
      <c r="M41" s="16"/>
      <c r="N41" s="16"/>
      <c r="O41" s="19"/>
    </row>
    <row r="42" spans="1:22" ht="19" x14ac:dyDescent="0.25">
      <c r="A42" s="66" t="s">
        <v>59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8"/>
      <c r="P42" s="26"/>
      <c r="Q42" s="15"/>
      <c r="R42" s="16"/>
      <c r="S42" s="15"/>
      <c r="T42" s="16"/>
      <c r="U42" s="16"/>
      <c r="V42" s="16"/>
    </row>
    <row r="43" spans="1:22" ht="16" x14ac:dyDescent="0.2">
      <c r="A43" s="60" t="s">
        <v>11</v>
      </c>
      <c r="B43" s="61"/>
      <c r="C43" s="61"/>
      <c r="D43" s="61"/>
      <c r="E43" s="61"/>
      <c r="F43" s="61"/>
      <c r="G43" s="62"/>
      <c r="H43" s="15"/>
      <c r="I43" s="69" t="s">
        <v>25</v>
      </c>
      <c r="J43" s="70"/>
      <c r="K43" s="70"/>
      <c r="L43" s="70"/>
      <c r="M43" s="70"/>
      <c r="N43" s="70"/>
      <c r="O43" s="71"/>
    </row>
    <row r="44" spans="1:22" ht="32" x14ac:dyDescent="0.2">
      <c r="A44" s="4" t="s">
        <v>0</v>
      </c>
      <c r="B44" s="5" t="s">
        <v>5</v>
      </c>
      <c r="C44" s="5" t="s">
        <v>6</v>
      </c>
      <c r="D44" s="5" t="s">
        <v>7</v>
      </c>
      <c r="E44" s="5" t="s">
        <v>8</v>
      </c>
      <c r="F44" s="9" t="s">
        <v>9</v>
      </c>
      <c r="G44" s="6" t="s">
        <v>10</v>
      </c>
      <c r="H44" s="15"/>
      <c r="I44" s="10" t="s">
        <v>0</v>
      </c>
      <c r="J44" s="11" t="s">
        <v>5</v>
      </c>
      <c r="K44" s="11" t="s">
        <v>6</v>
      </c>
      <c r="L44" s="11" t="s">
        <v>7</v>
      </c>
      <c r="M44" s="11" t="s">
        <v>8</v>
      </c>
      <c r="N44" s="12" t="s">
        <v>9</v>
      </c>
      <c r="O44" s="13" t="s">
        <v>10</v>
      </c>
    </row>
    <row r="45" spans="1:22" x14ac:dyDescent="0.2">
      <c r="A45" s="14" t="s">
        <v>12</v>
      </c>
      <c r="B45" s="15">
        <v>3786</v>
      </c>
      <c r="C45" s="16">
        <f>B45*400</f>
        <v>1514400</v>
      </c>
      <c r="D45" s="15">
        <v>2.5</v>
      </c>
      <c r="E45" s="16">
        <f>C45*D45</f>
        <v>3786000</v>
      </c>
      <c r="F45" s="17">
        <f>AVERAGE(E45:E47)</f>
        <v>3719000</v>
      </c>
      <c r="G45" s="18">
        <f>_xlfn.STDEV.S(E45:E47)</f>
        <v>82395.388220458073</v>
      </c>
      <c r="H45" s="15"/>
      <c r="I45" s="14" t="s">
        <v>16</v>
      </c>
      <c r="J45" s="15">
        <v>291</v>
      </c>
      <c r="K45" s="16">
        <f>J45*400</f>
        <v>116400</v>
      </c>
      <c r="L45" s="15">
        <v>2.5</v>
      </c>
      <c r="M45" s="16">
        <f>K45*L45</f>
        <v>291000</v>
      </c>
      <c r="N45" s="17">
        <f>AVERAGE(M45:M47)</f>
        <v>299333.33333333331</v>
      </c>
      <c r="O45" s="18">
        <f>_xlfn.STDEV.S(K45:K47)</f>
        <v>18822.681353445158</v>
      </c>
    </row>
    <row r="46" spans="1:22" x14ac:dyDescent="0.2">
      <c r="A46" s="14" t="s">
        <v>13</v>
      </c>
      <c r="B46" s="15">
        <v>3627</v>
      </c>
      <c r="C46" s="16">
        <f>B46*400</f>
        <v>1450800</v>
      </c>
      <c r="D46" s="15">
        <v>2.5</v>
      </c>
      <c r="E46" s="16">
        <f>C46*D46</f>
        <v>3627000</v>
      </c>
      <c r="F46" s="16"/>
      <c r="G46" s="19"/>
      <c r="H46" s="15"/>
      <c r="I46" s="14" t="s">
        <v>17</v>
      </c>
      <c r="J46" s="15">
        <v>257</v>
      </c>
      <c r="K46" s="16">
        <f>J46*400</f>
        <v>102800</v>
      </c>
      <c r="L46" s="15">
        <v>2.5</v>
      </c>
      <c r="M46" s="16">
        <f>K46*L46</f>
        <v>257000</v>
      </c>
      <c r="N46" s="16"/>
      <c r="O46" s="19"/>
    </row>
    <row r="47" spans="1:22" x14ac:dyDescent="0.2">
      <c r="A47" s="20" t="s">
        <v>14</v>
      </c>
      <c r="B47" s="21">
        <v>3744</v>
      </c>
      <c r="C47" s="22">
        <f>B47*400</f>
        <v>1497600</v>
      </c>
      <c r="D47" s="21">
        <v>2.5</v>
      </c>
      <c r="E47" s="22">
        <f>C47*D47</f>
        <v>3744000</v>
      </c>
      <c r="F47" s="22"/>
      <c r="G47" s="23"/>
      <c r="H47" s="15"/>
      <c r="I47" s="20" t="s">
        <v>18</v>
      </c>
      <c r="J47" s="21">
        <v>350</v>
      </c>
      <c r="K47" s="22">
        <f>J47*400</f>
        <v>140000</v>
      </c>
      <c r="L47" s="21">
        <v>2.5</v>
      </c>
      <c r="M47" s="22">
        <f>K47*L47</f>
        <v>350000</v>
      </c>
      <c r="N47" s="22"/>
      <c r="O47" s="23"/>
    </row>
    <row r="48" spans="1:22" x14ac:dyDescent="0.2">
      <c r="A48" s="14"/>
      <c r="B48" s="15"/>
      <c r="C48" s="16"/>
      <c r="D48" s="15"/>
      <c r="E48" s="16"/>
      <c r="F48" s="16"/>
      <c r="G48" s="16"/>
      <c r="H48" s="15"/>
      <c r="I48" s="26"/>
      <c r="J48" s="15"/>
      <c r="K48" s="16"/>
      <c r="L48" s="15"/>
      <c r="M48" s="16"/>
      <c r="N48" s="16"/>
      <c r="O48" s="19"/>
    </row>
    <row r="49" spans="1:15" ht="15.75" customHeight="1" x14ac:dyDescent="0.2">
      <c r="A49" s="60" t="s">
        <v>47</v>
      </c>
      <c r="B49" s="61"/>
      <c r="C49" s="61"/>
      <c r="D49" s="61"/>
      <c r="E49" s="61"/>
      <c r="F49" s="61"/>
      <c r="G49" s="62"/>
      <c r="H49" s="7"/>
      <c r="I49" s="63" t="s">
        <v>15</v>
      </c>
      <c r="J49" s="64"/>
      <c r="K49" s="64"/>
      <c r="L49" s="64"/>
      <c r="M49" s="64"/>
      <c r="N49" s="64"/>
      <c r="O49" s="65"/>
    </row>
    <row r="50" spans="1:15" ht="32" x14ac:dyDescent="0.2">
      <c r="A50" s="10" t="s">
        <v>0</v>
      </c>
      <c r="B50" s="11" t="s">
        <v>5</v>
      </c>
      <c r="C50" s="11" t="s">
        <v>6</v>
      </c>
      <c r="D50" s="11" t="s">
        <v>7</v>
      </c>
      <c r="E50" s="11" t="s">
        <v>8</v>
      </c>
      <c r="F50" s="12" t="s">
        <v>9</v>
      </c>
      <c r="G50" s="13" t="s">
        <v>10</v>
      </c>
      <c r="H50" s="7"/>
      <c r="I50" s="10" t="s">
        <v>0</v>
      </c>
      <c r="J50" s="11" t="s">
        <v>5</v>
      </c>
      <c r="K50" s="11" t="s">
        <v>6</v>
      </c>
      <c r="L50" s="11" t="s">
        <v>7</v>
      </c>
      <c r="M50" s="11" t="s">
        <v>8</v>
      </c>
      <c r="N50" s="12" t="s">
        <v>9</v>
      </c>
      <c r="O50" s="13" t="s">
        <v>10</v>
      </c>
    </row>
    <row r="51" spans="1:15" x14ac:dyDescent="0.2">
      <c r="A51" s="14" t="s">
        <v>46</v>
      </c>
      <c r="B51" s="15">
        <v>69</v>
      </c>
      <c r="C51" s="16">
        <f>B51*400</f>
        <v>27600</v>
      </c>
      <c r="D51" s="15">
        <v>2.5</v>
      </c>
      <c r="E51" s="16">
        <f>C51*D51</f>
        <v>69000</v>
      </c>
      <c r="F51" s="17">
        <f>AVERAGE(E51:E53)</f>
        <v>75333.333333333328</v>
      </c>
      <c r="G51" s="18">
        <f>_xlfn.STDEV.S(E51:E53)</f>
        <v>7094.598884597588</v>
      </c>
      <c r="H51" s="7"/>
      <c r="I51" s="24" t="s">
        <v>27</v>
      </c>
      <c r="J51" s="15">
        <v>65</v>
      </c>
      <c r="K51" s="16">
        <f>J51*400</f>
        <v>26000</v>
      </c>
      <c r="L51" s="15">
        <v>2.5</v>
      </c>
      <c r="M51" s="16">
        <f>K51*L51</f>
        <v>65000</v>
      </c>
      <c r="N51" s="25">
        <f>AVERAGE(M51:M53)</f>
        <v>60000</v>
      </c>
      <c r="O51" s="18">
        <f>_xlfn.STDEV.S(M51:M53)</f>
        <v>4582.5756949558399</v>
      </c>
    </row>
    <row r="52" spans="1:15" x14ac:dyDescent="0.2">
      <c r="A52" s="14" t="s">
        <v>45</v>
      </c>
      <c r="B52" s="15">
        <v>74</v>
      </c>
      <c r="C52" s="16">
        <f>B52*400</f>
        <v>29600</v>
      </c>
      <c r="D52" s="15">
        <v>2.5</v>
      </c>
      <c r="E52" s="16">
        <f>C52*D52</f>
        <v>74000</v>
      </c>
      <c r="F52" s="16"/>
      <c r="G52" s="19"/>
      <c r="H52" s="7"/>
      <c r="I52" s="24" t="s">
        <v>28</v>
      </c>
      <c r="J52" s="15">
        <v>56</v>
      </c>
      <c r="K52" s="16">
        <f>J52*400</f>
        <v>22400</v>
      </c>
      <c r="L52" s="15">
        <v>2.5</v>
      </c>
      <c r="M52" s="16">
        <f>K52*L52</f>
        <v>56000</v>
      </c>
      <c r="N52" s="16"/>
      <c r="O52" s="19"/>
    </row>
    <row r="53" spans="1:15" x14ac:dyDescent="0.2">
      <c r="A53" s="20" t="s">
        <v>44</v>
      </c>
      <c r="B53" s="21">
        <v>83</v>
      </c>
      <c r="C53" s="22">
        <f>B53*400</f>
        <v>33200</v>
      </c>
      <c r="D53" s="21">
        <v>2.5</v>
      </c>
      <c r="E53" s="22">
        <f>C53*D53</f>
        <v>83000</v>
      </c>
      <c r="F53" s="22"/>
      <c r="G53" s="23"/>
      <c r="H53" s="8"/>
      <c r="I53" s="27" t="s">
        <v>29</v>
      </c>
      <c r="J53" s="21">
        <v>59</v>
      </c>
      <c r="K53" s="22">
        <f>J53*400</f>
        <v>23600</v>
      </c>
      <c r="L53" s="21">
        <v>2.5</v>
      </c>
      <c r="M53" s="22">
        <f>K53*L53</f>
        <v>59000</v>
      </c>
      <c r="N53" s="22"/>
      <c r="O53" s="23"/>
    </row>
    <row r="54" spans="1:15" x14ac:dyDescent="0.2">
      <c r="A54" s="14"/>
      <c r="B54" s="15"/>
      <c r="C54" s="16"/>
      <c r="D54" s="15"/>
      <c r="E54" s="16"/>
      <c r="F54" s="16"/>
      <c r="G54" s="16"/>
      <c r="H54" s="15"/>
      <c r="I54" s="26"/>
      <c r="J54" s="15"/>
      <c r="K54" s="16"/>
      <c r="L54" s="15"/>
      <c r="M54" s="16"/>
      <c r="N54" s="16"/>
      <c r="O54" s="19"/>
    </row>
    <row r="56" spans="1:15" x14ac:dyDescent="0.2">
      <c r="A56" s="29"/>
      <c r="B56" s="31"/>
      <c r="C56" s="31"/>
      <c r="D56" s="31"/>
      <c r="G56" s="17"/>
    </row>
    <row r="57" spans="1:15" x14ac:dyDescent="0.2">
      <c r="A57" s="29"/>
      <c r="B57" s="31"/>
      <c r="C57" s="31"/>
      <c r="D57" s="31"/>
    </row>
    <row r="58" spans="1:15" x14ac:dyDescent="0.2">
      <c r="A58" s="30"/>
      <c r="B58" s="32"/>
      <c r="C58" s="32"/>
      <c r="D58" s="32"/>
    </row>
    <row r="59" spans="1:15" x14ac:dyDescent="0.2">
      <c r="A59" s="29"/>
      <c r="B59" s="31"/>
      <c r="C59" s="31"/>
      <c r="D59" s="31"/>
    </row>
    <row r="61" spans="1:15" x14ac:dyDescent="0.2">
      <c r="A61" s="33"/>
    </row>
    <row r="63" spans="1:15" x14ac:dyDescent="0.2">
      <c r="A63" s="29"/>
      <c r="B63" s="31"/>
      <c r="C63" s="31"/>
      <c r="D63" s="31"/>
    </row>
    <row r="64" spans="1:15" x14ac:dyDescent="0.2">
      <c r="A64" s="29"/>
      <c r="B64" s="31"/>
      <c r="C64" s="31"/>
      <c r="D64" s="31"/>
    </row>
    <row r="65" spans="1:4" x14ac:dyDescent="0.2">
      <c r="A65" s="30"/>
      <c r="B65" s="32"/>
      <c r="C65" s="32"/>
      <c r="D65" s="32"/>
    </row>
    <row r="66" spans="1:4" x14ac:dyDescent="0.2">
      <c r="A66" s="29"/>
      <c r="B66" s="31"/>
      <c r="C66" s="31"/>
      <c r="D66" s="31"/>
    </row>
  </sheetData>
  <mergeCells count="17">
    <mergeCell ref="A19:G19"/>
    <mergeCell ref="I19:O19"/>
    <mergeCell ref="A43:G43"/>
    <mergeCell ref="I43:O43"/>
    <mergeCell ref="A49:G49"/>
    <mergeCell ref="I49:O49"/>
    <mergeCell ref="A27:O27"/>
    <mergeCell ref="A28:G28"/>
    <mergeCell ref="I28:O28"/>
    <mergeCell ref="A34:G34"/>
    <mergeCell ref="I34:O34"/>
    <mergeCell ref="A42:O42"/>
    <mergeCell ref="A5:G5"/>
    <mergeCell ref="A6:G6"/>
    <mergeCell ref="A12:O12"/>
    <mergeCell ref="A13:G13"/>
    <mergeCell ref="I13:O1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8B1B-A601-D64A-9492-FE8F4745C12A}">
  <dimension ref="A2:S64"/>
  <sheetViews>
    <sheetView workbookViewId="0">
      <selection activeCell="B5" sqref="B5"/>
    </sheetView>
  </sheetViews>
  <sheetFormatPr baseColWidth="10" defaultRowHeight="21" x14ac:dyDescent="0.25"/>
  <cols>
    <col min="1" max="1" width="28" style="36" customWidth="1"/>
    <col min="2" max="2" width="10.33203125" style="36" bestFit="1" customWidth="1"/>
    <col min="3" max="3" width="13" style="36" bestFit="1" customWidth="1"/>
    <col min="4" max="4" width="28.33203125" style="36" customWidth="1"/>
    <col min="5" max="5" width="13" style="36" bestFit="1" customWidth="1"/>
    <col min="6" max="6" width="13.1640625" style="36" bestFit="1" customWidth="1"/>
    <col min="7" max="7" width="27.33203125" style="36" customWidth="1"/>
    <col min="8" max="8" width="14.6640625" style="36" customWidth="1"/>
    <col min="9" max="9" width="6.83203125" style="36" customWidth="1"/>
    <col min="10" max="10" width="27.6640625" style="36" customWidth="1"/>
    <col min="11" max="11" width="15" style="36" customWidth="1"/>
    <col min="12" max="12" width="10" style="36" customWidth="1"/>
    <col min="13" max="13" width="31.33203125" style="36" customWidth="1"/>
    <col min="14" max="14" width="15.33203125" style="36" customWidth="1"/>
    <col min="15" max="15" width="8.1640625" style="36" customWidth="1"/>
    <col min="16" max="16" width="21" style="36" customWidth="1"/>
    <col min="17" max="17" width="14.5" style="36" customWidth="1"/>
    <col min="18" max="18" width="24.83203125" style="36" customWidth="1"/>
    <col min="19" max="19" width="16" style="36" customWidth="1"/>
    <col min="20" max="20" width="10.83203125" style="36"/>
    <col min="21" max="21" width="15.83203125" style="36" customWidth="1"/>
    <col min="22" max="22" width="18.5" style="36" customWidth="1"/>
    <col min="23" max="16384" width="10.83203125" style="36"/>
  </cols>
  <sheetData>
    <row r="2" spans="1:19" x14ac:dyDescent="0.25">
      <c r="A2" s="36" t="s">
        <v>61</v>
      </c>
    </row>
    <row r="3" spans="1:19" x14ac:dyDescent="0.25">
      <c r="A3" s="37" t="s">
        <v>1</v>
      </c>
    </row>
    <row r="4" spans="1:19" ht="44" x14ac:dyDescent="0.25">
      <c r="A4" s="38" t="s">
        <v>0</v>
      </c>
      <c r="B4" s="39" t="s">
        <v>5</v>
      </c>
    </row>
    <row r="5" spans="1:19" x14ac:dyDescent="0.25">
      <c r="A5" s="40" t="s">
        <v>2</v>
      </c>
      <c r="B5" s="41">
        <v>30</v>
      </c>
    </row>
    <row r="6" spans="1:19" x14ac:dyDescent="0.25">
      <c r="A6" s="40" t="s">
        <v>3</v>
      </c>
      <c r="B6" s="41">
        <v>30</v>
      </c>
    </row>
    <row r="7" spans="1:19" x14ac:dyDescent="0.25">
      <c r="A7" s="42" t="s">
        <v>4</v>
      </c>
      <c r="B7" s="41">
        <v>38</v>
      </c>
    </row>
    <row r="9" spans="1:19" x14ac:dyDescent="0.25">
      <c r="A9" s="43" t="s">
        <v>62</v>
      </c>
      <c r="G9" s="44" t="s">
        <v>62</v>
      </c>
      <c r="H9" s="45"/>
      <c r="I9" s="45"/>
      <c r="J9" s="45"/>
      <c r="K9" s="45"/>
      <c r="O9" s="45"/>
      <c r="P9" s="45"/>
      <c r="Q9" s="45"/>
    </row>
    <row r="10" spans="1:19" x14ac:dyDescent="0.25">
      <c r="A10" s="37" t="s">
        <v>11</v>
      </c>
      <c r="D10" s="46" t="s">
        <v>63</v>
      </c>
      <c r="F10" s="47"/>
      <c r="G10" s="37" t="s">
        <v>11</v>
      </c>
      <c r="H10" s="45"/>
      <c r="I10" s="45"/>
      <c r="J10" s="46" t="s">
        <v>63</v>
      </c>
      <c r="K10" s="45"/>
      <c r="N10" s="48" t="s">
        <v>64</v>
      </c>
      <c r="O10" s="48" t="s">
        <v>36</v>
      </c>
      <c r="P10" s="48" t="s">
        <v>37</v>
      </c>
      <c r="Q10" s="48" t="s">
        <v>38</v>
      </c>
      <c r="S10" s="48"/>
    </row>
    <row r="11" spans="1:19" ht="44" x14ac:dyDescent="0.25">
      <c r="A11" s="39" t="s">
        <v>0</v>
      </c>
      <c r="B11" s="39" t="s">
        <v>5</v>
      </c>
      <c r="C11" s="41"/>
      <c r="D11" s="39" t="s">
        <v>0</v>
      </c>
      <c r="E11" s="39" t="s">
        <v>5</v>
      </c>
      <c r="G11" s="49" t="s">
        <v>0</v>
      </c>
      <c r="H11" s="49" t="s">
        <v>5</v>
      </c>
      <c r="I11" s="45"/>
      <c r="J11" s="49" t="s">
        <v>0</v>
      </c>
      <c r="K11" s="49" t="s">
        <v>5</v>
      </c>
      <c r="M11" s="48" t="s">
        <v>11</v>
      </c>
      <c r="N11" s="36">
        <v>1</v>
      </c>
      <c r="O11" s="36">
        <f>AVERAGE(H12:H14)</f>
        <v>4.9450292397660816</v>
      </c>
      <c r="P11" s="36">
        <f>AVERAGE(H26:H28)</f>
        <v>34.058479532163744</v>
      </c>
      <c r="Q11" s="36">
        <f>AVERAGE(H40:H42)</f>
        <v>115.20877192982458</v>
      </c>
    </row>
    <row r="12" spans="1:19" x14ac:dyDescent="0.25">
      <c r="A12" s="46" t="s">
        <v>12</v>
      </c>
      <c r="B12" s="41">
        <v>169</v>
      </c>
      <c r="C12" s="41"/>
      <c r="D12" s="46" t="s">
        <v>65</v>
      </c>
      <c r="E12" s="36">
        <v>65</v>
      </c>
      <c r="G12" s="37" t="s">
        <v>12</v>
      </c>
      <c r="H12" s="45">
        <f>B12/B5</f>
        <v>5.6333333333333337</v>
      </c>
      <c r="I12" s="45"/>
      <c r="J12" s="37" t="s">
        <v>66</v>
      </c>
      <c r="K12" s="45">
        <f>E12/B5</f>
        <v>2.1666666666666665</v>
      </c>
      <c r="M12" s="50" t="s">
        <v>63</v>
      </c>
      <c r="N12" s="36">
        <v>1</v>
      </c>
      <c r="O12" s="36">
        <f>AVERAGE(K12:K14)</f>
        <v>2.1754385964912282</v>
      </c>
      <c r="P12" s="36">
        <f>AVERAGE(K26:K28)</f>
        <v>5.3461988304093566</v>
      </c>
      <c r="Q12" s="36">
        <f>AVERAGE(K40:K42)</f>
        <v>9.15906432748538</v>
      </c>
    </row>
    <row r="13" spans="1:19" x14ac:dyDescent="0.25">
      <c r="A13" s="46" t="s">
        <v>13</v>
      </c>
      <c r="B13" s="41">
        <v>145</v>
      </c>
      <c r="C13" s="41"/>
      <c r="D13" s="46" t="s">
        <v>17</v>
      </c>
      <c r="E13" s="36">
        <v>70</v>
      </c>
      <c r="G13" s="37" t="s">
        <v>13</v>
      </c>
      <c r="H13" s="45">
        <f>B13/B6</f>
        <v>4.833333333333333</v>
      </c>
      <c r="I13" s="45"/>
      <c r="J13" s="37" t="s">
        <v>67</v>
      </c>
      <c r="K13" s="45">
        <f>E13/B6</f>
        <v>2.3333333333333335</v>
      </c>
      <c r="M13" s="48" t="s">
        <v>47</v>
      </c>
      <c r="N13" s="36">
        <v>1</v>
      </c>
      <c r="O13" s="36">
        <f>AVERAGE(H18:H20)</f>
        <v>1.6789473684210527</v>
      </c>
      <c r="P13" s="36">
        <f>AVERAGE(H32:H34)</f>
        <v>1.6432748538011694</v>
      </c>
      <c r="Q13" s="36">
        <f>AVERAGE(H46:H48)</f>
        <v>2.3169590643274853</v>
      </c>
    </row>
    <row r="14" spans="1:19" x14ac:dyDescent="0.25">
      <c r="A14" s="46" t="s">
        <v>14</v>
      </c>
      <c r="B14" s="41">
        <v>166</v>
      </c>
      <c r="C14" s="41"/>
      <c r="D14" s="46" t="s">
        <v>18</v>
      </c>
      <c r="E14" s="36">
        <v>77</v>
      </c>
      <c r="G14" s="37" t="s">
        <v>14</v>
      </c>
      <c r="H14" s="45">
        <f>B14/B7</f>
        <v>4.3684210526315788</v>
      </c>
      <c r="I14" s="45"/>
      <c r="J14" s="37" t="s">
        <v>68</v>
      </c>
      <c r="K14" s="45">
        <f>E14/B7</f>
        <v>2.0263157894736841</v>
      </c>
      <c r="M14" s="48" t="s">
        <v>69</v>
      </c>
      <c r="N14" s="36">
        <v>1</v>
      </c>
      <c r="O14" s="36">
        <f>AVERAGE(K18:K20)</f>
        <v>1.3116959064327485</v>
      </c>
      <c r="P14" s="36">
        <f>AVERAGE(K32:K34)</f>
        <v>1.1754385964912279</v>
      </c>
      <c r="Q14" s="36">
        <f>AVERAGE(K46:K48)</f>
        <v>1.8619883040935672</v>
      </c>
    </row>
    <row r="15" spans="1:19" x14ac:dyDescent="0.25">
      <c r="A15" s="42"/>
      <c r="B15" s="41"/>
      <c r="C15" s="51"/>
      <c r="D15" s="41"/>
      <c r="E15" s="51"/>
      <c r="F15" s="51"/>
      <c r="G15" s="37"/>
      <c r="H15" s="45"/>
      <c r="I15" s="52"/>
      <c r="J15" s="45"/>
      <c r="K15" s="52"/>
      <c r="O15" s="45"/>
      <c r="P15" s="45"/>
      <c r="Q15" s="45"/>
    </row>
    <row r="16" spans="1:19" x14ac:dyDescent="0.25">
      <c r="A16" s="37" t="s">
        <v>47</v>
      </c>
      <c r="D16" s="53" t="s">
        <v>69</v>
      </c>
      <c r="G16" s="37" t="s">
        <v>47</v>
      </c>
      <c r="H16" s="45"/>
      <c r="I16" s="45"/>
      <c r="J16" s="53" t="s">
        <v>69</v>
      </c>
      <c r="K16" s="45"/>
      <c r="O16" s="45"/>
      <c r="P16" s="45"/>
      <c r="Q16" s="45"/>
    </row>
    <row r="17" spans="1:17" ht="44" x14ac:dyDescent="0.25">
      <c r="A17" s="39" t="s">
        <v>0</v>
      </c>
      <c r="B17" s="39" t="s">
        <v>5</v>
      </c>
      <c r="D17" s="39" t="s">
        <v>0</v>
      </c>
      <c r="E17" s="39" t="s">
        <v>5</v>
      </c>
      <c r="G17" s="49" t="s">
        <v>0</v>
      </c>
      <c r="H17" s="49" t="s">
        <v>5</v>
      </c>
      <c r="I17" s="45"/>
      <c r="J17" s="49" t="s">
        <v>0</v>
      </c>
      <c r="K17" s="49" t="s">
        <v>5</v>
      </c>
      <c r="O17" s="45"/>
      <c r="P17" s="45"/>
      <c r="Q17" s="45"/>
    </row>
    <row r="18" spans="1:17" x14ac:dyDescent="0.25">
      <c r="A18" s="37" t="s">
        <v>75</v>
      </c>
      <c r="B18" s="36">
        <v>52</v>
      </c>
      <c r="D18" s="54" t="s">
        <v>70</v>
      </c>
      <c r="E18" s="50">
        <v>33</v>
      </c>
      <c r="G18" s="37" t="s">
        <v>79</v>
      </c>
      <c r="H18" s="45">
        <f>B18/B5</f>
        <v>1.7333333333333334</v>
      </c>
      <c r="I18" s="45"/>
      <c r="J18" s="53" t="s">
        <v>70</v>
      </c>
      <c r="K18" s="45">
        <f>E18/B5</f>
        <v>1.1000000000000001</v>
      </c>
      <c r="M18" s="37"/>
      <c r="N18" s="45"/>
      <c r="O18" s="45"/>
      <c r="P18" s="45"/>
      <c r="Q18" s="45"/>
    </row>
    <row r="19" spans="1:17" x14ac:dyDescent="0.25">
      <c r="A19" s="37" t="s">
        <v>76</v>
      </c>
      <c r="B19" s="36">
        <v>47</v>
      </c>
      <c r="D19" s="54" t="s">
        <v>71</v>
      </c>
      <c r="E19" s="50">
        <v>44</v>
      </c>
      <c r="G19" s="37" t="s">
        <v>80</v>
      </c>
      <c r="H19" s="45">
        <f>B19/B6</f>
        <v>1.5666666666666667</v>
      </c>
      <c r="I19" s="45"/>
      <c r="J19" s="53" t="s">
        <v>71</v>
      </c>
      <c r="K19" s="45">
        <f>E19/B6</f>
        <v>1.4666666666666666</v>
      </c>
      <c r="O19" s="45"/>
    </row>
    <row r="20" spans="1:17" x14ac:dyDescent="0.25">
      <c r="A20" s="37" t="s">
        <v>77</v>
      </c>
      <c r="B20" s="36">
        <v>66</v>
      </c>
      <c r="D20" s="54" t="s">
        <v>72</v>
      </c>
      <c r="E20" s="50">
        <v>52</v>
      </c>
      <c r="G20" s="37" t="s">
        <v>81</v>
      </c>
      <c r="H20" s="45">
        <f>B20/B7</f>
        <v>1.736842105263158</v>
      </c>
      <c r="I20" s="45"/>
      <c r="J20" s="53" t="s">
        <v>72</v>
      </c>
      <c r="K20" s="45">
        <f>E20/B7</f>
        <v>1.368421052631579</v>
      </c>
      <c r="O20" s="45"/>
    </row>
    <row r="21" spans="1:17" x14ac:dyDescent="0.25">
      <c r="A21" s="37"/>
      <c r="D21" s="46"/>
      <c r="E21" s="50"/>
      <c r="H21" s="41"/>
      <c r="I21" s="46"/>
      <c r="J21" s="37"/>
      <c r="K21" s="45"/>
      <c r="L21" s="45"/>
    </row>
    <row r="22" spans="1:17" x14ac:dyDescent="0.25">
      <c r="I22" s="46"/>
    </row>
    <row r="23" spans="1:17" x14ac:dyDescent="0.25">
      <c r="A23" s="43" t="s">
        <v>73</v>
      </c>
      <c r="G23" s="43" t="s">
        <v>73</v>
      </c>
      <c r="Q23" s="41"/>
    </row>
    <row r="24" spans="1:17" x14ac:dyDescent="0.25">
      <c r="A24" s="37" t="s">
        <v>11</v>
      </c>
      <c r="D24" s="46" t="s">
        <v>63</v>
      </c>
      <c r="G24" s="37" t="s">
        <v>11</v>
      </c>
      <c r="J24" s="46" t="s">
        <v>63</v>
      </c>
      <c r="Q24" s="41"/>
    </row>
    <row r="25" spans="1:17" ht="44" x14ac:dyDescent="0.25">
      <c r="A25" s="39" t="s">
        <v>0</v>
      </c>
      <c r="B25" s="39" t="s">
        <v>5</v>
      </c>
      <c r="D25" s="39" t="s">
        <v>0</v>
      </c>
      <c r="E25" s="39" t="s">
        <v>5</v>
      </c>
      <c r="G25" s="39" t="s">
        <v>0</v>
      </c>
      <c r="H25" s="39" t="s">
        <v>5</v>
      </c>
      <c r="I25" s="41"/>
      <c r="J25" s="39" t="s">
        <v>0</v>
      </c>
      <c r="K25" s="39" t="s">
        <v>5</v>
      </c>
      <c r="Q25" s="41"/>
    </row>
    <row r="26" spans="1:17" x14ac:dyDescent="0.25">
      <c r="A26" s="46" t="s">
        <v>12</v>
      </c>
      <c r="B26" s="41">
        <v>1114</v>
      </c>
      <c r="D26" s="46" t="s">
        <v>65</v>
      </c>
      <c r="E26" s="36">
        <v>166</v>
      </c>
      <c r="G26" s="46" t="s">
        <v>12</v>
      </c>
      <c r="H26" s="41">
        <f>B26/B5</f>
        <v>37.133333333333333</v>
      </c>
      <c r="I26" s="41"/>
      <c r="J26" s="46" t="s">
        <v>65</v>
      </c>
      <c r="K26" s="36">
        <f>E26/B5</f>
        <v>5.5333333333333332</v>
      </c>
      <c r="O26" s="47"/>
      <c r="Q26" s="41"/>
    </row>
    <row r="27" spans="1:17" x14ac:dyDescent="0.25">
      <c r="A27" s="46" t="s">
        <v>13</v>
      </c>
      <c r="B27" s="41">
        <v>1086</v>
      </c>
      <c r="D27" s="46" t="s">
        <v>65</v>
      </c>
      <c r="E27" s="36">
        <v>177</v>
      </c>
      <c r="G27" s="46" t="s">
        <v>13</v>
      </c>
      <c r="H27" s="41">
        <f>B27/B6</f>
        <v>36.200000000000003</v>
      </c>
      <c r="I27" s="41"/>
      <c r="J27" s="46" t="s">
        <v>17</v>
      </c>
      <c r="K27" s="36">
        <f>E27/B6</f>
        <v>5.9</v>
      </c>
    </row>
    <row r="28" spans="1:17" x14ac:dyDescent="0.25">
      <c r="A28" s="46" t="s">
        <v>14</v>
      </c>
      <c r="B28" s="41">
        <v>1096</v>
      </c>
      <c r="D28" s="46" t="s">
        <v>65</v>
      </c>
      <c r="E28" s="36">
        <v>175</v>
      </c>
      <c r="G28" s="46" t="s">
        <v>14</v>
      </c>
      <c r="H28" s="41">
        <f>B28/B7</f>
        <v>28.842105263157894</v>
      </c>
      <c r="I28" s="41"/>
      <c r="J28" s="46" t="s">
        <v>18</v>
      </c>
      <c r="K28" s="36">
        <f>E28/B7</f>
        <v>4.6052631578947372</v>
      </c>
    </row>
    <row r="29" spans="1:17" x14ac:dyDescent="0.25">
      <c r="A29" s="42"/>
      <c r="B29" s="41"/>
      <c r="D29" s="41"/>
      <c r="E29" s="51"/>
      <c r="F29" s="47"/>
      <c r="G29" s="42"/>
      <c r="H29" s="41"/>
      <c r="I29" s="51"/>
    </row>
    <row r="30" spans="1:17" x14ac:dyDescent="0.25">
      <c r="A30" s="37" t="s">
        <v>47</v>
      </c>
      <c r="C30" s="41"/>
      <c r="D30" s="53" t="s">
        <v>69</v>
      </c>
      <c r="G30" s="37" t="s">
        <v>47</v>
      </c>
      <c r="J30" s="53" t="s">
        <v>69</v>
      </c>
    </row>
    <row r="31" spans="1:17" ht="44" x14ac:dyDescent="0.25">
      <c r="A31" s="39" t="s">
        <v>0</v>
      </c>
      <c r="B31" s="39" t="s">
        <v>5</v>
      </c>
      <c r="C31" s="41"/>
      <c r="D31" s="39" t="s">
        <v>0</v>
      </c>
      <c r="E31" s="39" t="s">
        <v>5</v>
      </c>
      <c r="G31" s="39" t="s">
        <v>0</v>
      </c>
      <c r="H31" s="39" t="s">
        <v>5</v>
      </c>
      <c r="J31" s="39" t="s">
        <v>0</v>
      </c>
      <c r="K31" s="39" t="s">
        <v>5</v>
      </c>
      <c r="O31" s="51"/>
    </row>
    <row r="32" spans="1:17" x14ac:dyDescent="0.25">
      <c r="A32" s="37" t="s">
        <v>75</v>
      </c>
      <c r="B32" s="41">
        <v>56</v>
      </c>
      <c r="C32" s="41"/>
      <c r="D32" s="54" t="s">
        <v>70</v>
      </c>
      <c r="E32" s="50">
        <v>33</v>
      </c>
      <c r="G32" s="37" t="s">
        <v>79</v>
      </c>
      <c r="H32" s="36">
        <f>B32/B5</f>
        <v>1.8666666666666667</v>
      </c>
      <c r="J32" s="54" t="s">
        <v>70</v>
      </c>
      <c r="K32" s="50">
        <f>E32/B5</f>
        <v>1.1000000000000001</v>
      </c>
    </row>
    <row r="33" spans="1:17" x14ac:dyDescent="0.25">
      <c r="A33" s="37" t="s">
        <v>76</v>
      </c>
      <c r="B33" s="41">
        <v>54</v>
      </c>
      <c r="C33" s="41"/>
      <c r="D33" s="54" t="s">
        <v>71</v>
      </c>
      <c r="E33" s="50">
        <v>42</v>
      </c>
      <c r="G33" s="37" t="s">
        <v>80</v>
      </c>
      <c r="H33" s="36">
        <f>B33/B6</f>
        <v>1.8</v>
      </c>
      <c r="J33" s="54" t="s">
        <v>71</v>
      </c>
      <c r="K33" s="50">
        <f>E33/B6</f>
        <v>1.4</v>
      </c>
      <c r="M33" s="46"/>
      <c r="N33" s="50"/>
    </row>
    <row r="34" spans="1:17" x14ac:dyDescent="0.25">
      <c r="A34" s="37" t="s">
        <v>77</v>
      </c>
      <c r="B34" s="41">
        <v>48</v>
      </c>
      <c r="C34" s="41"/>
      <c r="D34" s="54" t="s">
        <v>72</v>
      </c>
      <c r="E34" s="50">
        <v>39</v>
      </c>
      <c r="F34" s="51"/>
      <c r="G34" s="37" t="s">
        <v>81</v>
      </c>
      <c r="H34" s="36">
        <f>B34/B7</f>
        <v>1.263157894736842</v>
      </c>
      <c r="J34" s="54" t="s">
        <v>72</v>
      </c>
      <c r="K34" s="50">
        <f>E34/B7</f>
        <v>1.0263157894736843</v>
      </c>
    </row>
    <row r="35" spans="1:17" x14ac:dyDescent="0.25">
      <c r="A35" s="37"/>
      <c r="D35" s="46"/>
      <c r="E35" s="50"/>
      <c r="H35" s="41"/>
      <c r="J35" s="41"/>
    </row>
    <row r="37" spans="1:17" x14ac:dyDescent="0.25">
      <c r="A37" s="43" t="s">
        <v>74</v>
      </c>
      <c r="G37" s="43" t="s">
        <v>74</v>
      </c>
    </row>
    <row r="38" spans="1:17" x14ac:dyDescent="0.25">
      <c r="A38" s="37" t="s">
        <v>11</v>
      </c>
      <c r="D38" s="46" t="s">
        <v>63</v>
      </c>
      <c r="G38" s="37" t="s">
        <v>11</v>
      </c>
      <c r="J38" s="46" t="s">
        <v>63</v>
      </c>
      <c r="Q38" s="41"/>
    </row>
    <row r="39" spans="1:17" ht="44" x14ac:dyDescent="0.25">
      <c r="A39" s="39" t="s">
        <v>0</v>
      </c>
      <c r="B39" s="39" t="s">
        <v>5</v>
      </c>
      <c r="D39" s="39" t="s">
        <v>0</v>
      </c>
      <c r="E39" s="39" t="s">
        <v>5</v>
      </c>
      <c r="G39" s="39" t="s">
        <v>0</v>
      </c>
      <c r="H39" s="39" t="s">
        <v>5</v>
      </c>
      <c r="I39" s="41"/>
      <c r="J39" s="39" t="s">
        <v>0</v>
      </c>
      <c r="K39" s="39" t="s">
        <v>5</v>
      </c>
      <c r="Q39" s="41"/>
    </row>
    <row r="40" spans="1:17" x14ac:dyDescent="0.25">
      <c r="A40" s="46" t="s">
        <v>12</v>
      </c>
      <c r="B40" s="41">
        <v>3786</v>
      </c>
      <c r="D40" s="46" t="s">
        <v>66</v>
      </c>
      <c r="E40" s="36">
        <v>291</v>
      </c>
      <c r="G40" s="46" t="s">
        <v>12</v>
      </c>
      <c r="H40" s="41">
        <f>B40/B5</f>
        <v>126.2</v>
      </c>
      <c r="I40" s="41"/>
      <c r="J40" s="46" t="s">
        <v>66</v>
      </c>
      <c r="K40" s="36">
        <f>E40/B5</f>
        <v>9.6999999999999993</v>
      </c>
      <c r="Q40" s="41"/>
    </row>
    <row r="41" spans="1:17" x14ac:dyDescent="0.25">
      <c r="A41" s="46" t="s">
        <v>13</v>
      </c>
      <c r="B41" s="41">
        <v>3627</v>
      </c>
      <c r="D41" s="46" t="s">
        <v>67</v>
      </c>
      <c r="E41" s="36">
        <v>257</v>
      </c>
      <c r="G41" s="46" t="s">
        <v>13</v>
      </c>
      <c r="H41" s="41">
        <f>B41/B6</f>
        <v>120.9</v>
      </c>
      <c r="I41" s="41"/>
      <c r="J41" s="46" t="s">
        <v>67</v>
      </c>
      <c r="K41" s="36">
        <f>E41/B6</f>
        <v>8.5666666666666664</v>
      </c>
      <c r="Q41" s="41"/>
    </row>
    <row r="42" spans="1:17" x14ac:dyDescent="0.25">
      <c r="A42" s="46" t="s">
        <v>14</v>
      </c>
      <c r="B42" s="41">
        <v>3744</v>
      </c>
      <c r="D42" s="46" t="s">
        <v>68</v>
      </c>
      <c r="E42" s="36">
        <v>350</v>
      </c>
      <c r="G42" s="46" t="s">
        <v>14</v>
      </c>
      <c r="H42" s="41">
        <f>B42/B7</f>
        <v>98.526315789473685</v>
      </c>
      <c r="I42" s="41"/>
      <c r="J42" s="46" t="s">
        <v>68</v>
      </c>
      <c r="K42" s="36">
        <f>E42/B7</f>
        <v>9.2105263157894743</v>
      </c>
      <c r="Q42" s="41"/>
    </row>
    <row r="43" spans="1:17" x14ac:dyDescent="0.25">
      <c r="A43" s="42"/>
      <c r="B43" s="41"/>
      <c r="D43" s="41"/>
      <c r="E43" s="51"/>
      <c r="G43" s="42"/>
      <c r="H43" s="41"/>
      <c r="I43" s="51"/>
      <c r="Q43" s="41"/>
    </row>
    <row r="44" spans="1:17" x14ac:dyDescent="0.25">
      <c r="A44" s="37" t="s">
        <v>78</v>
      </c>
      <c r="C44" s="41"/>
      <c r="D44" s="53" t="s">
        <v>69</v>
      </c>
      <c r="G44" s="37" t="s">
        <v>47</v>
      </c>
      <c r="J44" s="53" t="s">
        <v>69</v>
      </c>
      <c r="Q44" s="41"/>
    </row>
    <row r="45" spans="1:17" ht="44" x14ac:dyDescent="0.25">
      <c r="A45" s="39" t="s">
        <v>0</v>
      </c>
      <c r="B45" s="39" t="s">
        <v>5</v>
      </c>
      <c r="C45" s="41"/>
      <c r="D45" s="39" t="s">
        <v>0</v>
      </c>
      <c r="E45" s="39" t="s">
        <v>5</v>
      </c>
      <c r="G45" s="39" t="s">
        <v>0</v>
      </c>
      <c r="H45" s="39" t="s">
        <v>5</v>
      </c>
      <c r="J45" s="39" t="s">
        <v>0</v>
      </c>
      <c r="K45" s="39" t="s">
        <v>5</v>
      </c>
      <c r="O45" s="47"/>
      <c r="Q45" s="41"/>
    </row>
    <row r="46" spans="1:17" x14ac:dyDescent="0.25">
      <c r="A46" s="37" t="s">
        <v>79</v>
      </c>
      <c r="B46" s="36">
        <v>69</v>
      </c>
      <c r="C46" s="41"/>
      <c r="D46" s="54" t="s">
        <v>70</v>
      </c>
      <c r="E46" s="36">
        <v>65</v>
      </c>
      <c r="G46" s="37" t="s">
        <v>79</v>
      </c>
      <c r="H46" s="36">
        <f>B46/B5</f>
        <v>2.2999999999999998</v>
      </c>
      <c r="J46" s="54" t="s">
        <v>70</v>
      </c>
      <c r="K46" s="36">
        <f>E46/B5</f>
        <v>2.1666666666666665</v>
      </c>
      <c r="Q46" s="41"/>
    </row>
    <row r="47" spans="1:17" x14ac:dyDescent="0.25">
      <c r="A47" s="37" t="s">
        <v>80</v>
      </c>
      <c r="B47" s="36">
        <v>74</v>
      </c>
      <c r="C47" s="41"/>
      <c r="D47" s="54" t="s">
        <v>71</v>
      </c>
      <c r="E47" s="36">
        <v>56</v>
      </c>
      <c r="G47" s="37" t="s">
        <v>80</v>
      </c>
      <c r="H47" s="36">
        <f>B47/B6</f>
        <v>2.4666666666666668</v>
      </c>
      <c r="J47" s="54" t="s">
        <v>71</v>
      </c>
      <c r="K47" s="36">
        <f>E47/B6</f>
        <v>1.8666666666666667</v>
      </c>
      <c r="Q47" s="41"/>
    </row>
    <row r="48" spans="1:17" x14ac:dyDescent="0.25">
      <c r="A48" s="37" t="s">
        <v>81</v>
      </c>
      <c r="B48" s="36">
        <v>83</v>
      </c>
      <c r="C48" s="51"/>
      <c r="D48" s="54" t="s">
        <v>72</v>
      </c>
      <c r="E48" s="36">
        <v>59</v>
      </c>
      <c r="F48" s="47"/>
      <c r="G48" s="37" t="s">
        <v>81</v>
      </c>
      <c r="H48" s="36">
        <f>B48/B7</f>
        <v>2.1842105263157894</v>
      </c>
      <c r="J48" s="54" t="s">
        <v>72</v>
      </c>
      <c r="K48" s="36">
        <f>E48/B7</f>
        <v>1.5526315789473684</v>
      </c>
    </row>
    <row r="49" spans="1:15" x14ac:dyDescent="0.25">
      <c r="A49" s="37"/>
      <c r="D49" s="46"/>
      <c r="E49" s="50"/>
      <c r="H49" s="41"/>
      <c r="J49" s="37"/>
    </row>
    <row r="50" spans="1:15" x14ac:dyDescent="0.25">
      <c r="O50" s="51"/>
    </row>
    <row r="53" spans="1:15" x14ac:dyDescent="0.25">
      <c r="F53" s="51"/>
    </row>
    <row r="59" spans="1:15" x14ac:dyDescent="0.25">
      <c r="I59" s="46"/>
    </row>
    <row r="60" spans="1:15" x14ac:dyDescent="0.25">
      <c r="I60" s="46"/>
    </row>
    <row r="61" spans="1:15" x14ac:dyDescent="0.25">
      <c r="I61" s="46"/>
    </row>
    <row r="62" spans="1:15" x14ac:dyDescent="0.25">
      <c r="I62" s="46"/>
    </row>
    <row r="63" spans="1:15" x14ac:dyDescent="0.25">
      <c r="I63" s="46"/>
    </row>
    <row r="64" spans="1:15" x14ac:dyDescent="0.25">
      <c r="I64" s="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4537-AFFD-EC4B-9D52-7214E88D13FB}">
  <dimension ref="A1:W78"/>
  <sheetViews>
    <sheetView topLeftCell="A23" workbookViewId="0">
      <selection activeCell="J51" sqref="J51:J53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8" width="9.5" bestFit="1" customWidth="1"/>
    <col min="9" max="9" width="20.3320312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  <col min="257" max="257" width="18.83203125" customWidth="1"/>
    <col min="258" max="258" width="12.33203125" customWidth="1"/>
    <col min="259" max="259" width="11.1640625" customWidth="1"/>
    <col min="260" max="260" width="10.6640625" customWidth="1"/>
    <col min="261" max="264" width="9.5" bestFit="1" customWidth="1"/>
    <col min="265" max="265" width="20.33203125" customWidth="1"/>
    <col min="266" max="266" width="8.83203125" customWidth="1"/>
    <col min="267" max="267" width="9.5" bestFit="1" customWidth="1"/>
    <col min="268" max="268" width="8.83203125" customWidth="1"/>
    <col min="269" max="271" width="9.5" bestFit="1" customWidth="1"/>
    <col min="272" max="272" width="13" customWidth="1"/>
    <col min="273" max="273" width="8.83203125" customWidth="1"/>
    <col min="274" max="274" width="9.5" bestFit="1" customWidth="1"/>
    <col min="275" max="275" width="8.83203125" customWidth="1"/>
    <col min="276" max="278" width="9.5" bestFit="1" customWidth="1"/>
    <col min="279" max="512" width="8.83203125" customWidth="1"/>
    <col min="513" max="513" width="18.83203125" customWidth="1"/>
    <col min="514" max="514" width="12.33203125" customWidth="1"/>
    <col min="515" max="515" width="11.1640625" customWidth="1"/>
    <col min="516" max="516" width="10.6640625" customWidth="1"/>
    <col min="517" max="520" width="9.5" bestFit="1" customWidth="1"/>
    <col min="521" max="521" width="20.33203125" customWidth="1"/>
    <col min="522" max="522" width="8.83203125" customWidth="1"/>
    <col min="523" max="523" width="9.5" bestFit="1" customWidth="1"/>
    <col min="524" max="524" width="8.83203125" customWidth="1"/>
    <col min="525" max="527" width="9.5" bestFit="1" customWidth="1"/>
    <col min="528" max="528" width="13" customWidth="1"/>
    <col min="529" max="529" width="8.83203125" customWidth="1"/>
    <col min="530" max="530" width="9.5" bestFit="1" customWidth="1"/>
    <col min="531" max="531" width="8.83203125" customWidth="1"/>
    <col min="532" max="534" width="9.5" bestFit="1" customWidth="1"/>
    <col min="535" max="768" width="8.83203125" customWidth="1"/>
    <col min="769" max="769" width="18.83203125" customWidth="1"/>
    <col min="770" max="770" width="12.33203125" customWidth="1"/>
    <col min="771" max="771" width="11.1640625" customWidth="1"/>
    <col min="772" max="772" width="10.6640625" customWidth="1"/>
    <col min="773" max="776" width="9.5" bestFit="1" customWidth="1"/>
    <col min="777" max="777" width="20.33203125" customWidth="1"/>
    <col min="778" max="778" width="8.83203125" customWidth="1"/>
    <col min="779" max="779" width="9.5" bestFit="1" customWidth="1"/>
    <col min="780" max="780" width="8.83203125" customWidth="1"/>
    <col min="781" max="783" width="9.5" bestFit="1" customWidth="1"/>
    <col min="784" max="784" width="13" customWidth="1"/>
    <col min="785" max="785" width="8.83203125" customWidth="1"/>
    <col min="786" max="786" width="9.5" bestFit="1" customWidth="1"/>
    <col min="787" max="787" width="8.83203125" customWidth="1"/>
    <col min="788" max="790" width="9.5" bestFit="1" customWidth="1"/>
    <col min="791" max="1024" width="8.83203125" customWidth="1"/>
    <col min="1025" max="1025" width="18.83203125" customWidth="1"/>
    <col min="1026" max="1026" width="12.33203125" customWidth="1"/>
    <col min="1027" max="1027" width="11.1640625" customWidth="1"/>
    <col min="1028" max="1028" width="10.6640625" customWidth="1"/>
    <col min="1029" max="1032" width="9.5" bestFit="1" customWidth="1"/>
    <col min="1033" max="1033" width="20.33203125" customWidth="1"/>
    <col min="1034" max="1034" width="8.83203125" customWidth="1"/>
    <col min="1035" max="1035" width="9.5" bestFit="1" customWidth="1"/>
    <col min="1036" max="1036" width="8.83203125" customWidth="1"/>
    <col min="1037" max="1039" width="9.5" bestFit="1" customWidth="1"/>
    <col min="1040" max="1040" width="13" customWidth="1"/>
    <col min="1041" max="1041" width="8.83203125" customWidth="1"/>
    <col min="1042" max="1042" width="9.5" bestFit="1" customWidth="1"/>
    <col min="1043" max="1043" width="8.83203125" customWidth="1"/>
    <col min="1044" max="1046" width="9.5" bestFit="1" customWidth="1"/>
    <col min="1047" max="1280" width="8.83203125" customWidth="1"/>
    <col min="1281" max="1281" width="18.83203125" customWidth="1"/>
    <col min="1282" max="1282" width="12.33203125" customWidth="1"/>
    <col min="1283" max="1283" width="11.1640625" customWidth="1"/>
    <col min="1284" max="1284" width="10.6640625" customWidth="1"/>
    <col min="1285" max="1288" width="9.5" bestFit="1" customWidth="1"/>
    <col min="1289" max="1289" width="20.33203125" customWidth="1"/>
    <col min="1290" max="1290" width="8.83203125" customWidth="1"/>
    <col min="1291" max="1291" width="9.5" bestFit="1" customWidth="1"/>
    <col min="1292" max="1292" width="8.83203125" customWidth="1"/>
    <col min="1293" max="1295" width="9.5" bestFit="1" customWidth="1"/>
    <col min="1296" max="1296" width="13" customWidth="1"/>
    <col min="1297" max="1297" width="8.83203125" customWidth="1"/>
    <col min="1298" max="1298" width="9.5" bestFit="1" customWidth="1"/>
    <col min="1299" max="1299" width="8.83203125" customWidth="1"/>
    <col min="1300" max="1302" width="9.5" bestFit="1" customWidth="1"/>
    <col min="1303" max="1536" width="8.83203125" customWidth="1"/>
    <col min="1537" max="1537" width="18.83203125" customWidth="1"/>
    <col min="1538" max="1538" width="12.33203125" customWidth="1"/>
    <col min="1539" max="1539" width="11.1640625" customWidth="1"/>
    <col min="1540" max="1540" width="10.6640625" customWidth="1"/>
    <col min="1541" max="1544" width="9.5" bestFit="1" customWidth="1"/>
    <col min="1545" max="1545" width="20.33203125" customWidth="1"/>
    <col min="1546" max="1546" width="8.83203125" customWidth="1"/>
    <col min="1547" max="1547" width="9.5" bestFit="1" customWidth="1"/>
    <col min="1548" max="1548" width="8.83203125" customWidth="1"/>
    <col min="1549" max="1551" width="9.5" bestFit="1" customWidth="1"/>
    <col min="1552" max="1552" width="13" customWidth="1"/>
    <col min="1553" max="1553" width="8.83203125" customWidth="1"/>
    <col min="1554" max="1554" width="9.5" bestFit="1" customWidth="1"/>
    <col min="1555" max="1555" width="8.83203125" customWidth="1"/>
    <col min="1556" max="1558" width="9.5" bestFit="1" customWidth="1"/>
    <col min="1559" max="1792" width="8.83203125" customWidth="1"/>
    <col min="1793" max="1793" width="18.83203125" customWidth="1"/>
    <col min="1794" max="1794" width="12.33203125" customWidth="1"/>
    <col min="1795" max="1795" width="11.1640625" customWidth="1"/>
    <col min="1796" max="1796" width="10.6640625" customWidth="1"/>
    <col min="1797" max="1800" width="9.5" bestFit="1" customWidth="1"/>
    <col min="1801" max="1801" width="20.33203125" customWidth="1"/>
    <col min="1802" max="1802" width="8.83203125" customWidth="1"/>
    <col min="1803" max="1803" width="9.5" bestFit="1" customWidth="1"/>
    <col min="1804" max="1804" width="8.83203125" customWidth="1"/>
    <col min="1805" max="1807" width="9.5" bestFit="1" customWidth="1"/>
    <col min="1808" max="1808" width="13" customWidth="1"/>
    <col min="1809" max="1809" width="8.83203125" customWidth="1"/>
    <col min="1810" max="1810" width="9.5" bestFit="1" customWidth="1"/>
    <col min="1811" max="1811" width="8.83203125" customWidth="1"/>
    <col min="1812" max="1814" width="9.5" bestFit="1" customWidth="1"/>
    <col min="1815" max="2048" width="8.83203125" customWidth="1"/>
    <col min="2049" max="2049" width="18.83203125" customWidth="1"/>
    <col min="2050" max="2050" width="12.33203125" customWidth="1"/>
    <col min="2051" max="2051" width="11.1640625" customWidth="1"/>
    <col min="2052" max="2052" width="10.6640625" customWidth="1"/>
    <col min="2053" max="2056" width="9.5" bestFit="1" customWidth="1"/>
    <col min="2057" max="2057" width="20.33203125" customWidth="1"/>
    <col min="2058" max="2058" width="8.83203125" customWidth="1"/>
    <col min="2059" max="2059" width="9.5" bestFit="1" customWidth="1"/>
    <col min="2060" max="2060" width="8.83203125" customWidth="1"/>
    <col min="2061" max="2063" width="9.5" bestFit="1" customWidth="1"/>
    <col min="2064" max="2064" width="13" customWidth="1"/>
    <col min="2065" max="2065" width="8.83203125" customWidth="1"/>
    <col min="2066" max="2066" width="9.5" bestFit="1" customWidth="1"/>
    <col min="2067" max="2067" width="8.83203125" customWidth="1"/>
    <col min="2068" max="2070" width="9.5" bestFit="1" customWidth="1"/>
    <col min="2071" max="2304" width="8.83203125" customWidth="1"/>
    <col min="2305" max="2305" width="18.83203125" customWidth="1"/>
    <col min="2306" max="2306" width="12.33203125" customWidth="1"/>
    <col min="2307" max="2307" width="11.1640625" customWidth="1"/>
    <col min="2308" max="2308" width="10.6640625" customWidth="1"/>
    <col min="2309" max="2312" width="9.5" bestFit="1" customWidth="1"/>
    <col min="2313" max="2313" width="20.33203125" customWidth="1"/>
    <col min="2314" max="2314" width="8.83203125" customWidth="1"/>
    <col min="2315" max="2315" width="9.5" bestFit="1" customWidth="1"/>
    <col min="2316" max="2316" width="8.83203125" customWidth="1"/>
    <col min="2317" max="2319" width="9.5" bestFit="1" customWidth="1"/>
    <col min="2320" max="2320" width="13" customWidth="1"/>
    <col min="2321" max="2321" width="8.83203125" customWidth="1"/>
    <col min="2322" max="2322" width="9.5" bestFit="1" customWidth="1"/>
    <col min="2323" max="2323" width="8.83203125" customWidth="1"/>
    <col min="2324" max="2326" width="9.5" bestFit="1" customWidth="1"/>
    <col min="2327" max="2560" width="8.83203125" customWidth="1"/>
    <col min="2561" max="2561" width="18.83203125" customWidth="1"/>
    <col min="2562" max="2562" width="12.33203125" customWidth="1"/>
    <col min="2563" max="2563" width="11.1640625" customWidth="1"/>
    <col min="2564" max="2564" width="10.6640625" customWidth="1"/>
    <col min="2565" max="2568" width="9.5" bestFit="1" customWidth="1"/>
    <col min="2569" max="2569" width="20.33203125" customWidth="1"/>
    <col min="2570" max="2570" width="8.83203125" customWidth="1"/>
    <col min="2571" max="2571" width="9.5" bestFit="1" customWidth="1"/>
    <col min="2572" max="2572" width="8.83203125" customWidth="1"/>
    <col min="2573" max="2575" width="9.5" bestFit="1" customWidth="1"/>
    <col min="2576" max="2576" width="13" customWidth="1"/>
    <col min="2577" max="2577" width="8.83203125" customWidth="1"/>
    <col min="2578" max="2578" width="9.5" bestFit="1" customWidth="1"/>
    <col min="2579" max="2579" width="8.83203125" customWidth="1"/>
    <col min="2580" max="2582" width="9.5" bestFit="1" customWidth="1"/>
    <col min="2583" max="2816" width="8.83203125" customWidth="1"/>
    <col min="2817" max="2817" width="18.83203125" customWidth="1"/>
    <col min="2818" max="2818" width="12.33203125" customWidth="1"/>
    <col min="2819" max="2819" width="11.1640625" customWidth="1"/>
    <col min="2820" max="2820" width="10.6640625" customWidth="1"/>
    <col min="2821" max="2824" width="9.5" bestFit="1" customWidth="1"/>
    <col min="2825" max="2825" width="20.33203125" customWidth="1"/>
    <col min="2826" max="2826" width="8.83203125" customWidth="1"/>
    <col min="2827" max="2827" width="9.5" bestFit="1" customWidth="1"/>
    <col min="2828" max="2828" width="8.83203125" customWidth="1"/>
    <col min="2829" max="2831" width="9.5" bestFit="1" customWidth="1"/>
    <col min="2832" max="2832" width="13" customWidth="1"/>
    <col min="2833" max="2833" width="8.83203125" customWidth="1"/>
    <col min="2834" max="2834" width="9.5" bestFit="1" customWidth="1"/>
    <col min="2835" max="2835" width="8.83203125" customWidth="1"/>
    <col min="2836" max="2838" width="9.5" bestFit="1" customWidth="1"/>
    <col min="2839" max="3072" width="8.83203125" customWidth="1"/>
    <col min="3073" max="3073" width="18.83203125" customWidth="1"/>
    <col min="3074" max="3074" width="12.33203125" customWidth="1"/>
    <col min="3075" max="3075" width="11.1640625" customWidth="1"/>
    <col min="3076" max="3076" width="10.6640625" customWidth="1"/>
    <col min="3077" max="3080" width="9.5" bestFit="1" customWidth="1"/>
    <col min="3081" max="3081" width="20.33203125" customWidth="1"/>
    <col min="3082" max="3082" width="8.83203125" customWidth="1"/>
    <col min="3083" max="3083" width="9.5" bestFit="1" customWidth="1"/>
    <col min="3084" max="3084" width="8.83203125" customWidth="1"/>
    <col min="3085" max="3087" width="9.5" bestFit="1" customWidth="1"/>
    <col min="3088" max="3088" width="13" customWidth="1"/>
    <col min="3089" max="3089" width="8.83203125" customWidth="1"/>
    <col min="3090" max="3090" width="9.5" bestFit="1" customWidth="1"/>
    <col min="3091" max="3091" width="8.83203125" customWidth="1"/>
    <col min="3092" max="3094" width="9.5" bestFit="1" customWidth="1"/>
    <col min="3095" max="3328" width="8.83203125" customWidth="1"/>
    <col min="3329" max="3329" width="18.83203125" customWidth="1"/>
    <col min="3330" max="3330" width="12.33203125" customWidth="1"/>
    <col min="3331" max="3331" width="11.1640625" customWidth="1"/>
    <col min="3332" max="3332" width="10.6640625" customWidth="1"/>
    <col min="3333" max="3336" width="9.5" bestFit="1" customWidth="1"/>
    <col min="3337" max="3337" width="20.33203125" customWidth="1"/>
    <col min="3338" max="3338" width="8.83203125" customWidth="1"/>
    <col min="3339" max="3339" width="9.5" bestFit="1" customWidth="1"/>
    <col min="3340" max="3340" width="8.83203125" customWidth="1"/>
    <col min="3341" max="3343" width="9.5" bestFit="1" customWidth="1"/>
    <col min="3344" max="3344" width="13" customWidth="1"/>
    <col min="3345" max="3345" width="8.83203125" customWidth="1"/>
    <col min="3346" max="3346" width="9.5" bestFit="1" customWidth="1"/>
    <col min="3347" max="3347" width="8.83203125" customWidth="1"/>
    <col min="3348" max="3350" width="9.5" bestFit="1" customWidth="1"/>
    <col min="3351" max="3584" width="8.83203125" customWidth="1"/>
    <col min="3585" max="3585" width="18.83203125" customWidth="1"/>
    <col min="3586" max="3586" width="12.33203125" customWidth="1"/>
    <col min="3587" max="3587" width="11.1640625" customWidth="1"/>
    <col min="3588" max="3588" width="10.6640625" customWidth="1"/>
    <col min="3589" max="3592" width="9.5" bestFit="1" customWidth="1"/>
    <col min="3593" max="3593" width="20.33203125" customWidth="1"/>
    <col min="3594" max="3594" width="8.83203125" customWidth="1"/>
    <col min="3595" max="3595" width="9.5" bestFit="1" customWidth="1"/>
    <col min="3596" max="3596" width="8.83203125" customWidth="1"/>
    <col min="3597" max="3599" width="9.5" bestFit="1" customWidth="1"/>
    <col min="3600" max="3600" width="13" customWidth="1"/>
    <col min="3601" max="3601" width="8.83203125" customWidth="1"/>
    <col min="3602" max="3602" width="9.5" bestFit="1" customWidth="1"/>
    <col min="3603" max="3603" width="8.83203125" customWidth="1"/>
    <col min="3604" max="3606" width="9.5" bestFit="1" customWidth="1"/>
    <col min="3607" max="3840" width="8.83203125" customWidth="1"/>
    <col min="3841" max="3841" width="18.83203125" customWidth="1"/>
    <col min="3842" max="3842" width="12.33203125" customWidth="1"/>
    <col min="3843" max="3843" width="11.1640625" customWidth="1"/>
    <col min="3844" max="3844" width="10.6640625" customWidth="1"/>
    <col min="3845" max="3848" width="9.5" bestFit="1" customWidth="1"/>
    <col min="3849" max="3849" width="20.33203125" customWidth="1"/>
    <col min="3850" max="3850" width="8.83203125" customWidth="1"/>
    <col min="3851" max="3851" width="9.5" bestFit="1" customWidth="1"/>
    <col min="3852" max="3852" width="8.83203125" customWidth="1"/>
    <col min="3853" max="3855" width="9.5" bestFit="1" customWidth="1"/>
    <col min="3856" max="3856" width="13" customWidth="1"/>
    <col min="3857" max="3857" width="8.83203125" customWidth="1"/>
    <col min="3858" max="3858" width="9.5" bestFit="1" customWidth="1"/>
    <col min="3859" max="3859" width="8.83203125" customWidth="1"/>
    <col min="3860" max="3862" width="9.5" bestFit="1" customWidth="1"/>
    <col min="3863" max="4096" width="8.83203125" customWidth="1"/>
    <col min="4097" max="4097" width="18.83203125" customWidth="1"/>
    <col min="4098" max="4098" width="12.33203125" customWidth="1"/>
    <col min="4099" max="4099" width="11.1640625" customWidth="1"/>
    <col min="4100" max="4100" width="10.6640625" customWidth="1"/>
    <col min="4101" max="4104" width="9.5" bestFit="1" customWidth="1"/>
    <col min="4105" max="4105" width="20.33203125" customWidth="1"/>
    <col min="4106" max="4106" width="8.83203125" customWidth="1"/>
    <col min="4107" max="4107" width="9.5" bestFit="1" customWidth="1"/>
    <col min="4108" max="4108" width="8.83203125" customWidth="1"/>
    <col min="4109" max="4111" width="9.5" bestFit="1" customWidth="1"/>
    <col min="4112" max="4112" width="13" customWidth="1"/>
    <col min="4113" max="4113" width="8.83203125" customWidth="1"/>
    <col min="4114" max="4114" width="9.5" bestFit="1" customWidth="1"/>
    <col min="4115" max="4115" width="8.83203125" customWidth="1"/>
    <col min="4116" max="4118" width="9.5" bestFit="1" customWidth="1"/>
    <col min="4119" max="4352" width="8.83203125" customWidth="1"/>
    <col min="4353" max="4353" width="18.83203125" customWidth="1"/>
    <col min="4354" max="4354" width="12.33203125" customWidth="1"/>
    <col min="4355" max="4355" width="11.1640625" customWidth="1"/>
    <col min="4356" max="4356" width="10.6640625" customWidth="1"/>
    <col min="4357" max="4360" width="9.5" bestFit="1" customWidth="1"/>
    <col min="4361" max="4361" width="20.33203125" customWidth="1"/>
    <col min="4362" max="4362" width="8.83203125" customWidth="1"/>
    <col min="4363" max="4363" width="9.5" bestFit="1" customWidth="1"/>
    <col min="4364" max="4364" width="8.83203125" customWidth="1"/>
    <col min="4365" max="4367" width="9.5" bestFit="1" customWidth="1"/>
    <col min="4368" max="4368" width="13" customWidth="1"/>
    <col min="4369" max="4369" width="8.83203125" customWidth="1"/>
    <col min="4370" max="4370" width="9.5" bestFit="1" customWidth="1"/>
    <col min="4371" max="4371" width="8.83203125" customWidth="1"/>
    <col min="4372" max="4374" width="9.5" bestFit="1" customWidth="1"/>
    <col min="4375" max="4608" width="8.83203125" customWidth="1"/>
    <col min="4609" max="4609" width="18.83203125" customWidth="1"/>
    <col min="4610" max="4610" width="12.33203125" customWidth="1"/>
    <col min="4611" max="4611" width="11.1640625" customWidth="1"/>
    <col min="4612" max="4612" width="10.6640625" customWidth="1"/>
    <col min="4613" max="4616" width="9.5" bestFit="1" customWidth="1"/>
    <col min="4617" max="4617" width="20.33203125" customWidth="1"/>
    <col min="4618" max="4618" width="8.83203125" customWidth="1"/>
    <col min="4619" max="4619" width="9.5" bestFit="1" customWidth="1"/>
    <col min="4620" max="4620" width="8.83203125" customWidth="1"/>
    <col min="4621" max="4623" width="9.5" bestFit="1" customWidth="1"/>
    <col min="4624" max="4624" width="13" customWidth="1"/>
    <col min="4625" max="4625" width="8.83203125" customWidth="1"/>
    <col min="4626" max="4626" width="9.5" bestFit="1" customWidth="1"/>
    <col min="4627" max="4627" width="8.83203125" customWidth="1"/>
    <col min="4628" max="4630" width="9.5" bestFit="1" customWidth="1"/>
    <col min="4631" max="4864" width="8.83203125" customWidth="1"/>
    <col min="4865" max="4865" width="18.83203125" customWidth="1"/>
    <col min="4866" max="4866" width="12.33203125" customWidth="1"/>
    <col min="4867" max="4867" width="11.1640625" customWidth="1"/>
    <col min="4868" max="4868" width="10.6640625" customWidth="1"/>
    <col min="4869" max="4872" width="9.5" bestFit="1" customWidth="1"/>
    <col min="4873" max="4873" width="20.33203125" customWidth="1"/>
    <col min="4874" max="4874" width="8.83203125" customWidth="1"/>
    <col min="4875" max="4875" width="9.5" bestFit="1" customWidth="1"/>
    <col min="4876" max="4876" width="8.83203125" customWidth="1"/>
    <col min="4877" max="4879" width="9.5" bestFit="1" customWidth="1"/>
    <col min="4880" max="4880" width="13" customWidth="1"/>
    <col min="4881" max="4881" width="8.83203125" customWidth="1"/>
    <col min="4882" max="4882" width="9.5" bestFit="1" customWidth="1"/>
    <col min="4883" max="4883" width="8.83203125" customWidth="1"/>
    <col min="4884" max="4886" width="9.5" bestFit="1" customWidth="1"/>
    <col min="4887" max="5120" width="8.83203125" customWidth="1"/>
    <col min="5121" max="5121" width="18.83203125" customWidth="1"/>
    <col min="5122" max="5122" width="12.33203125" customWidth="1"/>
    <col min="5123" max="5123" width="11.1640625" customWidth="1"/>
    <col min="5124" max="5124" width="10.6640625" customWidth="1"/>
    <col min="5125" max="5128" width="9.5" bestFit="1" customWidth="1"/>
    <col min="5129" max="5129" width="20.33203125" customWidth="1"/>
    <col min="5130" max="5130" width="8.83203125" customWidth="1"/>
    <col min="5131" max="5131" width="9.5" bestFit="1" customWidth="1"/>
    <col min="5132" max="5132" width="8.83203125" customWidth="1"/>
    <col min="5133" max="5135" width="9.5" bestFit="1" customWidth="1"/>
    <col min="5136" max="5136" width="13" customWidth="1"/>
    <col min="5137" max="5137" width="8.83203125" customWidth="1"/>
    <col min="5138" max="5138" width="9.5" bestFit="1" customWidth="1"/>
    <col min="5139" max="5139" width="8.83203125" customWidth="1"/>
    <col min="5140" max="5142" width="9.5" bestFit="1" customWidth="1"/>
    <col min="5143" max="5376" width="8.83203125" customWidth="1"/>
    <col min="5377" max="5377" width="18.83203125" customWidth="1"/>
    <col min="5378" max="5378" width="12.33203125" customWidth="1"/>
    <col min="5379" max="5379" width="11.1640625" customWidth="1"/>
    <col min="5380" max="5380" width="10.6640625" customWidth="1"/>
    <col min="5381" max="5384" width="9.5" bestFit="1" customWidth="1"/>
    <col min="5385" max="5385" width="20.33203125" customWidth="1"/>
    <col min="5386" max="5386" width="8.83203125" customWidth="1"/>
    <col min="5387" max="5387" width="9.5" bestFit="1" customWidth="1"/>
    <col min="5388" max="5388" width="8.83203125" customWidth="1"/>
    <col min="5389" max="5391" width="9.5" bestFit="1" customWidth="1"/>
    <col min="5392" max="5392" width="13" customWidth="1"/>
    <col min="5393" max="5393" width="8.83203125" customWidth="1"/>
    <col min="5394" max="5394" width="9.5" bestFit="1" customWidth="1"/>
    <col min="5395" max="5395" width="8.83203125" customWidth="1"/>
    <col min="5396" max="5398" width="9.5" bestFit="1" customWidth="1"/>
    <col min="5399" max="5632" width="8.83203125" customWidth="1"/>
    <col min="5633" max="5633" width="18.83203125" customWidth="1"/>
    <col min="5634" max="5634" width="12.33203125" customWidth="1"/>
    <col min="5635" max="5635" width="11.1640625" customWidth="1"/>
    <col min="5636" max="5636" width="10.6640625" customWidth="1"/>
    <col min="5637" max="5640" width="9.5" bestFit="1" customWidth="1"/>
    <col min="5641" max="5641" width="20.33203125" customWidth="1"/>
    <col min="5642" max="5642" width="8.83203125" customWidth="1"/>
    <col min="5643" max="5643" width="9.5" bestFit="1" customWidth="1"/>
    <col min="5644" max="5644" width="8.83203125" customWidth="1"/>
    <col min="5645" max="5647" width="9.5" bestFit="1" customWidth="1"/>
    <col min="5648" max="5648" width="13" customWidth="1"/>
    <col min="5649" max="5649" width="8.83203125" customWidth="1"/>
    <col min="5650" max="5650" width="9.5" bestFit="1" customWidth="1"/>
    <col min="5651" max="5651" width="8.83203125" customWidth="1"/>
    <col min="5652" max="5654" width="9.5" bestFit="1" customWidth="1"/>
    <col min="5655" max="5888" width="8.83203125" customWidth="1"/>
    <col min="5889" max="5889" width="18.83203125" customWidth="1"/>
    <col min="5890" max="5890" width="12.33203125" customWidth="1"/>
    <col min="5891" max="5891" width="11.1640625" customWidth="1"/>
    <col min="5892" max="5892" width="10.6640625" customWidth="1"/>
    <col min="5893" max="5896" width="9.5" bestFit="1" customWidth="1"/>
    <col min="5897" max="5897" width="20.33203125" customWidth="1"/>
    <col min="5898" max="5898" width="8.83203125" customWidth="1"/>
    <col min="5899" max="5899" width="9.5" bestFit="1" customWidth="1"/>
    <col min="5900" max="5900" width="8.83203125" customWidth="1"/>
    <col min="5901" max="5903" width="9.5" bestFit="1" customWidth="1"/>
    <col min="5904" max="5904" width="13" customWidth="1"/>
    <col min="5905" max="5905" width="8.83203125" customWidth="1"/>
    <col min="5906" max="5906" width="9.5" bestFit="1" customWidth="1"/>
    <col min="5907" max="5907" width="8.83203125" customWidth="1"/>
    <col min="5908" max="5910" width="9.5" bestFit="1" customWidth="1"/>
    <col min="5911" max="6144" width="8.83203125" customWidth="1"/>
    <col min="6145" max="6145" width="18.83203125" customWidth="1"/>
    <col min="6146" max="6146" width="12.33203125" customWidth="1"/>
    <col min="6147" max="6147" width="11.1640625" customWidth="1"/>
    <col min="6148" max="6148" width="10.6640625" customWidth="1"/>
    <col min="6149" max="6152" width="9.5" bestFit="1" customWidth="1"/>
    <col min="6153" max="6153" width="20.33203125" customWidth="1"/>
    <col min="6154" max="6154" width="8.83203125" customWidth="1"/>
    <col min="6155" max="6155" width="9.5" bestFit="1" customWidth="1"/>
    <col min="6156" max="6156" width="8.83203125" customWidth="1"/>
    <col min="6157" max="6159" width="9.5" bestFit="1" customWidth="1"/>
    <col min="6160" max="6160" width="13" customWidth="1"/>
    <col min="6161" max="6161" width="8.83203125" customWidth="1"/>
    <col min="6162" max="6162" width="9.5" bestFit="1" customWidth="1"/>
    <col min="6163" max="6163" width="8.83203125" customWidth="1"/>
    <col min="6164" max="6166" width="9.5" bestFit="1" customWidth="1"/>
    <col min="6167" max="6400" width="8.83203125" customWidth="1"/>
    <col min="6401" max="6401" width="18.83203125" customWidth="1"/>
    <col min="6402" max="6402" width="12.33203125" customWidth="1"/>
    <col min="6403" max="6403" width="11.1640625" customWidth="1"/>
    <col min="6404" max="6404" width="10.6640625" customWidth="1"/>
    <col min="6405" max="6408" width="9.5" bestFit="1" customWidth="1"/>
    <col min="6409" max="6409" width="20.33203125" customWidth="1"/>
    <col min="6410" max="6410" width="8.83203125" customWidth="1"/>
    <col min="6411" max="6411" width="9.5" bestFit="1" customWidth="1"/>
    <col min="6412" max="6412" width="8.83203125" customWidth="1"/>
    <col min="6413" max="6415" width="9.5" bestFit="1" customWidth="1"/>
    <col min="6416" max="6416" width="13" customWidth="1"/>
    <col min="6417" max="6417" width="8.83203125" customWidth="1"/>
    <col min="6418" max="6418" width="9.5" bestFit="1" customWidth="1"/>
    <col min="6419" max="6419" width="8.83203125" customWidth="1"/>
    <col min="6420" max="6422" width="9.5" bestFit="1" customWidth="1"/>
    <col min="6423" max="6656" width="8.83203125" customWidth="1"/>
    <col min="6657" max="6657" width="18.83203125" customWidth="1"/>
    <col min="6658" max="6658" width="12.33203125" customWidth="1"/>
    <col min="6659" max="6659" width="11.1640625" customWidth="1"/>
    <col min="6660" max="6660" width="10.6640625" customWidth="1"/>
    <col min="6661" max="6664" width="9.5" bestFit="1" customWidth="1"/>
    <col min="6665" max="6665" width="20.33203125" customWidth="1"/>
    <col min="6666" max="6666" width="8.83203125" customWidth="1"/>
    <col min="6667" max="6667" width="9.5" bestFit="1" customWidth="1"/>
    <col min="6668" max="6668" width="8.83203125" customWidth="1"/>
    <col min="6669" max="6671" width="9.5" bestFit="1" customWidth="1"/>
    <col min="6672" max="6672" width="13" customWidth="1"/>
    <col min="6673" max="6673" width="8.83203125" customWidth="1"/>
    <col min="6674" max="6674" width="9.5" bestFit="1" customWidth="1"/>
    <col min="6675" max="6675" width="8.83203125" customWidth="1"/>
    <col min="6676" max="6678" width="9.5" bestFit="1" customWidth="1"/>
    <col min="6679" max="6912" width="8.83203125" customWidth="1"/>
    <col min="6913" max="6913" width="18.83203125" customWidth="1"/>
    <col min="6914" max="6914" width="12.33203125" customWidth="1"/>
    <col min="6915" max="6915" width="11.1640625" customWidth="1"/>
    <col min="6916" max="6916" width="10.6640625" customWidth="1"/>
    <col min="6917" max="6920" width="9.5" bestFit="1" customWidth="1"/>
    <col min="6921" max="6921" width="20.33203125" customWidth="1"/>
    <col min="6922" max="6922" width="8.83203125" customWidth="1"/>
    <col min="6923" max="6923" width="9.5" bestFit="1" customWidth="1"/>
    <col min="6924" max="6924" width="8.83203125" customWidth="1"/>
    <col min="6925" max="6927" width="9.5" bestFit="1" customWidth="1"/>
    <col min="6928" max="6928" width="13" customWidth="1"/>
    <col min="6929" max="6929" width="8.83203125" customWidth="1"/>
    <col min="6930" max="6930" width="9.5" bestFit="1" customWidth="1"/>
    <col min="6931" max="6931" width="8.83203125" customWidth="1"/>
    <col min="6932" max="6934" width="9.5" bestFit="1" customWidth="1"/>
    <col min="6935" max="7168" width="8.83203125" customWidth="1"/>
    <col min="7169" max="7169" width="18.83203125" customWidth="1"/>
    <col min="7170" max="7170" width="12.33203125" customWidth="1"/>
    <col min="7171" max="7171" width="11.1640625" customWidth="1"/>
    <col min="7172" max="7172" width="10.6640625" customWidth="1"/>
    <col min="7173" max="7176" width="9.5" bestFit="1" customWidth="1"/>
    <col min="7177" max="7177" width="20.33203125" customWidth="1"/>
    <col min="7178" max="7178" width="8.83203125" customWidth="1"/>
    <col min="7179" max="7179" width="9.5" bestFit="1" customWidth="1"/>
    <col min="7180" max="7180" width="8.83203125" customWidth="1"/>
    <col min="7181" max="7183" width="9.5" bestFit="1" customWidth="1"/>
    <col min="7184" max="7184" width="13" customWidth="1"/>
    <col min="7185" max="7185" width="8.83203125" customWidth="1"/>
    <col min="7186" max="7186" width="9.5" bestFit="1" customWidth="1"/>
    <col min="7187" max="7187" width="8.83203125" customWidth="1"/>
    <col min="7188" max="7190" width="9.5" bestFit="1" customWidth="1"/>
    <col min="7191" max="7424" width="8.83203125" customWidth="1"/>
    <col min="7425" max="7425" width="18.83203125" customWidth="1"/>
    <col min="7426" max="7426" width="12.33203125" customWidth="1"/>
    <col min="7427" max="7427" width="11.1640625" customWidth="1"/>
    <col min="7428" max="7428" width="10.6640625" customWidth="1"/>
    <col min="7429" max="7432" width="9.5" bestFit="1" customWidth="1"/>
    <col min="7433" max="7433" width="20.33203125" customWidth="1"/>
    <col min="7434" max="7434" width="8.83203125" customWidth="1"/>
    <col min="7435" max="7435" width="9.5" bestFit="1" customWidth="1"/>
    <col min="7436" max="7436" width="8.83203125" customWidth="1"/>
    <col min="7437" max="7439" width="9.5" bestFit="1" customWidth="1"/>
    <col min="7440" max="7440" width="13" customWidth="1"/>
    <col min="7441" max="7441" width="8.83203125" customWidth="1"/>
    <col min="7442" max="7442" width="9.5" bestFit="1" customWidth="1"/>
    <col min="7443" max="7443" width="8.83203125" customWidth="1"/>
    <col min="7444" max="7446" width="9.5" bestFit="1" customWidth="1"/>
    <col min="7447" max="7680" width="8.83203125" customWidth="1"/>
    <col min="7681" max="7681" width="18.83203125" customWidth="1"/>
    <col min="7682" max="7682" width="12.33203125" customWidth="1"/>
    <col min="7683" max="7683" width="11.1640625" customWidth="1"/>
    <col min="7684" max="7684" width="10.6640625" customWidth="1"/>
    <col min="7685" max="7688" width="9.5" bestFit="1" customWidth="1"/>
    <col min="7689" max="7689" width="20.33203125" customWidth="1"/>
    <col min="7690" max="7690" width="8.83203125" customWidth="1"/>
    <col min="7691" max="7691" width="9.5" bestFit="1" customWidth="1"/>
    <col min="7692" max="7692" width="8.83203125" customWidth="1"/>
    <col min="7693" max="7695" width="9.5" bestFit="1" customWidth="1"/>
    <col min="7696" max="7696" width="13" customWidth="1"/>
    <col min="7697" max="7697" width="8.83203125" customWidth="1"/>
    <col min="7698" max="7698" width="9.5" bestFit="1" customWidth="1"/>
    <col min="7699" max="7699" width="8.83203125" customWidth="1"/>
    <col min="7700" max="7702" width="9.5" bestFit="1" customWidth="1"/>
    <col min="7703" max="7936" width="8.83203125" customWidth="1"/>
    <col min="7937" max="7937" width="18.83203125" customWidth="1"/>
    <col min="7938" max="7938" width="12.33203125" customWidth="1"/>
    <col min="7939" max="7939" width="11.1640625" customWidth="1"/>
    <col min="7940" max="7940" width="10.6640625" customWidth="1"/>
    <col min="7941" max="7944" width="9.5" bestFit="1" customWidth="1"/>
    <col min="7945" max="7945" width="20.33203125" customWidth="1"/>
    <col min="7946" max="7946" width="8.83203125" customWidth="1"/>
    <col min="7947" max="7947" width="9.5" bestFit="1" customWidth="1"/>
    <col min="7948" max="7948" width="8.83203125" customWidth="1"/>
    <col min="7949" max="7951" width="9.5" bestFit="1" customWidth="1"/>
    <col min="7952" max="7952" width="13" customWidth="1"/>
    <col min="7953" max="7953" width="8.83203125" customWidth="1"/>
    <col min="7954" max="7954" width="9.5" bestFit="1" customWidth="1"/>
    <col min="7955" max="7955" width="8.83203125" customWidth="1"/>
    <col min="7956" max="7958" width="9.5" bestFit="1" customWidth="1"/>
    <col min="7959" max="8192" width="8.83203125" customWidth="1"/>
    <col min="8193" max="8193" width="18.83203125" customWidth="1"/>
    <col min="8194" max="8194" width="12.33203125" customWidth="1"/>
    <col min="8195" max="8195" width="11.1640625" customWidth="1"/>
    <col min="8196" max="8196" width="10.6640625" customWidth="1"/>
    <col min="8197" max="8200" width="9.5" bestFit="1" customWidth="1"/>
    <col min="8201" max="8201" width="20.33203125" customWidth="1"/>
    <col min="8202" max="8202" width="8.83203125" customWidth="1"/>
    <col min="8203" max="8203" width="9.5" bestFit="1" customWidth="1"/>
    <col min="8204" max="8204" width="8.83203125" customWidth="1"/>
    <col min="8205" max="8207" width="9.5" bestFit="1" customWidth="1"/>
    <col min="8208" max="8208" width="13" customWidth="1"/>
    <col min="8209" max="8209" width="8.83203125" customWidth="1"/>
    <col min="8210" max="8210" width="9.5" bestFit="1" customWidth="1"/>
    <col min="8211" max="8211" width="8.83203125" customWidth="1"/>
    <col min="8212" max="8214" width="9.5" bestFit="1" customWidth="1"/>
    <col min="8215" max="8448" width="8.83203125" customWidth="1"/>
    <col min="8449" max="8449" width="18.83203125" customWidth="1"/>
    <col min="8450" max="8450" width="12.33203125" customWidth="1"/>
    <col min="8451" max="8451" width="11.1640625" customWidth="1"/>
    <col min="8452" max="8452" width="10.6640625" customWidth="1"/>
    <col min="8453" max="8456" width="9.5" bestFit="1" customWidth="1"/>
    <col min="8457" max="8457" width="20.33203125" customWidth="1"/>
    <col min="8458" max="8458" width="8.83203125" customWidth="1"/>
    <col min="8459" max="8459" width="9.5" bestFit="1" customWidth="1"/>
    <col min="8460" max="8460" width="8.83203125" customWidth="1"/>
    <col min="8461" max="8463" width="9.5" bestFit="1" customWidth="1"/>
    <col min="8464" max="8464" width="13" customWidth="1"/>
    <col min="8465" max="8465" width="8.83203125" customWidth="1"/>
    <col min="8466" max="8466" width="9.5" bestFit="1" customWidth="1"/>
    <col min="8467" max="8467" width="8.83203125" customWidth="1"/>
    <col min="8468" max="8470" width="9.5" bestFit="1" customWidth="1"/>
    <col min="8471" max="8704" width="8.83203125" customWidth="1"/>
    <col min="8705" max="8705" width="18.83203125" customWidth="1"/>
    <col min="8706" max="8706" width="12.33203125" customWidth="1"/>
    <col min="8707" max="8707" width="11.1640625" customWidth="1"/>
    <col min="8708" max="8708" width="10.6640625" customWidth="1"/>
    <col min="8709" max="8712" width="9.5" bestFit="1" customWidth="1"/>
    <col min="8713" max="8713" width="20.33203125" customWidth="1"/>
    <col min="8714" max="8714" width="8.83203125" customWidth="1"/>
    <col min="8715" max="8715" width="9.5" bestFit="1" customWidth="1"/>
    <col min="8716" max="8716" width="8.83203125" customWidth="1"/>
    <col min="8717" max="8719" width="9.5" bestFit="1" customWidth="1"/>
    <col min="8720" max="8720" width="13" customWidth="1"/>
    <col min="8721" max="8721" width="8.83203125" customWidth="1"/>
    <col min="8722" max="8722" width="9.5" bestFit="1" customWidth="1"/>
    <col min="8723" max="8723" width="8.83203125" customWidth="1"/>
    <col min="8724" max="8726" width="9.5" bestFit="1" customWidth="1"/>
    <col min="8727" max="8960" width="8.83203125" customWidth="1"/>
    <col min="8961" max="8961" width="18.83203125" customWidth="1"/>
    <col min="8962" max="8962" width="12.33203125" customWidth="1"/>
    <col min="8963" max="8963" width="11.1640625" customWidth="1"/>
    <col min="8964" max="8964" width="10.6640625" customWidth="1"/>
    <col min="8965" max="8968" width="9.5" bestFit="1" customWidth="1"/>
    <col min="8969" max="8969" width="20.33203125" customWidth="1"/>
    <col min="8970" max="8970" width="8.83203125" customWidth="1"/>
    <col min="8971" max="8971" width="9.5" bestFit="1" customWidth="1"/>
    <col min="8972" max="8972" width="8.83203125" customWidth="1"/>
    <col min="8973" max="8975" width="9.5" bestFit="1" customWidth="1"/>
    <col min="8976" max="8976" width="13" customWidth="1"/>
    <col min="8977" max="8977" width="8.83203125" customWidth="1"/>
    <col min="8978" max="8978" width="9.5" bestFit="1" customWidth="1"/>
    <col min="8979" max="8979" width="8.83203125" customWidth="1"/>
    <col min="8980" max="8982" width="9.5" bestFit="1" customWidth="1"/>
    <col min="8983" max="9216" width="8.83203125" customWidth="1"/>
    <col min="9217" max="9217" width="18.83203125" customWidth="1"/>
    <col min="9218" max="9218" width="12.33203125" customWidth="1"/>
    <col min="9219" max="9219" width="11.1640625" customWidth="1"/>
    <col min="9220" max="9220" width="10.6640625" customWidth="1"/>
    <col min="9221" max="9224" width="9.5" bestFit="1" customWidth="1"/>
    <col min="9225" max="9225" width="20.33203125" customWidth="1"/>
    <col min="9226" max="9226" width="8.83203125" customWidth="1"/>
    <col min="9227" max="9227" width="9.5" bestFit="1" customWidth="1"/>
    <col min="9228" max="9228" width="8.83203125" customWidth="1"/>
    <col min="9229" max="9231" width="9.5" bestFit="1" customWidth="1"/>
    <col min="9232" max="9232" width="13" customWidth="1"/>
    <col min="9233" max="9233" width="8.83203125" customWidth="1"/>
    <col min="9234" max="9234" width="9.5" bestFit="1" customWidth="1"/>
    <col min="9235" max="9235" width="8.83203125" customWidth="1"/>
    <col min="9236" max="9238" width="9.5" bestFit="1" customWidth="1"/>
    <col min="9239" max="9472" width="8.83203125" customWidth="1"/>
    <col min="9473" max="9473" width="18.83203125" customWidth="1"/>
    <col min="9474" max="9474" width="12.33203125" customWidth="1"/>
    <col min="9475" max="9475" width="11.1640625" customWidth="1"/>
    <col min="9476" max="9476" width="10.6640625" customWidth="1"/>
    <col min="9477" max="9480" width="9.5" bestFit="1" customWidth="1"/>
    <col min="9481" max="9481" width="20.33203125" customWidth="1"/>
    <col min="9482" max="9482" width="8.83203125" customWidth="1"/>
    <col min="9483" max="9483" width="9.5" bestFit="1" customWidth="1"/>
    <col min="9484" max="9484" width="8.83203125" customWidth="1"/>
    <col min="9485" max="9487" width="9.5" bestFit="1" customWidth="1"/>
    <col min="9488" max="9488" width="13" customWidth="1"/>
    <col min="9489" max="9489" width="8.83203125" customWidth="1"/>
    <col min="9490" max="9490" width="9.5" bestFit="1" customWidth="1"/>
    <col min="9491" max="9491" width="8.83203125" customWidth="1"/>
    <col min="9492" max="9494" width="9.5" bestFit="1" customWidth="1"/>
    <col min="9495" max="9728" width="8.83203125" customWidth="1"/>
    <col min="9729" max="9729" width="18.83203125" customWidth="1"/>
    <col min="9730" max="9730" width="12.33203125" customWidth="1"/>
    <col min="9731" max="9731" width="11.1640625" customWidth="1"/>
    <col min="9732" max="9732" width="10.6640625" customWidth="1"/>
    <col min="9733" max="9736" width="9.5" bestFit="1" customWidth="1"/>
    <col min="9737" max="9737" width="20.33203125" customWidth="1"/>
    <col min="9738" max="9738" width="8.83203125" customWidth="1"/>
    <col min="9739" max="9739" width="9.5" bestFit="1" customWidth="1"/>
    <col min="9740" max="9740" width="8.83203125" customWidth="1"/>
    <col min="9741" max="9743" width="9.5" bestFit="1" customWidth="1"/>
    <col min="9744" max="9744" width="13" customWidth="1"/>
    <col min="9745" max="9745" width="8.83203125" customWidth="1"/>
    <col min="9746" max="9746" width="9.5" bestFit="1" customWidth="1"/>
    <col min="9747" max="9747" width="8.83203125" customWidth="1"/>
    <col min="9748" max="9750" width="9.5" bestFit="1" customWidth="1"/>
    <col min="9751" max="9984" width="8.83203125" customWidth="1"/>
    <col min="9985" max="9985" width="18.83203125" customWidth="1"/>
    <col min="9986" max="9986" width="12.33203125" customWidth="1"/>
    <col min="9987" max="9987" width="11.1640625" customWidth="1"/>
    <col min="9988" max="9988" width="10.6640625" customWidth="1"/>
    <col min="9989" max="9992" width="9.5" bestFit="1" customWidth="1"/>
    <col min="9993" max="9993" width="20.33203125" customWidth="1"/>
    <col min="9994" max="9994" width="8.83203125" customWidth="1"/>
    <col min="9995" max="9995" width="9.5" bestFit="1" customWidth="1"/>
    <col min="9996" max="9996" width="8.83203125" customWidth="1"/>
    <col min="9997" max="9999" width="9.5" bestFit="1" customWidth="1"/>
    <col min="10000" max="10000" width="13" customWidth="1"/>
    <col min="10001" max="10001" width="8.83203125" customWidth="1"/>
    <col min="10002" max="10002" width="9.5" bestFit="1" customWidth="1"/>
    <col min="10003" max="10003" width="8.83203125" customWidth="1"/>
    <col min="10004" max="10006" width="9.5" bestFit="1" customWidth="1"/>
    <col min="10007" max="10240" width="8.83203125" customWidth="1"/>
    <col min="10241" max="10241" width="18.83203125" customWidth="1"/>
    <col min="10242" max="10242" width="12.33203125" customWidth="1"/>
    <col min="10243" max="10243" width="11.1640625" customWidth="1"/>
    <col min="10244" max="10244" width="10.6640625" customWidth="1"/>
    <col min="10245" max="10248" width="9.5" bestFit="1" customWidth="1"/>
    <col min="10249" max="10249" width="20.33203125" customWidth="1"/>
    <col min="10250" max="10250" width="8.83203125" customWidth="1"/>
    <col min="10251" max="10251" width="9.5" bestFit="1" customWidth="1"/>
    <col min="10252" max="10252" width="8.83203125" customWidth="1"/>
    <col min="10253" max="10255" width="9.5" bestFit="1" customWidth="1"/>
    <col min="10256" max="10256" width="13" customWidth="1"/>
    <col min="10257" max="10257" width="8.83203125" customWidth="1"/>
    <col min="10258" max="10258" width="9.5" bestFit="1" customWidth="1"/>
    <col min="10259" max="10259" width="8.83203125" customWidth="1"/>
    <col min="10260" max="10262" width="9.5" bestFit="1" customWidth="1"/>
    <col min="10263" max="10496" width="8.83203125" customWidth="1"/>
    <col min="10497" max="10497" width="18.83203125" customWidth="1"/>
    <col min="10498" max="10498" width="12.33203125" customWidth="1"/>
    <col min="10499" max="10499" width="11.1640625" customWidth="1"/>
    <col min="10500" max="10500" width="10.6640625" customWidth="1"/>
    <col min="10501" max="10504" width="9.5" bestFit="1" customWidth="1"/>
    <col min="10505" max="10505" width="20.33203125" customWidth="1"/>
    <col min="10506" max="10506" width="8.83203125" customWidth="1"/>
    <col min="10507" max="10507" width="9.5" bestFit="1" customWidth="1"/>
    <col min="10508" max="10508" width="8.83203125" customWidth="1"/>
    <col min="10509" max="10511" width="9.5" bestFit="1" customWidth="1"/>
    <col min="10512" max="10512" width="13" customWidth="1"/>
    <col min="10513" max="10513" width="8.83203125" customWidth="1"/>
    <col min="10514" max="10514" width="9.5" bestFit="1" customWidth="1"/>
    <col min="10515" max="10515" width="8.83203125" customWidth="1"/>
    <col min="10516" max="10518" width="9.5" bestFit="1" customWidth="1"/>
    <col min="10519" max="10752" width="8.83203125" customWidth="1"/>
    <col min="10753" max="10753" width="18.83203125" customWidth="1"/>
    <col min="10754" max="10754" width="12.33203125" customWidth="1"/>
    <col min="10755" max="10755" width="11.1640625" customWidth="1"/>
    <col min="10756" max="10756" width="10.6640625" customWidth="1"/>
    <col min="10757" max="10760" width="9.5" bestFit="1" customWidth="1"/>
    <col min="10761" max="10761" width="20.33203125" customWidth="1"/>
    <col min="10762" max="10762" width="8.83203125" customWidth="1"/>
    <col min="10763" max="10763" width="9.5" bestFit="1" customWidth="1"/>
    <col min="10764" max="10764" width="8.83203125" customWidth="1"/>
    <col min="10765" max="10767" width="9.5" bestFit="1" customWidth="1"/>
    <col min="10768" max="10768" width="13" customWidth="1"/>
    <col min="10769" max="10769" width="8.83203125" customWidth="1"/>
    <col min="10770" max="10770" width="9.5" bestFit="1" customWidth="1"/>
    <col min="10771" max="10771" width="8.83203125" customWidth="1"/>
    <col min="10772" max="10774" width="9.5" bestFit="1" customWidth="1"/>
    <col min="10775" max="11008" width="8.83203125" customWidth="1"/>
    <col min="11009" max="11009" width="18.83203125" customWidth="1"/>
    <col min="11010" max="11010" width="12.33203125" customWidth="1"/>
    <col min="11011" max="11011" width="11.1640625" customWidth="1"/>
    <col min="11012" max="11012" width="10.6640625" customWidth="1"/>
    <col min="11013" max="11016" width="9.5" bestFit="1" customWidth="1"/>
    <col min="11017" max="11017" width="20.33203125" customWidth="1"/>
    <col min="11018" max="11018" width="8.83203125" customWidth="1"/>
    <col min="11019" max="11019" width="9.5" bestFit="1" customWidth="1"/>
    <col min="11020" max="11020" width="8.83203125" customWidth="1"/>
    <col min="11021" max="11023" width="9.5" bestFit="1" customWidth="1"/>
    <col min="11024" max="11024" width="13" customWidth="1"/>
    <col min="11025" max="11025" width="8.83203125" customWidth="1"/>
    <col min="11026" max="11026" width="9.5" bestFit="1" customWidth="1"/>
    <col min="11027" max="11027" width="8.83203125" customWidth="1"/>
    <col min="11028" max="11030" width="9.5" bestFit="1" customWidth="1"/>
    <col min="11031" max="11264" width="8.83203125" customWidth="1"/>
    <col min="11265" max="11265" width="18.83203125" customWidth="1"/>
    <col min="11266" max="11266" width="12.33203125" customWidth="1"/>
    <col min="11267" max="11267" width="11.1640625" customWidth="1"/>
    <col min="11268" max="11268" width="10.6640625" customWidth="1"/>
    <col min="11269" max="11272" width="9.5" bestFit="1" customWidth="1"/>
    <col min="11273" max="11273" width="20.33203125" customWidth="1"/>
    <col min="11274" max="11274" width="8.83203125" customWidth="1"/>
    <col min="11275" max="11275" width="9.5" bestFit="1" customWidth="1"/>
    <col min="11276" max="11276" width="8.83203125" customWidth="1"/>
    <col min="11277" max="11279" width="9.5" bestFit="1" customWidth="1"/>
    <col min="11280" max="11280" width="13" customWidth="1"/>
    <col min="11281" max="11281" width="8.83203125" customWidth="1"/>
    <col min="11282" max="11282" width="9.5" bestFit="1" customWidth="1"/>
    <col min="11283" max="11283" width="8.83203125" customWidth="1"/>
    <col min="11284" max="11286" width="9.5" bestFit="1" customWidth="1"/>
    <col min="11287" max="11520" width="8.83203125" customWidth="1"/>
    <col min="11521" max="11521" width="18.83203125" customWidth="1"/>
    <col min="11522" max="11522" width="12.33203125" customWidth="1"/>
    <col min="11523" max="11523" width="11.1640625" customWidth="1"/>
    <col min="11524" max="11524" width="10.6640625" customWidth="1"/>
    <col min="11525" max="11528" width="9.5" bestFit="1" customWidth="1"/>
    <col min="11529" max="11529" width="20.33203125" customWidth="1"/>
    <col min="11530" max="11530" width="8.83203125" customWidth="1"/>
    <col min="11531" max="11531" width="9.5" bestFit="1" customWidth="1"/>
    <col min="11532" max="11532" width="8.83203125" customWidth="1"/>
    <col min="11533" max="11535" width="9.5" bestFit="1" customWidth="1"/>
    <col min="11536" max="11536" width="13" customWidth="1"/>
    <col min="11537" max="11537" width="8.83203125" customWidth="1"/>
    <col min="11538" max="11538" width="9.5" bestFit="1" customWidth="1"/>
    <col min="11539" max="11539" width="8.83203125" customWidth="1"/>
    <col min="11540" max="11542" width="9.5" bestFit="1" customWidth="1"/>
    <col min="11543" max="11776" width="8.83203125" customWidth="1"/>
    <col min="11777" max="11777" width="18.83203125" customWidth="1"/>
    <col min="11778" max="11778" width="12.33203125" customWidth="1"/>
    <col min="11779" max="11779" width="11.1640625" customWidth="1"/>
    <col min="11780" max="11780" width="10.6640625" customWidth="1"/>
    <col min="11781" max="11784" width="9.5" bestFit="1" customWidth="1"/>
    <col min="11785" max="11785" width="20.33203125" customWidth="1"/>
    <col min="11786" max="11786" width="8.83203125" customWidth="1"/>
    <col min="11787" max="11787" width="9.5" bestFit="1" customWidth="1"/>
    <col min="11788" max="11788" width="8.83203125" customWidth="1"/>
    <col min="11789" max="11791" width="9.5" bestFit="1" customWidth="1"/>
    <col min="11792" max="11792" width="13" customWidth="1"/>
    <col min="11793" max="11793" width="8.83203125" customWidth="1"/>
    <col min="11794" max="11794" width="9.5" bestFit="1" customWidth="1"/>
    <col min="11795" max="11795" width="8.83203125" customWidth="1"/>
    <col min="11796" max="11798" width="9.5" bestFit="1" customWidth="1"/>
    <col min="11799" max="12032" width="8.83203125" customWidth="1"/>
    <col min="12033" max="12033" width="18.83203125" customWidth="1"/>
    <col min="12034" max="12034" width="12.33203125" customWidth="1"/>
    <col min="12035" max="12035" width="11.1640625" customWidth="1"/>
    <col min="12036" max="12036" width="10.6640625" customWidth="1"/>
    <col min="12037" max="12040" width="9.5" bestFit="1" customWidth="1"/>
    <col min="12041" max="12041" width="20.33203125" customWidth="1"/>
    <col min="12042" max="12042" width="8.83203125" customWidth="1"/>
    <col min="12043" max="12043" width="9.5" bestFit="1" customWidth="1"/>
    <col min="12044" max="12044" width="8.83203125" customWidth="1"/>
    <col min="12045" max="12047" width="9.5" bestFit="1" customWidth="1"/>
    <col min="12048" max="12048" width="13" customWidth="1"/>
    <col min="12049" max="12049" width="8.83203125" customWidth="1"/>
    <col min="12050" max="12050" width="9.5" bestFit="1" customWidth="1"/>
    <col min="12051" max="12051" width="8.83203125" customWidth="1"/>
    <col min="12052" max="12054" width="9.5" bestFit="1" customWidth="1"/>
    <col min="12055" max="12288" width="8.83203125" customWidth="1"/>
    <col min="12289" max="12289" width="18.83203125" customWidth="1"/>
    <col min="12290" max="12290" width="12.33203125" customWidth="1"/>
    <col min="12291" max="12291" width="11.1640625" customWidth="1"/>
    <col min="12292" max="12292" width="10.6640625" customWidth="1"/>
    <col min="12293" max="12296" width="9.5" bestFit="1" customWidth="1"/>
    <col min="12297" max="12297" width="20.33203125" customWidth="1"/>
    <col min="12298" max="12298" width="8.83203125" customWidth="1"/>
    <col min="12299" max="12299" width="9.5" bestFit="1" customWidth="1"/>
    <col min="12300" max="12300" width="8.83203125" customWidth="1"/>
    <col min="12301" max="12303" width="9.5" bestFit="1" customWidth="1"/>
    <col min="12304" max="12304" width="13" customWidth="1"/>
    <col min="12305" max="12305" width="8.83203125" customWidth="1"/>
    <col min="12306" max="12306" width="9.5" bestFit="1" customWidth="1"/>
    <col min="12307" max="12307" width="8.83203125" customWidth="1"/>
    <col min="12308" max="12310" width="9.5" bestFit="1" customWidth="1"/>
    <col min="12311" max="12544" width="8.83203125" customWidth="1"/>
    <col min="12545" max="12545" width="18.83203125" customWidth="1"/>
    <col min="12546" max="12546" width="12.33203125" customWidth="1"/>
    <col min="12547" max="12547" width="11.1640625" customWidth="1"/>
    <col min="12548" max="12548" width="10.6640625" customWidth="1"/>
    <col min="12549" max="12552" width="9.5" bestFit="1" customWidth="1"/>
    <col min="12553" max="12553" width="20.33203125" customWidth="1"/>
    <col min="12554" max="12554" width="8.83203125" customWidth="1"/>
    <col min="12555" max="12555" width="9.5" bestFit="1" customWidth="1"/>
    <col min="12556" max="12556" width="8.83203125" customWidth="1"/>
    <col min="12557" max="12559" width="9.5" bestFit="1" customWidth="1"/>
    <col min="12560" max="12560" width="13" customWidth="1"/>
    <col min="12561" max="12561" width="8.83203125" customWidth="1"/>
    <col min="12562" max="12562" width="9.5" bestFit="1" customWidth="1"/>
    <col min="12563" max="12563" width="8.83203125" customWidth="1"/>
    <col min="12564" max="12566" width="9.5" bestFit="1" customWidth="1"/>
    <col min="12567" max="12800" width="8.83203125" customWidth="1"/>
    <col min="12801" max="12801" width="18.83203125" customWidth="1"/>
    <col min="12802" max="12802" width="12.33203125" customWidth="1"/>
    <col min="12803" max="12803" width="11.1640625" customWidth="1"/>
    <col min="12804" max="12804" width="10.6640625" customWidth="1"/>
    <col min="12805" max="12808" width="9.5" bestFit="1" customWidth="1"/>
    <col min="12809" max="12809" width="20.33203125" customWidth="1"/>
    <col min="12810" max="12810" width="8.83203125" customWidth="1"/>
    <col min="12811" max="12811" width="9.5" bestFit="1" customWidth="1"/>
    <col min="12812" max="12812" width="8.83203125" customWidth="1"/>
    <col min="12813" max="12815" width="9.5" bestFit="1" customWidth="1"/>
    <col min="12816" max="12816" width="13" customWidth="1"/>
    <col min="12817" max="12817" width="8.83203125" customWidth="1"/>
    <col min="12818" max="12818" width="9.5" bestFit="1" customWidth="1"/>
    <col min="12819" max="12819" width="8.83203125" customWidth="1"/>
    <col min="12820" max="12822" width="9.5" bestFit="1" customWidth="1"/>
    <col min="12823" max="13056" width="8.83203125" customWidth="1"/>
    <col min="13057" max="13057" width="18.83203125" customWidth="1"/>
    <col min="13058" max="13058" width="12.33203125" customWidth="1"/>
    <col min="13059" max="13059" width="11.1640625" customWidth="1"/>
    <col min="13060" max="13060" width="10.6640625" customWidth="1"/>
    <col min="13061" max="13064" width="9.5" bestFit="1" customWidth="1"/>
    <col min="13065" max="13065" width="20.33203125" customWidth="1"/>
    <col min="13066" max="13066" width="8.83203125" customWidth="1"/>
    <col min="13067" max="13067" width="9.5" bestFit="1" customWidth="1"/>
    <col min="13068" max="13068" width="8.83203125" customWidth="1"/>
    <col min="13069" max="13071" width="9.5" bestFit="1" customWidth="1"/>
    <col min="13072" max="13072" width="13" customWidth="1"/>
    <col min="13073" max="13073" width="8.83203125" customWidth="1"/>
    <col min="13074" max="13074" width="9.5" bestFit="1" customWidth="1"/>
    <col min="13075" max="13075" width="8.83203125" customWidth="1"/>
    <col min="13076" max="13078" width="9.5" bestFit="1" customWidth="1"/>
    <col min="13079" max="13312" width="8.83203125" customWidth="1"/>
    <col min="13313" max="13313" width="18.83203125" customWidth="1"/>
    <col min="13314" max="13314" width="12.33203125" customWidth="1"/>
    <col min="13315" max="13315" width="11.1640625" customWidth="1"/>
    <col min="13316" max="13316" width="10.6640625" customWidth="1"/>
    <col min="13317" max="13320" width="9.5" bestFit="1" customWidth="1"/>
    <col min="13321" max="13321" width="20.33203125" customWidth="1"/>
    <col min="13322" max="13322" width="8.83203125" customWidth="1"/>
    <col min="13323" max="13323" width="9.5" bestFit="1" customWidth="1"/>
    <col min="13324" max="13324" width="8.83203125" customWidth="1"/>
    <col min="13325" max="13327" width="9.5" bestFit="1" customWidth="1"/>
    <col min="13328" max="13328" width="13" customWidth="1"/>
    <col min="13329" max="13329" width="8.83203125" customWidth="1"/>
    <col min="13330" max="13330" width="9.5" bestFit="1" customWidth="1"/>
    <col min="13331" max="13331" width="8.83203125" customWidth="1"/>
    <col min="13332" max="13334" width="9.5" bestFit="1" customWidth="1"/>
    <col min="13335" max="13568" width="8.83203125" customWidth="1"/>
    <col min="13569" max="13569" width="18.83203125" customWidth="1"/>
    <col min="13570" max="13570" width="12.33203125" customWidth="1"/>
    <col min="13571" max="13571" width="11.1640625" customWidth="1"/>
    <col min="13572" max="13572" width="10.6640625" customWidth="1"/>
    <col min="13573" max="13576" width="9.5" bestFit="1" customWidth="1"/>
    <col min="13577" max="13577" width="20.33203125" customWidth="1"/>
    <col min="13578" max="13578" width="8.83203125" customWidth="1"/>
    <col min="13579" max="13579" width="9.5" bestFit="1" customWidth="1"/>
    <col min="13580" max="13580" width="8.83203125" customWidth="1"/>
    <col min="13581" max="13583" width="9.5" bestFit="1" customWidth="1"/>
    <col min="13584" max="13584" width="13" customWidth="1"/>
    <col min="13585" max="13585" width="8.83203125" customWidth="1"/>
    <col min="13586" max="13586" width="9.5" bestFit="1" customWidth="1"/>
    <col min="13587" max="13587" width="8.83203125" customWidth="1"/>
    <col min="13588" max="13590" width="9.5" bestFit="1" customWidth="1"/>
    <col min="13591" max="13824" width="8.83203125" customWidth="1"/>
    <col min="13825" max="13825" width="18.83203125" customWidth="1"/>
    <col min="13826" max="13826" width="12.33203125" customWidth="1"/>
    <col min="13827" max="13827" width="11.1640625" customWidth="1"/>
    <col min="13828" max="13828" width="10.6640625" customWidth="1"/>
    <col min="13829" max="13832" width="9.5" bestFit="1" customWidth="1"/>
    <col min="13833" max="13833" width="20.33203125" customWidth="1"/>
    <col min="13834" max="13834" width="8.83203125" customWidth="1"/>
    <col min="13835" max="13835" width="9.5" bestFit="1" customWidth="1"/>
    <col min="13836" max="13836" width="8.83203125" customWidth="1"/>
    <col min="13837" max="13839" width="9.5" bestFit="1" customWidth="1"/>
    <col min="13840" max="13840" width="13" customWidth="1"/>
    <col min="13841" max="13841" width="8.83203125" customWidth="1"/>
    <col min="13842" max="13842" width="9.5" bestFit="1" customWidth="1"/>
    <col min="13843" max="13843" width="8.83203125" customWidth="1"/>
    <col min="13844" max="13846" width="9.5" bestFit="1" customWidth="1"/>
    <col min="13847" max="14080" width="8.83203125" customWidth="1"/>
    <col min="14081" max="14081" width="18.83203125" customWidth="1"/>
    <col min="14082" max="14082" width="12.33203125" customWidth="1"/>
    <col min="14083" max="14083" width="11.1640625" customWidth="1"/>
    <col min="14084" max="14084" width="10.6640625" customWidth="1"/>
    <col min="14085" max="14088" width="9.5" bestFit="1" customWidth="1"/>
    <col min="14089" max="14089" width="20.33203125" customWidth="1"/>
    <col min="14090" max="14090" width="8.83203125" customWidth="1"/>
    <col min="14091" max="14091" width="9.5" bestFit="1" customWidth="1"/>
    <col min="14092" max="14092" width="8.83203125" customWidth="1"/>
    <col min="14093" max="14095" width="9.5" bestFit="1" customWidth="1"/>
    <col min="14096" max="14096" width="13" customWidth="1"/>
    <col min="14097" max="14097" width="8.83203125" customWidth="1"/>
    <col min="14098" max="14098" width="9.5" bestFit="1" customWidth="1"/>
    <col min="14099" max="14099" width="8.83203125" customWidth="1"/>
    <col min="14100" max="14102" width="9.5" bestFit="1" customWidth="1"/>
    <col min="14103" max="14336" width="8.83203125" customWidth="1"/>
    <col min="14337" max="14337" width="18.83203125" customWidth="1"/>
    <col min="14338" max="14338" width="12.33203125" customWidth="1"/>
    <col min="14339" max="14339" width="11.1640625" customWidth="1"/>
    <col min="14340" max="14340" width="10.6640625" customWidth="1"/>
    <col min="14341" max="14344" width="9.5" bestFit="1" customWidth="1"/>
    <col min="14345" max="14345" width="20.33203125" customWidth="1"/>
    <col min="14346" max="14346" width="8.83203125" customWidth="1"/>
    <col min="14347" max="14347" width="9.5" bestFit="1" customWidth="1"/>
    <col min="14348" max="14348" width="8.83203125" customWidth="1"/>
    <col min="14349" max="14351" width="9.5" bestFit="1" customWidth="1"/>
    <col min="14352" max="14352" width="13" customWidth="1"/>
    <col min="14353" max="14353" width="8.83203125" customWidth="1"/>
    <col min="14354" max="14354" width="9.5" bestFit="1" customWidth="1"/>
    <col min="14355" max="14355" width="8.83203125" customWidth="1"/>
    <col min="14356" max="14358" width="9.5" bestFit="1" customWidth="1"/>
    <col min="14359" max="14592" width="8.83203125" customWidth="1"/>
    <col min="14593" max="14593" width="18.83203125" customWidth="1"/>
    <col min="14594" max="14594" width="12.33203125" customWidth="1"/>
    <col min="14595" max="14595" width="11.1640625" customWidth="1"/>
    <col min="14596" max="14596" width="10.6640625" customWidth="1"/>
    <col min="14597" max="14600" width="9.5" bestFit="1" customWidth="1"/>
    <col min="14601" max="14601" width="20.33203125" customWidth="1"/>
    <col min="14602" max="14602" width="8.83203125" customWidth="1"/>
    <col min="14603" max="14603" width="9.5" bestFit="1" customWidth="1"/>
    <col min="14604" max="14604" width="8.83203125" customWidth="1"/>
    <col min="14605" max="14607" width="9.5" bestFit="1" customWidth="1"/>
    <col min="14608" max="14608" width="13" customWidth="1"/>
    <col min="14609" max="14609" width="8.83203125" customWidth="1"/>
    <col min="14610" max="14610" width="9.5" bestFit="1" customWidth="1"/>
    <col min="14611" max="14611" width="8.83203125" customWidth="1"/>
    <col min="14612" max="14614" width="9.5" bestFit="1" customWidth="1"/>
    <col min="14615" max="14848" width="8.83203125" customWidth="1"/>
    <col min="14849" max="14849" width="18.83203125" customWidth="1"/>
    <col min="14850" max="14850" width="12.33203125" customWidth="1"/>
    <col min="14851" max="14851" width="11.1640625" customWidth="1"/>
    <col min="14852" max="14852" width="10.6640625" customWidth="1"/>
    <col min="14853" max="14856" width="9.5" bestFit="1" customWidth="1"/>
    <col min="14857" max="14857" width="20.33203125" customWidth="1"/>
    <col min="14858" max="14858" width="8.83203125" customWidth="1"/>
    <col min="14859" max="14859" width="9.5" bestFit="1" customWidth="1"/>
    <col min="14860" max="14860" width="8.83203125" customWidth="1"/>
    <col min="14861" max="14863" width="9.5" bestFit="1" customWidth="1"/>
    <col min="14864" max="14864" width="13" customWidth="1"/>
    <col min="14865" max="14865" width="8.83203125" customWidth="1"/>
    <col min="14866" max="14866" width="9.5" bestFit="1" customWidth="1"/>
    <col min="14867" max="14867" width="8.83203125" customWidth="1"/>
    <col min="14868" max="14870" width="9.5" bestFit="1" customWidth="1"/>
    <col min="14871" max="15104" width="8.83203125" customWidth="1"/>
    <col min="15105" max="15105" width="18.83203125" customWidth="1"/>
    <col min="15106" max="15106" width="12.33203125" customWidth="1"/>
    <col min="15107" max="15107" width="11.1640625" customWidth="1"/>
    <col min="15108" max="15108" width="10.6640625" customWidth="1"/>
    <col min="15109" max="15112" width="9.5" bestFit="1" customWidth="1"/>
    <col min="15113" max="15113" width="20.33203125" customWidth="1"/>
    <col min="15114" max="15114" width="8.83203125" customWidth="1"/>
    <col min="15115" max="15115" width="9.5" bestFit="1" customWidth="1"/>
    <col min="15116" max="15116" width="8.83203125" customWidth="1"/>
    <col min="15117" max="15119" width="9.5" bestFit="1" customWidth="1"/>
    <col min="15120" max="15120" width="13" customWidth="1"/>
    <col min="15121" max="15121" width="8.83203125" customWidth="1"/>
    <col min="15122" max="15122" width="9.5" bestFit="1" customWidth="1"/>
    <col min="15123" max="15123" width="8.83203125" customWidth="1"/>
    <col min="15124" max="15126" width="9.5" bestFit="1" customWidth="1"/>
    <col min="15127" max="15360" width="8.83203125" customWidth="1"/>
    <col min="15361" max="15361" width="18.83203125" customWidth="1"/>
    <col min="15362" max="15362" width="12.33203125" customWidth="1"/>
    <col min="15363" max="15363" width="11.1640625" customWidth="1"/>
    <col min="15364" max="15364" width="10.6640625" customWidth="1"/>
    <col min="15365" max="15368" width="9.5" bestFit="1" customWidth="1"/>
    <col min="15369" max="15369" width="20.33203125" customWidth="1"/>
    <col min="15370" max="15370" width="8.83203125" customWidth="1"/>
    <col min="15371" max="15371" width="9.5" bestFit="1" customWidth="1"/>
    <col min="15372" max="15372" width="8.83203125" customWidth="1"/>
    <col min="15373" max="15375" width="9.5" bestFit="1" customWidth="1"/>
    <col min="15376" max="15376" width="13" customWidth="1"/>
    <col min="15377" max="15377" width="8.83203125" customWidth="1"/>
    <col min="15378" max="15378" width="9.5" bestFit="1" customWidth="1"/>
    <col min="15379" max="15379" width="8.83203125" customWidth="1"/>
    <col min="15380" max="15382" width="9.5" bestFit="1" customWidth="1"/>
    <col min="15383" max="15616" width="8.83203125" customWidth="1"/>
    <col min="15617" max="15617" width="18.83203125" customWidth="1"/>
    <col min="15618" max="15618" width="12.33203125" customWidth="1"/>
    <col min="15619" max="15619" width="11.1640625" customWidth="1"/>
    <col min="15620" max="15620" width="10.6640625" customWidth="1"/>
    <col min="15621" max="15624" width="9.5" bestFit="1" customWidth="1"/>
    <col min="15625" max="15625" width="20.33203125" customWidth="1"/>
    <col min="15626" max="15626" width="8.83203125" customWidth="1"/>
    <col min="15627" max="15627" width="9.5" bestFit="1" customWidth="1"/>
    <col min="15628" max="15628" width="8.83203125" customWidth="1"/>
    <col min="15629" max="15631" width="9.5" bestFit="1" customWidth="1"/>
    <col min="15632" max="15632" width="13" customWidth="1"/>
    <col min="15633" max="15633" width="8.83203125" customWidth="1"/>
    <col min="15634" max="15634" width="9.5" bestFit="1" customWidth="1"/>
    <col min="15635" max="15635" width="8.83203125" customWidth="1"/>
    <col min="15636" max="15638" width="9.5" bestFit="1" customWidth="1"/>
    <col min="15639" max="15872" width="8.83203125" customWidth="1"/>
    <col min="15873" max="15873" width="18.83203125" customWidth="1"/>
    <col min="15874" max="15874" width="12.33203125" customWidth="1"/>
    <col min="15875" max="15875" width="11.1640625" customWidth="1"/>
    <col min="15876" max="15876" width="10.6640625" customWidth="1"/>
    <col min="15877" max="15880" width="9.5" bestFit="1" customWidth="1"/>
    <col min="15881" max="15881" width="20.33203125" customWidth="1"/>
    <col min="15882" max="15882" width="8.83203125" customWidth="1"/>
    <col min="15883" max="15883" width="9.5" bestFit="1" customWidth="1"/>
    <col min="15884" max="15884" width="8.83203125" customWidth="1"/>
    <col min="15885" max="15887" width="9.5" bestFit="1" customWidth="1"/>
    <col min="15888" max="15888" width="13" customWidth="1"/>
    <col min="15889" max="15889" width="8.83203125" customWidth="1"/>
    <col min="15890" max="15890" width="9.5" bestFit="1" customWidth="1"/>
    <col min="15891" max="15891" width="8.83203125" customWidth="1"/>
    <col min="15892" max="15894" width="9.5" bestFit="1" customWidth="1"/>
    <col min="15895" max="16128" width="8.83203125" customWidth="1"/>
    <col min="16129" max="16129" width="18.83203125" customWidth="1"/>
    <col min="16130" max="16130" width="12.33203125" customWidth="1"/>
    <col min="16131" max="16131" width="11.1640625" customWidth="1"/>
    <col min="16132" max="16132" width="10.6640625" customWidth="1"/>
    <col min="16133" max="16136" width="9.5" bestFit="1" customWidth="1"/>
    <col min="16137" max="16137" width="20.33203125" customWidth="1"/>
    <col min="16138" max="16138" width="8.83203125" customWidth="1"/>
    <col min="16139" max="16139" width="9.5" bestFit="1" customWidth="1"/>
    <col min="16140" max="16140" width="8.83203125" customWidth="1"/>
    <col min="16141" max="16143" width="9.5" bestFit="1" customWidth="1"/>
    <col min="16144" max="16144" width="13" customWidth="1"/>
    <col min="16145" max="16145" width="8.83203125" customWidth="1"/>
    <col min="16146" max="16146" width="9.5" bestFit="1" customWidth="1"/>
    <col min="16147" max="16147" width="8.83203125" customWidth="1"/>
    <col min="16148" max="16150" width="9.5" bestFit="1" customWidth="1"/>
    <col min="16151" max="16384" width="8.83203125" customWidth="1"/>
  </cols>
  <sheetData>
    <row r="1" spans="1:15" ht="19" x14ac:dyDescent="0.25">
      <c r="A1" s="3" t="s">
        <v>53</v>
      </c>
    </row>
    <row r="2" spans="1:15" x14ac:dyDescent="0.2">
      <c r="A2" t="s">
        <v>82</v>
      </c>
    </row>
    <row r="3" spans="1:15" x14ac:dyDescent="0.2">
      <c r="A3" s="2" t="s">
        <v>83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5" ht="19" x14ac:dyDescent="0.25">
      <c r="A5" s="66" t="s">
        <v>84</v>
      </c>
      <c r="B5" s="67"/>
      <c r="C5" s="67"/>
      <c r="D5" s="67"/>
      <c r="E5" s="67"/>
      <c r="F5" s="67"/>
      <c r="G5" s="68"/>
    </row>
    <row r="6" spans="1:15" ht="16" x14ac:dyDescent="0.2">
      <c r="A6" s="60" t="s">
        <v>1</v>
      </c>
      <c r="B6" s="61"/>
      <c r="C6" s="61"/>
      <c r="D6" s="61"/>
      <c r="E6" s="61"/>
      <c r="F6" s="61"/>
      <c r="G6" s="62"/>
    </row>
    <row r="7" spans="1:15" ht="32" x14ac:dyDescent="0.2">
      <c r="A7" s="4" t="s">
        <v>0</v>
      </c>
      <c r="B7" s="5" t="s">
        <v>5</v>
      </c>
      <c r="C7" s="5" t="s">
        <v>6</v>
      </c>
      <c r="D7" s="5" t="s">
        <v>7</v>
      </c>
      <c r="E7" s="5" t="s">
        <v>8</v>
      </c>
      <c r="F7" s="9" t="s">
        <v>9</v>
      </c>
      <c r="G7" s="6" t="s">
        <v>10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14" t="s">
        <v>2</v>
      </c>
      <c r="B8" s="15">
        <v>32</v>
      </c>
      <c r="C8" s="16">
        <f>B8*400</f>
        <v>12800</v>
      </c>
      <c r="D8" s="15">
        <v>2.5</v>
      </c>
      <c r="E8" s="16">
        <f>C8*D8</f>
        <v>32000</v>
      </c>
      <c r="F8" s="17">
        <f>AVERAGE(E8:E10)</f>
        <v>30333.333333333332</v>
      </c>
      <c r="G8" s="18">
        <f>_xlfn.STDEV.S(E8:E10)</f>
        <v>1527.5252316519466</v>
      </c>
      <c r="H8" s="1"/>
      <c r="I8" s="1"/>
      <c r="J8" s="1"/>
      <c r="K8" s="1"/>
      <c r="L8" s="1"/>
      <c r="M8" s="1"/>
      <c r="N8" s="1"/>
      <c r="O8" s="1"/>
    </row>
    <row r="9" spans="1:15" x14ac:dyDescent="0.2">
      <c r="A9" s="14" t="s">
        <v>3</v>
      </c>
      <c r="B9" s="15">
        <v>29</v>
      </c>
      <c r="C9" s="16">
        <f>B9*400</f>
        <v>11600</v>
      </c>
      <c r="D9" s="15">
        <v>2.5</v>
      </c>
      <c r="E9" s="16">
        <f>C9*D9</f>
        <v>29000</v>
      </c>
      <c r="F9" s="16"/>
      <c r="G9" s="19"/>
      <c r="H9" s="1"/>
      <c r="I9" s="1"/>
      <c r="J9" s="1"/>
      <c r="K9" s="1"/>
      <c r="L9" s="1"/>
      <c r="M9" s="1"/>
      <c r="N9" s="1"/>
      <c r="O9" s="1"/>
    </row>
    <row r="10" spans="1:15" x14ac:dyDescent="0.2">
      <c r="A10" s="20" t="s">
        <v>4</v>
      </c>
      <c r="B10" s="21">
        <v>30</v>
      </c>
      <c r="C10" s="22">
        <f>B10*400</f>
        <v>12000</v>
      </c>
      <c r="D10" s="21">
        <v>2.5</v>
      </c>
      <c r="E10" s="22">
        <f>C10*D10</f>
        <v>30000</v>
      </c>
      <c r="F10" s="22"/>
      <c r="G10" s="23"/>
      <c r="H10" s="1"/>
      <c r="I10" s="1"/>
      <c r="J10" s="1"/>
      <c r="K10" s="1"/>
      <c r="L10" s="1"/>
      <c r="M10" s="1"/>
      <c r="N10" s="1"/>
      <c r="O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9" x14ac:dyDescent="0.25">
      <c r="A12" s="66" t="s">
        <v>85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8"/>
    </row>
    <row r="13" spans="1:15" ht="16" x14ac:dyDescent="0.2">
      <c r="A13" s="60" t="s">
        <v>11</v>
      </c>
      <c r="B13" s="61"/>
      <c r="C13" s="61"/>
      <c r="D13" s="61"/>
      <c r="E13" s="61"/>
      <c r="F13" s="61"/>
      <c r="G13" s="62"/>
      <c r="H13" s="15"/>
      <c r="I13" s="69" t="s">
        <v>25</v>
      </c>
      <c r="J13" s="70"/>
      <c r="K13" s="70"/>
      <c r="L13" s="70"/>
      <c r="M13" s="70"/>
      <c r="N13" s="70"/>
      <c r="O13" s="71"/>
    </row>
    <row r="14" spans="1:15" ht="32" x14ac:dyDescent="0.2">
      <c r="A14" s="4" t="s">
        <v>0</v>
      </c>
      <c r="B14" s="5" t="s">
        <v>5</v>
      </c>
      <c r="C14" s="5" t="s">
        <v>6</v>
      </c>
      <c r="D14" s="5" t="s">
        <v>7</v>
      </c>
      <c r="E14" s="5" t="s">
        <v>8</v>
      </c>
      <c r="F14" s="9" t="s">
        <v>9</v>
      </c>
      <c r="G14" s="6" t="s">
        <v>10</v>
      </c>
      <c r="H14" s="15"/>
      <c r="I14" s="10" t="s">
        <v>0</v>
      </c>
      <c r="J14" s="11" t="s">
        <v>5</v>
      </c>
      <c r="K14" s="11" t="s">
        <v>6</v>
      </c>
      <c r="L14" s="11" t="s">
        <v>7</v>
      </c>
      <c r="M14" s="11" t="s">
        <v>8</v>
      </c>
      <c r="N14" s="12" t="s">
        <v>9</v>
      </c>
      <c r="O14" s="13" t="s">
        <v>10</v>
      </c>
    </row>
    <row r="15" spans="1:15" x14ac:dyDescent="0.2">
      <c r="A15" s="14" t="s">
        <v>12</v>
      </c>
      <c r="B15" s="15">
        <v>292</v>
      </c>
      <c r="C15" s="16">
        <f>B15*400</f>
        <v>116800</v>
      </c>
      <c r="D15" s="15">
        <v>2.5</v>
      </c>
      <c r="E15" s="16">
        <f>C15*D15</f>
        <v>292000</v>
      </c>
      <c r="F15" s="17">
        <f>AVERAGE(E15:E17)</f>
        <v>280000</v>
      </c>
      <c r="G15" s="18">
        <f>_xlfn.STDEV.S(E15:E17)</f>
        <v>28930.952282978866</v>
      </c>
      <c r="H15" s="15"/>
      <c r="I15" s="14" t="s">
        <v>16</v>
      </c>
      <c r="J15" s="15">
        <v>47</v>
      </c>
      <c r="K15" s="16">
        <f>J15*400</f>
        <v>18800</v>
      </c>
      <c r="L15" s="15">
        <v>2.5</v>
      </c>
      <c r="M15" s="16">
        <f>K15*L15</f>
        <v>47000</v>
      </c>
      <c r="N15" s="17">
        <f>AVERAGE(M15:M17)</f>
        <v>54333.333333333336</v>
      </c>
      <c r="O15" s="18">
        <f>_xlfn.STDEV.S(K15:K17)</f>
        <v>2663.3312473917572</v>
      </c>
    </row>
    <row r="16" spans="1:15" x14ac:dyDescent="0.2">
      <c r="A16" s="14" t="s">
        <v>13</v>
      </c>
      <c r="B16" s="15">
        <v>301</v>
      </c>
      <c r="C16" s="16">
        <f>B16*400</f>
        <v>120400</v>
      </c>
      <c r="D16" s="15">
        <v>2.5</v>
      </c>
      <c r="E16" s="16">
        <f>C16*D16</f>
        <v>301000</v>
      </c>
      <c r="F16" s="16"/>
      <c r="G16" s="19"/>
      <c r="H16" s="15"/>
      <c r="I16" s="14" t="s">
        <v>17</v>
      </c>
      <c r="J16" s="15">
        <v>60</v>
      </c>
      <c r="K16" s="16">
        <f>J16*400</f>
        <v>24000</v>
      </c>
      <c r="L16" s="15">
        <v>2.5</v>
      </c>
      <c r="M16" s="16">
        <f>K16*L16</f>
        <v>60000</v>
      </c>
      <c r="N16" s="16"/>
      <c r="O16" s="19"/>
    </row>
    <row r="17" spans="1:23" x14ac:dyDescent="0.2">
      <c r="A17" s="20" t="s">
        <v>14</v>
      </c>
      <c r="B17" s="21">
        <v>247</v>
      </c>
      <c r="C17" s="22">
        <f>B17*400</f>
        <v>98800</v>
      </c>
      <c r="D17" s="21">
        <v>2.5</v>
      </c>
      <c r="E17" s="22">
        <f>C17*D17</f>
        <v>247000</v>
      </c>
      <c r="F17" s="22"/>
      <c r="G17" s="23"/>
      <c r="H17" s="15"/>
      <c r="I17" s="20" t="s">
        <v>18</v>
      </c>
      <c r="J17" s="21">
        <v>56</v>
      </c>
      <c r="K17" s="22">
        <f>J17*400</f>
        <v>22400</v>
      </c>
      <c r="L17" s="21">
        <v>2.5</v>
      </c>
      <c r="M17" s="22">
        <f>K17*L17</f>
        <v>56000</v>
      </c>
      <c r="N17" s="22"/>
      <c r="O17" s="23"/>
    </row>
    <row r="18" spans="1:23" x14ac:dyDescent="0.2">
      <c r="A18" s="14"/>
      <c r="B18" s="15"/>
      <c r="C18" s="16"/>
      <c r="D18" s="15"/>
      <c r="E18" s="16"/>
      <c r="F18" s="16"/>
      <c r="G18" s="16"/>
      <c r="H18" s="15"/>
      <c r="I18" s="26"/>
      <c r="J18" s="15"/>
      <c r="K18" s="16"/>
      <c r="L18" s="15"/>
      <c r="M18" s="16"/>
      <c r="N18" s="16"/>
      <c r="O18" s="19"/>
      <c r="P18" s="26"/>
      <c r="Q18" s="15"/>
      <c r="R18" s="16"/>
      <c r="S18" s="15"/>
      <c r="T18" s="16"/>
      <c r="U18" s="16"/>
      <c r="V18" s="16"/>
      <c r="W18" s="7"/>
    </row>
    <row r="19" spans="1:23" ht="16" x14ac:dyDescent="0.2">
      <c r="A19" s="60" t="s">
        <v>47</v>
      </c>
      <c r="B19" s="61"/>
      <c r="C19" s="61"/>
      <c r="D19" s="61"/>
      <c r="E19" s="61"/>
      <c r="F19" s="61"/>
      <c r="G19" s="62"/>
      <c r="H19" s="7"/>
      <c r="I19" s="63" t="s">
        <v>15</v>
      </c>
      <c r="J19" s="64"/>
      <c r="K19" s="64"/>
      <c r="L19" s="64"/>
      <c r="M19" s="64"/>
      <c r="N19" s="64"/>
      <c r="O19" s="65"/>
    </row>
    <row r="20" spans="1:23" ht="32" x14ac:dyDescent="0.2">
      <c r="A20" s="10" t="s">
        <v>0</v>
      </c>
      <c r="B20" s="11" t="s">
        <v>5</v>
      </c>
      <c r="C20" s="11" t="s">
        <v>6</v>
      </c>
      <c r="D20" s="11" t="s">
        <v>7</v>
      </c>
      <c r="E20" s="11" t="s">
        <v>8</v>
      </c>
      <c r="F20" s="12" t="s">
        <v>9</v>
      </c>
      <c r="G20" s="13" t="s">
        <v>10</v>
      </c>
      <c r="H20" s="7"/>
      <c r="I20" s="10" t="s">
        <v>0</v>
      </c>
      <c r="J20" s="11" t="s">
        <v>5</v>
      </c>
      <c r="K20" s="11" t="s">
        <v>6</v>
      </c>
      <c r="L20" s="11" t="s">
        <v>7</v>
      </c>
      <c r="M20" s="11" t="s">
        <v>8</v>
      </c>
      <c r="N20" s="12" t="s">
        <v>9</v>
      </c>
      <c r="O20" s="13" t="s">
        <v>10</v>
      </c>
    </row>
    <row r="21" spans="1:23" x14ac:dyDescent="0.2">
      <c r="A21" s="14" t="s">
        <v>46</v>
      </c>
      <c r="B21" s="15">
        <v>49</v>
      </c>
      <c r="C21" s="16">
        <f>B21*400</f>
        <v>19600</v>
      </c>
      <c r="D21" s="15">
        <v>2.5</v>
      </c>
      <c r="E21" s="16">
        <f>C21*D21</f>
        <v>49000</v>
      </c>
      <c r="F21" s="17">
        <f>AVERAGE(E21:E23)</f>
        <v>39000</v>
      </c>
      <c r="G21" s="18">
        <f>_xlfn.STDEV.S(E21:E23)</f>
        <v>8660.2540378443864</v>
      </c>
      <c r="H21" s="7"/>
      <c r="I21" s="24" t="s">
        <v>27</v>
      </c>
      <c r="J21" s="15">
        <v>38</v>
      </c>
      <c r="K21" s="16">
        <f>J21*400</f>
        <v>15200</v>
      </c>
      <c r="L21" s="15">
        <v>2.5</v>
      </c>
      <c r="M21" s="16">
        <f>K21*L21</f>
        <v>38000</v>
      </c>
      <c r="N21" s="25">
        <f>AVERAGE(M21:M23)</f>
        <v>35000</v>
      </c>
      <c r="O21" s="18">
        <f>_xlfn.STDEV.S(M21:M23)</f>
        <v>3000</v>
      </c>
    </row>
    <row r="22" spans="1:23" x14ac:dyDescent="0.2">
      <c r="A22" s="14" t="s">
        <v>45</v>
      </c>
      <c r="B22" s="15">
        <v>34</v>
      </c>
      <c r="C22" s="16">
        <f>B22*400</f>
        <v>13600</v>
      </c>
      <c r="D22" s="15">
        <v>2.5</v>
      </c>
      <c r="E22" s="16">
        <f>C22*D22</f>
        <v>34000</v>
      </c>
      <c r="F22" s="16"/>
      <c r="G22" s="19"/>
      <c r="H22" s="7"/>
      <c r="I22" s="24" t="s">
        <v>28</v>
      </c>
      <c r="J22" s="15">
        <v>35</v>
      </c>
      <c r="K22" s="16">
        <f>J22*400</f>
        <v>14000</v>
      </c>
      <c r="L22" s="15">
        <v>2.5</v>
      </c>
      <c r="M22" s="16">
        <f>K22*L22</f>
        <v>35000</v>
      </c>
      <c r="N22" s="16"/>
      <c r="O22" s="19"/>
    </row>
    <row r="23" spans="1:23" x14ac:dyDescent="0.2">
      <c r="A23" s="20" t="s">
        <v>44</v>
      </c>
      <c r="B23" s="21">
        <v>34</v>
      </c>
      <c r="C23" s="22">
        <f>B23*400</f>
        <v>13600</v>
      </c>
      <c r="D23" s="21">
        <v>2.5</v>
      </c>
      <c r="E23" s="22">
        <f>C23*D23</f>
        <v>34000</v>
      </c>
      <c r="F23" s="22"/>
      <c r="G23" s="23"/>
      <c r="H23" s="8"/>
      <c r="I23" s="27" t="s">
        <v>29</v>
      </c>
      <c r="J23" s="21">
        <v>32</v>
      </c>
      <c r="K23" s="22">
        <f>J23*400</f>
        <v>12800</v>
      </c>
      <c r="L23" s="21">
        <v>2.5</v>
      </c>
      <c r="M23" s="22">
        <f>K23*L23</f>
        <v>32000</v>
      </c>
      <c r="N23" s="22"/>
      <c r="O23" s="23"/>
    </row>
    <row r="24" spans="1:23" x14ac:dyDescent="0.2">
      <c r="A24" s="14"/>
      <c r="B24" s="15"/>
      <c r="C24" s="16"/>
      <c r="D24" s="15"/>
      <c r="E24" s="16"/>
      <c r="F24" s="16"/>
      <c r="G24" s="16"/>
      <c r="H24" s="15"/>
      <c r="I24" s="26"/>
      <c r="J24" s="15"/>
      <c r="K24" s="16"/>
      <c r="L24" s="15"/>
      <c r="M24" s="16"/>
      <c r="N24" s="16"/>
      <c r="O24" s="19"/>
    </row>
    <row r="25" spans="1:23" x14ac:dyDescent="0.2">
      <c r="A25" s="14"/>
      <c r="B25" s="15"/>
      <c r="C25" s="16"/>
      <c r="D25" s="15"/>
      <c r="E25" s="16"/>
      <c r="F25" s="16"/>
      <c r="G25" s="16"/>
      <c r="H25" s="15"/>
      <c r="I25" s="26"/>
      <c r="J25" s="15"/>
      <c r="K25" s="16"/>
      <c r="L25" s="15"/>
      <c r="M25" s="16"/>
      <c r="N25" s="16"/>
      <c r="O25" s="19"/>
    </row>
    <row r="26" spans="1:23" x14ac:dyDescent="0.2">
      <c r="A26" s="14"/>
      <c r="B26" s="15"/>
      <c r="C26" s="16"/>
      <c r="D26" s="15"/>
      <c r="E26" s="16"/>
      <c r="F26" s="16"/>
      <c r="G26" s="16"/>
      <c r="H26" s="15"/>
      <c r="I26" s="26"/>
      <c r="J26" s="15"/>
      <c r="K26" s="16"/>
      <c r="L26" s="15"/>
      <c r="M26" s="16"/>
      <c r="N26" s="16"/>
      <c r="O26" s="19"/>
    </row>
    <row r="27" spans="1:23" ht="15.75" customHeight="1" x14ac:dyDescent="0.25">
      <c r="A27" s="66" t="s">
        <v>86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8"/>
    </row>
    <row r="28" spans="1:23" ht="16" x14ac:dyDescent="0.2">
      <c r="A28" s="60" t="s">
        <v>42</v>
      </c>
      <c r="B28" s="61"/>
      <c r="C28" s="61"/>
      <c r="D28" s="61"/>
      <c r="E28" s="61"/>
      <c r="F28" s="61"/>
      <c r="G28" s="62"/>
      <c r="H28" s="15"/>
      <c r="I28" s="69" t="s">
        <v>25</v>
      </c>
      <c r="J28" s="70"/>
      <c r="K28" s="70"/>
      <c r="L28" s="70"/>
      <c r="M28" s="70"/>
      <c r="N28" s="70"/>
      <c r="O28" s="71"/>
    </row>
    <row r="29" spans="1:23" ht="32" x14ac:dyDescent="0.2">
      <c r="A29" s="4" t="s">
        <v>0</v>
      </c>
      <c r="B29" s="5" t="s">
        <v>5</v>
      </c>
      <c r="C29" s="5" t="s">
        <v>6</v>
      </c>
      <c r="D29" s="5" t="s">
        <v>7</v>
      </c>
      <c r="E29" s="5" t="s">
        <v>8</v>
      </c>
      <c r="F29" s="9" t="s">
        <v>9</v>
      </c>
      <c r="G29" s="6" t="s">
        <v>10</v>
      </c>
      <c r="H29" s="15"/>
      <c r="I29" s="10" t="s">
        <v>0</v>
      </c>
      <c r="J29" s="11" t="s">
        <v>5</v>
      </c>
      <c r="K29" s="11" t="s">
        <v>6</v>
      </c>
      <c r="L29" s="11" t="s">
        <v>7</v>
      </c>
      <c r="M29" s="11" t="s">
        <v>8</v>
      </c>
      <c r="N29" s="12" t="s">
        <v>9</v>
      </c>
      <c r="O29" s="13" t="s">
        <v>10</v>
      </c>
    </row>
    <row r="30" spans="1:23" x14ac:dyDescent="0.2">
      <c r="A30" s="14" t="s">
        <v>12</v>
      </c>
      <c r="B30" s="15">
        <v>1304</v>
      </c>
      <c r="C30" s="16">
        <f>B30*400</f>
        <v>521600</v>
      </c>
      <c r="D30" s="15">
        <v>2.5</v>
      </c>
      <c r="E30" s="16">
        <f>C30*D30</f>
        <v>1304000</v>
      </c>
      <c r="F30" s="17">
        <f>AVERAGE(E30:E32)</f>
        <v>1296666.6666666667</v>
      </c>
      <c r="G30" s="18">
        <f>_xlfn.STDEV.S(E30:E32)</f>
        <v>18147.543451754933</v>
      </c>
      <c r="H30" s="15"/>
      <c r="I30" s="14" t="s">
        <v>16</v>
      </c>
      <c r="J30" s="15">
        <v>121</v>
      </c>
      <c r="K30" s="16">
        <f>J30*400</f>
        <v>48400</v>
      </c>
      <c r="L30" s="15">
        <v>2.5</v>
      </c>
      <c r="M30" s="16">
        <f>K30*L30</f>
        <v>121000</v>
      </c>
      <c r="N30" s="17">
        <f>AVERAGE(M30:M32)</f>
        <v>122000</v>
      </c>
      <c r="O30" s="18">
        <f>_xlfn.STDEV.S(K30:K32)</f>
        <v>4214.2615011410953</v>
      </c>
    </row>
    <row r="31" spans="1:23" x14ac:dyDescent="0.2">
      <c r="A31" s="14" t="s">
        <v>13</v>
      </c>
      <c r="B31" s="15">
        <v>1276</v>
      </c>
      <c r="C31" s="16">
        <f>B31*400</f>
        <v>510400</v>
      </c>
      <c r="D31" s="15">
        <v>2.5</v>
      </c>
      <c r="E31" s="16">
        <f>C31*D31</f>
        <v>1276000</v>
      </c>
      <c r="F31" s="16"/>
      <c r="G31" s="19"/>
      <c r="H31" s="15"/>
      <c r="I31" s="14" t="s">
        <v>17</v>
      </c>
      <c r="J31" s="15">
        <v>133</v>
      </c>
      <c r="K31" s="16">
        <f>J31*400</f>
        <v>53200</v>
      </c>
      <c r="L31" s="15">
        <v>2.5</v>
      </c>
      <c r="M31" s="16">
        <f>K31*L31</f>
        <v>133000</v>
      </c>
      <c r="N31" s="16"/>
      <c r="O31" s="19"/>
    </row>
    <row r="32" spans="1:23" x14ac:dyDescent="0.2">
      <c r="A32" s="20" t="s">
        <v>14</v>
      </c>
      <c r="B32" s="21">
        <v>1310</v>
      </c>
      <c r="C32" s="22">
        <f>B32*400</f>
        <v>524000</v>
      </c>
      <c r="D32" s="21">
        <v>2.5</v>
      </c>
      <c r="E32" s="22">
        <f>C32*D32</f>
        <v>1310000</v>
      </c>
      <c r="F32" s="22"/>
      <c r="G32" s="23"/>
      <c r="H32" s="15"/>
      <c r="I32" s="20" t="s">
        <v>18</v>
      </c>
      <c r="J32" s="21">
        <v>112</v>
      </c>
      <c r="K32" s="22">
        <f>J32*400</f>
        <v>44800</v>
      </c>
      <c r="L32" s="21">
        <v>2.5</v>
      </c>
      <c r="M32" s="22">
        <f>K32*L32</f>
        <v>112000</v>
      </c>
      <c r="N32" s="22"/>
      <c r="O32" s="23"/>
    </row>
    <row r="33" spans="1:22" x14ac:dyDescent="0.2">
      <c r="A33" s="14"/>
      <c r="B33" s="15"/>
      <c r="C33" s="16"/>
      <c r="D33" s="15"/>
      <c r="E33" s="16"/>
      <c r="F33" s="16"/>
      <c r="G33" s="16"/>
      <c r="H33" s="15"/>
      <c r="I33" s="26"/>
      <c r="J33" s="15"/>
      <c r="K33" s="16"/>
      <c r="L33" s="15"/>
      <c r="M33" s="16"/>
      <c r="N33" s="16"/>
      <c r="O33" s="19"/>
    </row>
    <row r="34" spans="1:22" ht="15.75" customHeight="1" x14ac:dyDescent="0.2">
      <c r="A34" s="60" t="s">
        <v>49</v>
      </c>
      <c r="B34" s="61"/>
      <c r="C34" s="61"/>
      <c r="D34" s="61"/>
      <c r="E34" s="61"/>
      <c r="F34" s="61"/>
      <c r="G34" s="62"/>
      <c r="H34" s="7"/>
      <c r="I34" s="63" t="s">
        <v>15</v>
      </c>
      <c r="J34" s="64"/>
      <c r="K34" s="64"/>
      <c r="L34" s="64"/>
      <c r="M34" s="64"/>
      <c r="N34" s="64"/>
      <c r="O34" s="65"/>
    </row>
    <row r="35" spans="1:22" ht="32" x14ac:dyDescent="0.2">
      <c r="A35" s="10" t="s">
        <v>0</v>
      </c>
      <c r="B35" s="11" t="s">
        <v>5</v>
      </c>
      <c r="C35" s="11" t="s">
        <v>6</v>
      </c>
      <c r="D35" s="11" t="s">
        <v>7</v>
      </c>
      <c r="E35" s="11" t="s">
        <v>8</v>
      </c>
      <c r="F35" s="12" t="s">
        <v>9</v>
      </c>
      <c r="G35" s="13" t="s">
        <v>10</v>
      </c>
      <c r="H35" s="7"/>
      <c r="I35" s="10" t="s">
        <v>0</v>
      </c>
      <c r="J35" s="11" t="s">
        <v>5</v>
      </c>
      <c r="K35" s="11" t="s">
        <v>6</v>
      </c>
      <c r="L35" s="11" t="s">
        <v>7</v>
      </c>
      <c r="M35" s="11" t="s">
        <v>8</v>
      </c>
      <c r="N35" s="12" t="s">
        <v>9</v>
      </c>
      <c r="O35" s="13" t="s">
        <v>10</v>
      </c>
    </row>
    <row r="36" spans="1:22" x14ac:dyDescent="0.2">
      <c r="A36" s="14" t="s">
        <v>46</v>
      </c>
      <c r="B36" s="15">
        <v>60</v>
      </c>
      <c r="C36" s="16">
        <f>B36*400</f>
        <v>24000</v>
      </c>
      <c r="D36" s="15">
        <v>2.5</v>
      </c>
      <c r="E36" s="16">
        <f>C36*D36</f>
        <v>60000</v>
      </c>
      <c r="F36" s="17">
        <f>AVERAGE(E36:E38)</f>
        <v>62000</v>
      </c>
      <c r="G36" s="18">
        <f>_xlfn.STDEV.S(E36:E38)</f>
        <v>2645.7513110645905</v>
      </c>
      <c r="H36" s="7"/>
      <c r="I36" s="24" t="s">
        <v>27</v>
      </c>
      <c r="J36" s="15">
        <v>42</v>
      </c>
      <c r="K36" s="16">
        <f>J36*400</f>
        <v>16800</v>
      </c>
      <c r="L36" s="15">
        <v>2.5</v>
      </c>
      <c r="M36" s="16">
        <f>K36*L36</f>
        <v>42000</v>
      </c>
      <c r="N36" s="25">
        <f>AVERAGE(M36:M38)</f>
        <v>44666.666666666664</v>
      </c>
      <c r="O36" s="18">
        <f>_xlfn.STDEV.S(M36:M38)</f>
        <v>3785.9388972001821</v>
      </c>
    </row>
    <row r="37" spans="1:22" x14ac:dyDescent="0.2">
      <c r="A37" s="14" t="s">
        <v>45</v>
      </c>
      <c r="B37" s="15">
        <v>61</v>
      </c>
      <c r="C37" s="16">
        <f>B37*400</f>
        <v>24400</v>
      </c>
      <c r="D37" s="15">
        <v>2.5</v>
      </c>
      <c r="E37" s="16">
        <f>C37*D37</f>
        <v>61000</v>
      </c>
      <c r="F37" s="16"/>
      <c r="G37" s="19"/>
      <c r="H37" s="7"/>
      <c r="I37" s="24" t="s">
        <v>28</v>
      </c>
      <c r="J37" s="15">
        <v>43</v>
      </c>
      <c r="K37" s="16">
        <f>J37*400</f>
        <v>17200</v>
      </c>
      <c r="L37" s="15">
        <v>2.5</v>
      </c>
      <c r="M37" s="16">
        <f>K37*L37</f>
        <v>43000</v>
      </c>
      <c r="N37" s="16"/>
      <c r="O37" s="19"/>
    </row>
    <row r="38" spans="1:22" x14ac:dyDescent="0.2">
      <c r="A38" s="20" t="s">
        <v>44</v>
      </c>
      <c r="B38" s="21">
        <v>65</v>
      </c>
      <c r="C38" s="22">
        <f>B38*400</f>
        <v>26000</v>
      </c>
      <c r="D38" s="21">
        <v>2.5</v>
      </c>
      <c r="E38" s="22">
        <f>C38*D38</f>
        <v>65000</v>
      </c>
      <c r="F38" s="22"/>
      <c r="G38" s="23"/>
      <c r="H38" s="8"/>
      <c r="I38" s="27" t="s">
        <v>29</v>
      </c>
      <c r="J38" s="21">
        <v>49</v>
      </c>
      <c r="K38" s="22">
        <f>J38*400</f>
        <v>19600</v>
      </c>
      <c r="L38" s="21">
        <v>2.5</v>
      </c>
      <c r="M38" s="22">
        <f>K38*L38</f>
        <v>49000</v>
      </c>
      <c r="N38" s="22"/>
      <c r="O38" s="23"/>
    </row>
    <row r="39" spans="1:22" x14ac:dyDescent="0.2">
      <c r="A39" s="14"/>
      <c r="B39" s="15"/>
      <c r="C39" s="16"/>
      <c r="D39" s="15"/>
      <c r="E39" s="16"/>
      <c r="F39" s="16"/>
      <c r="G39" s="16"/>
      <c r="H39" s="7"/>
      <c r="I39" s="28"/>
      <c r="J39" s="15"/>
      <c r="K39" s="16"/>
      <c r="L39" s="15"/>
      <c r="M39" s="16"/>
      <c r="N39" s="16"/>
      <c r="O39" s="19"/>
    </row>
    <row r="40" spans="1:22" x14ac:dyDescent="0.2">
      <c r="A40" s="14"/>
      <c r="B40" s="15"/>
      <c r="C40" s="16"/>
      <c r="D40" s="15"/>
      <c r="E40" s="16"/>
      <c r="F40" s="16"/>
      <c r="G40" s="16"/>
      <c r="H40" s="7"/>
      <c r="I40" s="28"/>
      <c r="J40" s="15"/>
      <c r="K40" s="16"/>
      <c r="L40" s="15"/>
      <c r="M40" s="16"/>
      <c r="N40" s="16"/>
      <c r="O40" s="19"/>
    </row>
    <row r="41" spans="1:22" x14ac:dyDescent="0.2">
      <c r="A41" s="14"/>
      <c r="B41" s="15"/>
      <c r="C41" s="16"/>
      <c r="D41" s="15"/>
      <c r="E41" s="16"/>
      <c r="F41" s="16"/>
      <c r="G41" s="16"/>
      <c r="H41" s="15"/>
      <c r="I41" s="26"/>
      <c r="J41" s="15"/>
      <c r="K41" s="16"/>
      <c r="L41" s="15"/>
      <c r="M41" s="16"/>
      <c r="N41" s="16"/>
      <c r="O41" s="19"/>
    </row>
    <row r="42" spans="1:22" ht="19" x14ac:dyDescent="0.25">
      <c r="A42" s="66" t="s">
        <v>87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8"/>
      <c r="P42" s="26"/>
      <c r="Q42" s="15"/>
      <c r="R42" s="16"/>
      <c r="S42" s="15"/>
      <c r="T42" s="16"/>
      <c r="U42" s="16"/>
      <c r="V42" s="16"/>
    </row>
    <row r="43" spans="1:22" ht="16" x14ac:dyDescent="0.2">
      <c r="A43" s="60" t="s">
        <v>11</v>
      </c>
      <c r="B43" s="61"/>
      <c r="C43" s="61"/>
      <c r="D43" s="61"/>
      <c r="E43" s="61"/>
      <c r="F43" s="61"/>
      <c r="G43" s="62"/>
      <c r="H43" s="15"/>
      <c r="I43" s="69" t="s">
        <v>25</v>
      </c>
      <c r="J43" s="70"/>
      <c r="K43" s="70"/>
      <c r="L43" s="70"/>
      <c r="M43" s="70"/>
      <c r="N43" s="70"/>
      <c r="O43" s="71"/>
    </row>
    <row r="44" spans="1:22" ht="32" x14ac:dyDescent="0.2">
      <c r="A44" s="4" t="s">
        <v>0</v>
      </c>
      <c r="B44" s="5" t="s">
        <v>5</v>
      </c>
      <c r="C44" s="5" t="s">
        <v>6</v>
      </c>
      <c r="D44" s="5" t="s">
        <v>7</v>
      </c>
      <c r="E44" s="5" t="s">
        <v>8</v>
      </c>
      <c r="F44" s="9" t="s">
        <v>9</v>
      </c>
      <c r="G44" s="6" t="s">
        <v>10</v>
      </c>
      <c r="H44" s="15"/>
      <c r="I44" s="10" t="s">
        <v>0</v>
      </c>
      <c r="J44" s="11" t="s">
        <v>5</v>
      </c>
      <c r="K44" s="11" t="s">
        <v>6</v>
      </c>
      <c r="L44" s="11" t="s">
        <v>7</v>
      </c>
      <c r="M44" s="11" t="s">
        <v>8</v>
      </c>
      <c r="N44" s="12" t="s">
        <v>9</v>
      </c>
      <c r="O44" s="13" t="s">
        <v>10</v>
      </c>
    </row>
    <row r="45" spans="1:22" x14ac:dyDescent="0.2">
      <c r="A45" s="14" t="s">
        <v>12</v>
      </c>
      <c r="B45" s="15">
        <v>2619</v>
      </c>
      <c r="C45" s="16">
        <f>B45*400</f>
        <v>1047600</v>
      </c>
      <c r="D45" s="15">
        <v>2.5</v>
      </c>
      <c r="E45" s="16">
        <f>C45*D45</f>
        <v>2619000</v>
      </c>
      <c r="F45" s="17">
        <f>AVERAGE(E45:E47)</f>
        <v>2574333.3333333335</v>
      </c>
      <c r="G45" s="18">
        <f>_xlfn.STDEV.S(E45:E47)</f>
        <v>39954.140377854877</v>
      </c>
      <c r="H45" s="15"/>
      <c r="I45" s="14" t="s">
        <v>16</v>
      </c>
      <c r="J45" s="15">
        <v>181</v>
      </c>
      <c r="K45" s="16">
        <f>J45*400</f>
        <v>72400</v>
      </c>
      <c r="L45" s="15">
        <v>2.5</v>
      </c>
      <c r="M45" s="16">
        <f>K45*L45</f>
        <v>181000</v>
      </c>
      <c r="N45" s="17">
        <f>AVERAGE(M45:M47)</f>
        <v>168333.33333333334</v>
      </c>
      <c r="O45" s="18">
        <f>_xlfn.STDEV.S(K45:K47)</f>
        <v>4548.9925624618618</v>
      </c>
    </row>
    <row r="46" spans="1:22" x14ac:dyDescent="0.2">
      <c r="A46" s="14" t="s">
        <v>13</v>
      </c>
      <c r="B46" s="15">
        <v>2562</v>
      </c>
      <c r="C46" s="16">
        <f>B46*400</f>
        <v>1024800</v>
      </c>
      <c r="D46" s="15">
        <v>2.5</v>
      </c>
      <c r="E46" s="16">
        <f>C46*D46</f>
        <v>2562000</v>
      </c>
      <c r="F46" s="16"/>
      <c r="G46" s="19"/>
      <c r="H46" s="15"/>
      <c r="I46" s="14" t="s">
        <v>17</v>
      </c>
      <c r="J46" s="15">
        <v>159</v>
      </c>
      <c r="K46" s="16">
        <f>J46*400</f>
        <v>63600</v>
      </c>
      <c r="L46" s="15">
        <v>2.5</v>
      </c>
      <c r="M46" s="16">
        <f>K46*L46</f>
        <v>159000</v>
      </c>
      <c r="N46" s="16"/>
      <c r="O46" s="19"/>
    </row>
    <row r="47" spans="1:22" x14ac:dyDescent="0.2">
      <c r="A47" s="20" t="s">
        <v>14</v>
      </c>
      <c r="B47" s="21">
        <v>2542</v>
      </c>
      <c r="C47" s="22">
        <f>B47*400</f>
        <v>1016800</v>
      </c>
      <c r="D47" s="21">
        <v>2.5</v>
      </c>
      <c r="E47" s="22">
        <f>C47*D47</f>
        <v>2542000</v>
      </c>
      <c r="F47" s="22"/>
      <c r="G47" s="23"/>
      <c r="H47" s="15"/>
      <c r="I47" s="20" t="s">
        <v>18</v>
      </c>
      <c r="J47" s="21">
        <v>165</v>
      </c>
      <c r="K47" s="22">
        <f>J47*400</f>
        <v>66000</v>
      </c>
      <c r="L47" s="21">
        <v>2.5</v>
      </c>
      <c r="M47" s="22">
        <f>K47*L47</f>
        <v>165000</v>
      </c>
      <c r="N47" s="22"/>
      <c r="O47" s="23"/>
    </row>
    <row r="48" spans="1:22" x14ac:dyDescent="0.2">
      <c r="A48" s="14"/>
      <c r="B48" s="15"/>
      <c r="C48" s="16"/>
      <c r="D48" s="15"/>
      <c r="E48" s="16"/>
      <c r="F48" s="16"/>
      <c r="G48" s="16"/>
      <c r="H48" s="15"/>
      <c r="I48" s="26"/>
      <c r="J48" s="15"/>
      <c r="K48" s="16"/>
      <c r="L48" s="15"/>
      <c r="M48" s="16"/>
      <c r="N48" s="16"/>
      <c r="O48" s="19"/>
    </row>
    <row r="49" spans="1:15" ht="15.75" customHeight="1" x14ac:dyDescent="0.2">
      <c r="A49" s="60" t="s">
        <v>47</v>
      </c>
      <c r="B49" s="61"/>
      <c r="C49" s="61"/>
      <c r="D49" s="61"/>
      <c r="E49" s="61"/>
      <c r="F49" s="61"/>
      <c r="G49" s="62"/>
      <c r="H49" s="7"/>
      <c r="I49" s="63" t="s">
        <v>15</v>
      </c>
      <c r="J49" s="64"/>
      <c r="K49" s="64"/>
      <c r="L49" s="64"/>
      <c r="M49" s="64"/>
      <c r="N49" s="64"/>
      <c r="O49" s="65"/>
    </row>
    <row r="50" spans="1:15" ht="32" x14ac:dyDescent="0.2">
      <c r="A50" s="10" t="s">
        <v>0</v>
      </c>
      <c r="B50" s="11" t="s">
        <v>5</v>
      </c>
      <c r="C50" s="11" t="s">
        <v>6</v>
      </c>
      <c r="D50" s="11" t="s">
        <v>7</v>
      </c>
      <c r="E50" s="11" t="s">
        <v>8</v>
      </c>
      <c r="F50" s="12" t="s">
        <v>9</v>
      </c>
      <c r="G50" s="13" t="s">
        <v>10</v>
      </c>
      <c r="H50" s="7"/>
      <c r="I50" s="10" t="s">
        <v>0</v>
      </c>
      <c r="J50" s="11" t="s">
        <v>5</v>
      </c>
      <c r="K50" s="11" t="s">
        <v>6</v>
      </c>
      <c r="L50" s="11" t="s">
        <v>7</v>
      </c>
      <c r="M50" s="11" t="s">
        <v>8</v>
      </c>
      <c r="N50" s="12" t="s">
        <v>9</v>
      </c>
      <c r="O50" s="13" t="s">
        <v>10</v>
      </c>
    </row>
    <row r="51" spans="1:15" x14ac:dyDescent="0.2">
      <c r="A51" s="14" t="s">
        <v>46</v>
      </c>
      <c r="B51" s="15">
        <v>60</v>
      </c>
      <c r="C51" s="16">
        <f>B51*400</f>
        <v>24000</v>
      </c>
      <c r="D51" s="15">
        <v>2.5</v>
      </c>
      <c r="E51" s="16">
        <f>C51*D51</f>
        <v>60000</v>
      </c>
      <c r="F51" s="17">
        <f>AVERAGE(E51:E53)</f>
        <v>63333.333333333336</v>
      </c>
      <c r="G51" s="18">
        <f>_xlfn.STDEV.S(E51:E53)</f>
        <v>3511.8845842842461</v>
      </c>
      <c r="H51" s="7"/>
      <c r="I51" s="24" t="s">
        <v>27</v>
      </c>
      <c r="J51" s="15">
        <v>50</v>
      </c>
      <c r="K51" s="16">
        <f>J51*400</f>
        <v>20000</v>
      </c>
      <c r="L51" s="15">
        <v>2.5</v>
      </c>
      <c r="M51" s="16">
        <f>K51*L51</f>
        <v>50000</v>
      </c>
      <c r="N51" s="25">
        <f>AVERAGE(M51:M53)</f>
        <v>55333.333333333336</v>
      </c>
      <c r="O51" s="18">
        <f>_xlfn.STDEV.S(M51:M53)</f>
        <v>4725.8156262526081</v>
      </c>
    </row>
    <row r="52" spans="1:15" x14ac:dyDescent="0.2">
      <c r="A52" s="14" t="s">
        <v>45</v>
      </c>
      <c r="B52" s="15">
        <v>67</v>
      </c>
      <c r="C52" s="16">
        <f>B52*400</f>
        <v>26800</v>
      </c>
      <c r="D52" s="15">
        <v>2.5</v>
      </c>
      <c r="E52" s="16">
        <f>C52*D52</f>
        <v>67000</v>
      </c>
      <c r="F52" s="16"/>
      <c r="G52" s="19"/>
      <c r="H52" s="7"/>
      <c r="I52" s="24" t="s">
        <v>28</v>
      </c>
      <c r="J52" s="15">
        <v>57</v>
      </c>
      <c r="K52" s="16">
        <f>J52*400</f>
        <v>22800</v>
      </c>
      <c r="L52" s="15">
        <v>2.5</v>
      </c>
      <c r="M52" s="16">
        <f>K52*L52</f>
        <v>57000</v>
      </c>
      <c r="N52" s="16"/>
      <c r="O52" s="19"/>
    </row>
    <row r="53" spans="1:15" x14ac:dyDescent="0.2">
      <c r="A53" s="20" t="s">
        <v>44</v>
      </c>
      <c r="B53" s="21">
        <v>63</v>
      </c>
      <c r="C53" s="22">
        <f>B53*400</f>
        <v>25200</v>
      </c>
      <c r="D53" s="21">
        <v>2.5</v>
      </c>
      <c r="E53" s="22">
        <f>C53*D53</f>
        <v>63000</v>
      </c>
      <c r="F53" s="22"/>
      <c r="G53" s="23"/>
      <c r="H53" s="8"/>
      <c r="I53" s="27" t="s">
        <v>29</v>
      </c>
      <c r="J53" s="21">
        <v>59</v>
      </c>
      <c r="K53" s="22">
        <f>J53*400</f>
        <v>23600</v>
      </c>
      <c r="L53" s="21">
        <v>2.5</v>
      </c>
      <c r="M53" s="22">
        <f>K53*L53</f>
        <v>59000</v>
      </c>
      <c r="N53" s="22"/>
      <c r="O53" s="23"/>
    </row>
    <row r="54" spans="1:15" x14ac:dyDescent="0.2">
      <c r="A54" s="14"/>
      <c r="B54" s="15"/>
      <c r="C54" s="16"/>
      <c r="D54" s="15"/>
      <c r="E54" s="16"/>
      <c r="F54" s="16"/>
      <c r="G54" s="16"/>
      <c r="H54" s="15"/>
      <c r="I54" s="26"/>
      <c r="J54" s="15"/>
      <c r="K54" s="16"/>
      <c r="L54" s="15"/>
      <c r="M54" s="16"/>
      <c r="N54" s="16"/>
      <c r="O54" s="19"/>
    </row>
    <row r="55" spans="1:15" x14ac:dyDescent="0.2">
      <c r="B55" t="s">
        <v>36</v>
      </c>
      <c r="C55" t="s">
        <v>37</v>
      </c>
      <c r="D55" t="s">
        <v>38</v>
      </c>
    </row>
    <row r="56" spans="1:15" x14ac:dyDescent="0.2">
      <c r="A56" s="29" t="s">
        <v>42</v>
      </c>
      <c r="B56" s="17">
        <v>280000</v>
      </c>
      <c r="C56" s="17">
        <v>1296666.6666666667</v>
      </c>
      <c r="D56" s="17">
        <v>2574333.3333333335</v>
      </c>
      <c r="F56" t="s">
        <v>39</v>
      </c>
      <c r="G56" s="17">
        <v>30333.333333333332</v>
      </c>
    </row>
    <row r="57" spans="1:15" x14ac:dyDescent="0.2">
      <c r="A57" s="29" t="s">
        <v>60</v>
      </c>
      <c r="B57" s="17">
        <v>39000</v>
      </c>
      <c r="C57" s="17">
        <v>62000</v>
      </c>
      <c r="D57" s="17">
        <v>63333.333333333336</v>
      </c>
    </row>
    <row r="58" spans="1:15" x14ac:dyDescent="0.2">
      <c r="A58" s="30" t="s">
        <v>41</v>
      </c>
      <c r="B58" s="25">
        <v>35000</v>
      </c>
      <c r="C58" s="25">
        <v>44666.666666666664</v>
      </c>
      <c r="D58" s="25">
        <v>55333.333333333336</v>
      </c>
    </row>
    <row r="59" spans="1:15" x14ac:dyDescent="0.2">
      <c r="A59" s="29" t="s">
        <v>25</v>
      </c>
      <c r="B59" s="17">
        <v>54333.333333333336</v>
      </c>
      <c r="C59" s="17">
        <v>122000</v>
      </c>
      <c r="D59" s="17">
        <v>168333.33333333334</v>
      </c>
    </row>
    <row r="61" spans="1:15" x14ac:dyDescent="0.2">
      <c r="A61" s="33" t="s">
        <v>43</v>
      </c>
    </row>
    <row r="62" spans="1:15" x14ac:dyDescent="0.2">
      <c r="B62" t="s">
        <v>36</v>
      </c>
      <c r="C62" t="s">
        <v>37</v>
      </c>
      <c r="D62" t="s">
        <v>38</v>
      </c>
    </row>
    <row r="63" spans="1:15" x14ac:dyDescent="0.2">
      <c r="A63" s="29" t="s">
        <v>42</v>
      </c>
      <c r="B63" s="34">
        <f>B56/G56</f>
        <v>9.2307692307692317</v>
      </c>
      <c r="C63" s="34">
        <f>C56/G56</f>
        <v>42.747252747252752</v>
      </c>
      <c r="D63" s="34">
        <f>D56/G56</f>
        <v>84.868131868131883</v>
      </c>
    </row>
    <row r="64" spans="1:15" x14ac:dyDescent="0.2">
      <c r="A64" s="29" t="s">
        <v>60</v>
      </c>
      <c r="B64" s="34">
        <f>B57/G56</f>
        <v>1.2857142857142858</v>
      </c>
      <c r="C64" s="34">
        <f>C57/G56</f>
        <v>2.0439560439560442</v>
      </c>
      <c r="D64" s="34">
        <f>D57/G56</f>
        <v>2.087912087912088</v>
      </c>
    </row>
    <row r="65" spans="1:11" x14ac:dyDescent="0.2">
      <c r="A65" s="30" t="s">
        <v>41</v>
      </c>
      <c r="B65" s="35">
        <f>B58/G56</f>
        <v>1.153846153846154</v>
      </c>
      <c r="C65" s="35">
        <f>C58/G56</f>
        <v>1.4725274725274724</v>
      </c>
      <c r="D65" s="35">
        <f>D58/G56</f>
        <v>1.8241758241758244</v>
      </c>
    </row>
    <row r="66" spans="1:11" x14ac:dyDescent="0.2">
      <c r="A66" s="29" t="s">
        <v>25</v>
      </c>
      <c r="B66" s="34">
        <f>B59/G56</f>
        <v>1.7912087912087913</v>
      </c>
      <c r="C66" s="34">
        <f>C59/G56</f>
        <v>4.0219780219780219</v>
      </c>
      <c r="D66" s="34">
        <f>D59/G56</f>
        <v>5.5494505494505502</v>
      </c>
    </row>
    <row r="67" spans="1:11" x14ac:dyDescent="0.2">
      <c r="A67" s="7"/>
      <c r="B67" s="55"/>
      <c r="C67" s="55"/>
      <c r="D67" s="55"/>
      <c r="E67" s="56"/>
      <c r="F67" s="56"/>
      <c r="G67" s="56"/>
      <c r="H67" s="57"/>
      <c r="I67" s="57"/>
      <c r="J67" s="57"/>
      <c r="K67" s="7"/>
    </row>
    <row r="68" spans="1:11" x14ac:dyDescent="0.2">
      <c r="A68" s="58"/>
      <c r="B68" s="34"/>
      <c r="C68" s="34"/>
      <c r="D68" s="34"/>
      <c r="E68" s="34"/>
      <c r="F68" s="34"/>
      <c r="G68" s="34"/>
      <c r="H68" s="34"/>
      <c r="I68" s="34"/>
      <c r="J68" s="34"/>
      <c r="K68" s="7"/>
    </row>
    <row r="69" spans="1:11" x14ac:dyDescent="0.2">
      <c r="A69" s="58"/>
      <c r="B69" s="34"/>
      <c r="C69" s="34"/>
      <c r="D69" s="34"/>
      <c r="E69" s="34"/>
      <c r="F69" s="34"/>
      <c r="G69" s="34"/>
      <c r="H69" s="34"/>
      <c r="I69" s="34"/>
      <c r="J69" s="34"/>
      <c r="K69" s="7"/>
    </row>
    <row r="70" spans="1:11" x14ac:dyDescent="0.2">
      <c r="A70" s="59"/>
      <c r="B70" s="35"/>
      <c r="C70" s="35"/>
      <c r="D70" s="35"/>
      <c r="E70" s="35"/>
      <c r="F70" s="35"/>
      <c r="G70" s="35"/>
      <c r="H70" s="35"/>
      <c r="I70" s="35"/>
      <c r="J70" s="35"/>
      <c r="K70" s="7"/>
    </row>
    <row r="71" spans="1:11" x14ac:dyDescent="0.2">
      <c r="A71" s="58"/>
      <c r="B71" s="34"/>
      <c r="C71" s="34"/>
      <c r="D71" s="34"/>
      <c r="E71" s="34"/>
      <c r="F71" s="34"/>
      <c r="G71" s="34"/>
      <c r="H71" s="34"/>
      <c r="I71" s="34"/>
      <c r="J71" s="34"/>
      <c r="K71" s="7"/>
    </row>
    <row r="72" spans="1:11" x14ac:dyDescent="0.2">
      <c r="A72" s="7"/>
      <c r="B72" s="55"/>
      <c r="C72" s="55"/>
      <c r="D72" s="55"/>
      <c r="E72" s="56"/>
      <c r="F72" s="56"/>
      <c r="G72" s="56"/>
      <c r="H72" s="7"/>
      <c r="I72" s="7"/>
      <c r="J72" s="7"/>
      <c r="K72" s="7"/>
    </row>
    <row r="73" spans="1:11" x14ac:dyDescent="0.2">
      <c r="A73" s="58"/>
      <c r="B73" s="34"/>
      <c r="C73" s="34"/>
      <c r="D73" s="34"/>
      <c r="E73" s="34"/>
      <c r="F73" s="34"/>
      <c r="G73" s="34"/>
      <c r="H73" s="7"/>
      <c r="I73" s="7"/>
      <c r="J73" s="7"/>
      <c r="K73" s="7"/>
    </row>
    <row r="74" spans="1:11" x14ac:dyDescent="0.2">
      <c r="A74" s="58"/>
      <c r="B74" s="34"/>
      <c r="C74" s="34"/>
      <c r="D74" s="34"/>
      <c r="E74" s="34"/>
      <c r="F74" s="34"/>
      <c r="G74" s="34"/>
      <c r="H74" s="7"/>
      <c r="I74" s="7"/>
      <c r="J74" s="7"/>
      <c r="K74" s="7"/>
    </row>
    <row r="75" spans="1:11" x14ac:dyDescent="0.2">
      <c r="A75" s="59"/>
      <c r="B75" s="35"/>
      <c r="C75" s="35"/>
      <c r="D75" s="35"/>
      <c r="E75" s="35"/>
      <c r="F75" s="35"/>
      <c r="G75" s="35"/>
      <c r="H75" s="7"/>
      <c r="I75" s="7"/>
      <c r="J75" s="7"/>
      <c r="K75" s="7"/>
    </row>
    <row r="76" spans="1:11" x14ac:dyDescent="0.2">
      <c r="A76" s="58"/>
      <c r="B76" s="34"/>
      <c r="C76" s="34"/>
      <c r="D76" s="34"/>
      <c r="E76" s="34"/>
      <c r="F76" s="34"/>
      <c r="G76" s="34"/>
      <c r="H76" s="7"/>
      <c r="I76" s="7"/>
      <c r="J76" s="7"/>
      <c r="K76" s="7"/>
    </row>
    <row r="77" spans="1:1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</sheetData>
  <mergeCells count="17">
    <mergeCell ref="A19:G19"/>
    <mergeCell ref="I19:O19"/>
    <mergeCell ref="A5:G5"/>
    <mergeCell ref="A6:G6"/>
    <mergeCell ref="A12:O12"/>
    <mergeCell ref="A13:G13"/>
    <mergeCell ref="I13:O13"/>
    <mergeCell ref="A43:G43"/>
    <mergeCell ref="I43:O43"/>
    <mergeCell ref="A49:G49"/>
    <mergeCell ref="I49:O49"/>
    <mergeCell ref="A27:O27"/>
    <mergeCell ref="A28:G28"/>
    <mergeCell ref="I28:O28"/>
    <mergeCell ref="A34:G34"/>
    <mergeCell ref="I34:O34"/>
    <mergeCell ref="A42:O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F6DC-FDB8-B047-B8BC-2615CC6C0C10}">
  <dimension ref="A2:S64"/>
  <sheetViews>
    <sheetView tabSelected="1" topLeftCell="A21" workbookViewId="0">
      <selection activeCell="E46" sqref="E46:E48"/>
    </sheetView>
  </sheetViews>
  <sheetFormatPr baseColWidth="10" defaultRowHeight="21" x14ac:dyDescent="0.25"/>
  <cols>
    <col min="1" max="1" width="28" style="36" customWidth="1"/>
    <col min="2" max="2" width="10.33203125" style="36" bestFit="1" customWidth="1"/>
    <col min="3" max="3" width="13" style="36" bestFit="1" customWidth="1"/>
    <col min="4" max="4" width="28.33203125" style="36" customWidth="1"/>
    <col min="5" max="5" width="13" style="36" bestFit="1" customWidth="1"/>
    <col min="6" max="6" width="13.1640625" style="36" bestFit="1" customWidth="1"/>
    <col min="7" max="7" width="27.33203125" style="36" customWidth="1"/>
    <col min="8" max="8" width="14.6640625" style="36" customWidth="1"/>
    <col min="9" max="9" width="6.83203125" style="36" customWidth="1"/>
    <col min="10" max="10" width="27.6640625" style="36" customWidth="1"/>
    <col min="11" max="11" width="15" style="36" customWidth="1"/>
    <col min="12" max="12" width="10" style="36" customWidth="1"/>
    <col min="13" max="13" width="31.33203125" style="36" customWidth="1"/>
    <col min="14" max="14" width="15.33203125" style="36" customWidth="1"/>
    <col min="15" max="15" width="8.1640625" style="36" customWidth="1"/>
    <col min="16" max="16" width="21" style="36" customWidth="1"/>
    <col min="17" max="17" width="14.5" style="36" customWidth="1"/>
    <col min="18" max="18" width="24.83203125" style="36" customWidth="1"/>
    <col min="19" max="19" width="16" style="36" customWidth="1"/>
    <col min="20" max="20" width="10.83203125" style="36"/>
    <col min="21" max="21" width="15.83203125" style="36" customWidth="1"/>
    <col min="22" max="22" width="18.5" style="36" customWidth="1"/>
    <col min="23" max="16384" width="10.83203125" style="36"/>
  </cols>
  <sheetData>
    <row r="2" spans="1:19" x14ac:dyDescent="0.25">
      <c r="A2" s="36" t="s">
        <v>61</v>
      </c>
    </row>
    <row r="3" spans="1:19" x14ac:dyDescent="0.25">
      <c r="A3" s="37" t="s">
        <v>1</v>
      </c>
    </row>
    <row r="4" spans="1:19" ht="44" x14ac:dyDescent="0.25">
      <c r="A4" s="38" t="s">
        <v>0</v>
      </c>
      <c r="B4" s="39" t="s">
        <v>5</v>
      </c>
    </row>
    <row r="5" spans="1:19" x14ac:dyDescent="0.25">
      <c r="A5" s="40" t="s">
        <v>2</v>
      </c>
      <c r="B5" s="41">
        <v>32</v>
      </c>
    </row>
    <row r="6" spans="1:19" x14ac:dyDescent="0.25">
      <c r="A6" s="40" t="s">
        <v>3</v>
      </c>
      <c r="B6" s="41">
        <v>29</v>
      </c>
    </row>
    <row r="7" spans="1:19" x14ac:dyDescent="0.25">
      <c r="A7" s="42" t="s">
        <v>4</v>
      </c>
      <c r="B7" s="41">
        <v>30</v>
      </c>
    </row>
    <row r="9" spans="1:19" x14ac:dyDescent="0.25">
      <c r="A9" s="43" t="s">
        <v>62</v>
      </c>
      <c r="G9" s="44" t="s">
        <v>62</v>
      </c>
      <c r="H9" s="45"/>
      <c r="I9" s="45"/>
      <c r="J9" s="45"/>
      <c r="K9" s="45"/>
      <c r="O9" s="45"/>
      <c r="P9" s="45"/>
      <c r="Q9" s="45"/>
    </row>
    <row r="10" spans="1:19" x14ac:dyDescent="0.25">
      <c r="A10" s="37" t="s">
        <v>11</v>
      </c>
      <c r="D10" s="46" t="s">
        <v>63</v>
      </c>
      <c r="F10" s="47"/>
      <c r="G10" s="37" t="s">
        <v>11</v>
      </c>
      <c r="H10" s="45"/>
      <c r="I10" s="45"/>
      <c r="J10" s="46" t="s">
        <v>63</v>
      </c>
      <c r="K10" s="45"/>
      <c r="N10" s="48" t="s">
        <v>64</v>
      </c>
      <c r="O10" s="48" t="s">
        <v>36</v>
      </c>
      <c r="P10" s="48" t="s">
        <v>37</v>
      </c>
      <c r="Q10" s="48" t="s">
        <v>38</v>
      </c>
      <c r="S10" s="48"/>
    </row>
    <row r="11" spans="1:19" ht="44" x14ac:dyDescent="0.25">
      <c r="A11" s="39" t="s">
        <v>0</v>
      </c>
      <c r="B11" s="39" t="s">
        <v>5</v>
      </c>
      <c r="C11" s="41"/>
      <c r="D11" s="39" t="s">
        <v>0</v>
      </c>
      <c r="E11" s="39" t="s">
        <v>5</v>
      </c>
      <c r="G11" s="49" t="s">
        <v>0</v>
      </c>
      <c r="H11" s="49" t="s">
        <v>5</v>
      </c>
      <c r="I11" s="45"/>
      <c r="J11" s="49" t="s">
        <v>0</v>
      </c>
      <c r="K11" s="49" t="s">
        <v>5</v>
      </c>
      <c r="M11" s="48" t="s">
        <v>11</v>
      </c>
      <c r="N11" s="36">
        <v>1</v>
      </c>
      <c r="O11" s="36">
        <f>AVERAGE(H12:H14)</f>
        <v>9.2458812260536405</v>
      </c>
      <c r="P11" s="36">
        <f>AVERAGE(H26:H28)</f>
        <v>42.80555555555555</v>
      </c>
      <c r="Q11" s="36">
        <f>AVERAGE(H40:H42)</f>
        <v>84.973970306513408</v>
      </c>
    </row>
    <row r="12" spans="1:19" x14ac:dyDescent="0.25">
      <c r="A12" s="46" t="s">
        <v>12</v>
      </c>
      <c r="B12" s="41">
        <v>292</v>
      </c>
      <c r="C12" s="41"/>
      <c r="D12" s="46" t="s">
        <v>65</v>
      </c>
      <c r="E12" s="36">
        <v>47</v>
      </c>
      <c r="G12" s="37" t="s">
        <v>12</v>
      </c>
      <c r="H12" s="45">
        <f>B12/B5</f>
        <v>9.125</v>
      </c>
      <c r="I12" s="45"/>
      <c r="J12" s="37" t="s">
        <v>66</v>
      </c>
      <c r="K12" s="45">
        <f>E12/B5</f>
        <v>1.46875</v>
      </c>
      <c r="M12" s="50" t="s">
        <v>63</v>
      </c>
      <c r="N12" s="36">
        <v>1</v>
      </c>
      <c r="O12" s="36">
        <f>AVERAGE(K12:K14)</f>
        <v>1.8014607279693486</v>
      </c>
      <c r="P12" s="36">
        <f>AVERAGE(K26:K28)</f>
        <v>4.0335967432950186</v>
      </c>
      <c r="Q12" s="36">
        <f>AVERAGE(K40:K42)</f>
        <v>5.5463362068965516</v>
      </c>
    </row>
    <row r="13" spans="1:19" x14ac:dyDescent="0.25">
      <c r="A13" s="46" t="s">
        <v>13</v>
      </c>
      <c r="B13" s="41">
        <v>301</v>
      </c>
      <c r="C13" s="41"/>
      <c r="D13" s="46" t="s">
        <v>17</v>
      </c>
      <c r="E13" s="36">
        <v>60</v>
      </c>
      <c r="G13" s="37" t="s">
        <v>13</v>
      </c>
      <c r="H13" s="45">
        <f>B13/B6</f>
        <v>10.379310344827585</v>
      </c>
      <c r="I13" s="45"/>
      <c r="J13" s="37" t="s">
        <v>67</v>
      </c>
      <c r="K13" s="45">
        <f>E13/B6</f>
        <v>2.0689655172413794</v>
      </c>
      <c r="M13" s="48" t="s">
        <v>47</v>
      </c>
      <c r="N13" s="36">
        <v>1</v>
      </c>
      <c r="O13" s="36">
        <f>AVERAGE(H18:H20)</f>
        <v>1.2789990421455939</v>
      </c>
      <c r="P13" s="36">
        <f>AVERAGE(H32:H34)</f>
        <v>2.0483716475095783</v>
      </c>
      <c r="Q13" s="36">
        <f>AVERAGE(H46:H48)</f>
        <v>2.0951149425287352</v>
      </c>
    </row>
    <row r="14" spans="1:19" x14ac:dyDescent="0.25">
      <c r="A14" s="46" t="s">
        <v>14</v>
      </c>
      <c r="B14" s="41">
        <v>247</v>
      </c>
      <c r="C14" s="41"/>
      <c r="D14" s="46" t="s">
        <v>18</v>
      </c>
      <c r="E14" s="36">
        <v>56</v>
      </c>
      <c r="G14" s="37" t="s">
        <v>14</v>
      </c>
      <c r="H14" s="45">
        <f>B14/B7</f>
        <v>8.2333333333333325</v>
      </c>
      <c r="I14" s="45"/>
      <c r="J14" s="37" t="s">
        <v>68</v>
      </c>
      <c r="K14" s="45">
        <f>E14/B7</f>
        <v>1.8666666666666667</v>
      </c>
      <c r="M14" s="48" t="s">
        <v>69</v>
      </c>
      <c r="N14" s="36">
        <v>1</v>
      </c>
      <c r="O14" s="36">
        <f>AVERAGE(K18:K20)</f>
        <v>1.1536877394636014</v>
      </c>
      <c r="P14" s="36">
        <f>AVERAGE(K32:K34)</f>
        <v>1.4761973180076629</v>
      </c>
      <c r="Q14" s="36">
        <f>AVERAGE(K46:K48)</f>
        <v>1.8315613026819924</v>
      </c>
    </row>
    <row r="15" spans="1:19" x14ac:dyDescent="0.25">
      <c r="A15" s="42"/>
      <c r="B15" s="41"/>
      <c r="C15" s="51"/>
      <c r="D15" s="41"/>
      <c r="E15" s="51"/>
      <c r="F15" s="51"/>
      <c r="G15" s="37"/>
      <c r="H15" s="45"/>
      <c r="I15" s="52"/>
      <c r="J15" s="45"/>
      <c r="K15" s="52"/>
      <c r="O15" s="45"/>
      <c r="P15" s="45"/>
      <c r="Q15" s="45"/>
    </row>
    <row r="16" spans="1:19" x14ac:dyDescent="0.25">
      <c r="A16" s="37" t="s">
        <v>47</v>
      </c>
      <c r="D16" s="53" t="s">
        <v>69</v>
      </c>
      <c r="G16" s="37" t="s">
        <v>47</v>
      </c>
      <c r="H16" s="45"/>
      <c r="I16" s="45"/>
      <c r="J16" s="53" t="s">
        <v>69</v>
      </c>
      <c r="K16" s="45"/>
      <c r="O16" s="45"/>
      <c r="P16" s="45"/>
      <c r="Q16" s="45"/>
    </row>
    <row r="17" spans="1:17" ht="44" x14ac:dyDescent="0.25">
      <c r="A17" s="39" t="s">
        <v>0</v>
      </c>
      <c r="B17" s="39" t="s">
        <v>5</v>
      </c>
      <c r="D17" s="39" t="s">
        <v>0</v>
      </c>
      <c r="E17" s="39" t="s">
        <v>5</v>
      </c>
      <c r="G17" s="49" t="s">
        <v>0</v>
      </c>
      <c r="H17" s="49" t="s">
        <v>5</v>
      </c>
      <c r="I17" s="45"/>
      <c r="J17" s="49" t="s">
        <v>0</v>
      </c>
      <c r="K17" s="49" t="s">
        <v>5</v>
      </c>
      <c r="O17" s="45"/>
      <c r="P17" s="45"/>
      <c r="Q17" s="45"/>
    </row>
    <row r="18" spans="1:17" x14ac:dyDescent="0.25">
      <c r="A18" s="37" t="s">
        <v>75</v>
      </c>
      <c r="B18" s="36">
        <v>49</v>
      </c>
      <c r="D18" s="54" t="s">
        <v>70</v>
      </c>
      <c r="E18" s="50">
        <v>38</v>
      </c>
      <c r="G18" s="37" t="s">
        <v>79</v>
      </c>
      <c r="H18" s="45">
        <f>B18/B5</f>
        <v>1.53125</v>
      </c>
      <c r="I18" s="45"/>
      <c r="J18" s="53" t="s">
        <v>70</v>
      </c>
      <c r="K18" s="45">
        <f>E18/B5</f>
        <v>1.1875</v>
      </c>
      <c r="M18" s="37"/>
      <c r="N18" s="45"/>
      <c r="O18" s="45"/>
      <c r="P18" s="45"/>
      <c r="Q18" s="45"/>
    </row>
    <row r="19" spans="1:17" x14ac:dyDescent="0.25">
      <c r="A19" s="37" t="s">
        <v>76</v>
      </c>
      <c r="B19" s="36">
        <v>34</v>
      </c>
      <c r="D19" s="54" t="s">
        <v>71</v>
      </c>
      <c r="E19" s="50">
        <v>35</v>
      </c>
      <c r="G19" s="37" t="s">
        <v>80</v>
      </c>
      <c r="H19" s="45">
        <f>B19/B6</f>
        <v>1.1724137931034482</v>
      </c>
      <c r="I19" s="45"/>
      <c r="J19" s="53" t="s">
        <v>71</v>
      </c>
      <c r="K19" s="45">
        <f>E19/B6</f>
        <v>1.2068965517241379</v>
      </c>
      <c r="O19" s="45"/>
    </row>
    <row r="20" spans="1:17" x14ac:dyDescent="0.25">
      <c r="A20" s="37" t="s">
        <v>77</v>
      </c>
      <c r="B20" s="36">
        <v>34</v>
      </c>
      <c r="D20" s="54" t="s">
        <v>72</v>
      </c>
      <c r="E20" s="50">
        <v>32</v>
      </c>
      <c r="G20" s="37" t="s">
        <v>81</v>
      </c>
      <c r="H20" s="45">
        <f>B20/B7</f>
        <v>1.1333333333333333</v>
      </c>
      <c r="I20" s="45"/>
      <c r="J20" s="53" t="s">
        <v>72</v>
      </c>
      <c r="K20" s="45">
        <f>E20/B7</f>
        <v>1.0666666666666667</v>
      </c>
      <c r="O20" s="45"/>
    </row>
    <row r="21" spans="1:17" x14ac:dyDescent="0.25">
      <c r="A21" s="37"/>
      <c r="D21" s="46"/>
      <c r="E21" s="50"/>
      <c r="H21" s="41"/>
      <c r="I21" s="46"/>
      <c r="J21" s="37"/>
      <c r="K21" s="45"/>
      <c r="L21" s="45"/>
    </row>
    <row r="22" spans="1:17" x14ac:dyDescent="0.25">
      <c r="I22" s="46"/>
    </row>
    <row r="23" spans="1:17" x14ac:dyDescent="0.25">
      <c r="A23" s="43" t="s">
        <v>73</v>
      </c>
      <c r="G23" s="43" t="s">
        <v>73</v>
      </c>
      <c r="Q23" s="41"/>
    </row>
    <row r="24" spans="1:17" x14ac:dyDescent="0.25">
      <c r="A24" s="37" t="s">
        <v>11</v>
      </c>
      <c r="D24" s="46" t="s">
        <v>63</v>
      </c>
      <c r="G24" s="37" t="s">
        <v>11</v>
      </c>
      <c r="J24" s="46" t="s">
        <v>63</v>
      </c>
      <c r="Q24" s="41"/>
    </row>
    <row r="25" spans="1:17" ht="44" x14ac:dyDescent="0.25">
      <c r="A25" s="39" t="s">
        <v>0</v>
      </c>
      <c r="B25" s="39" t="s">
        <v>5</v>
      </c>
      <c r="D25" s="39" t="s">
        <v>0</v>
      </c>
      <c r="E25" s="39" t="s">
        <v>5</v>
      </c>
      <c r="G25" s="39" t="s">
        <v>0</v>
      </c>
      <c r="H25" s="39" t="s">
        <v>5</v>
      </c>
      <c r="I25" s="41"/>
      <c r="J25" s="39" t="s">
        <v>0</v>
      </c>
      <c r="K25" s="39" t="s">
        <v>5</v>
      </c>
      <c r="Q25" s="41"/>
    </row>
    <row r="26" spans="1:17" x14ac:dyDescent="0.25">
      <c r="A26" s="46" t="s">
        <v>12</v>
      </c>
      <c r="B26" s="41">
        <v>1304</v>
      </c>
      <c r="D26" s="46" t="s">
        <v>65</v>
      </c>
      <c r="E26" s="36">
        <v>121</v>
      </c>
      <c r="G26" s="46" t="s">
        <v>12</v>
      </c>
      <c r="H26" s="41">
        <f>B26/B5</f>
        <v>40.75</v>
      </c>
      <c r="I26" s="41"/>
      <c r="J26" s="46" t="s">
        <v>65</v>
      </c>
      <c r="K26" s="36">
        <f>E26/B5</f>
        <v>3.78125</v>
      </c>
      <c r="O26" s="47"/>
      <c r="Q26" s="41"/>
    </row>
    <row r="27" spans="1:17" x14ac:dyDescent="0.25">
      <c r="A27" s="46" t="s">
        <v>13</v>
      </c>
      <c r="B27" s="41">
        <v>1276</v>
      </c>
      <c r="D27" s="46" t="s">
        <v>65</v>
      </c>
      <c r="E27" s="36">
        <v>133</v>
      </c>
      <c r="G27" s="46" t="s">
        <v>13</v>
      </c>
      <c r="H27" s="41">
        <f>B27/B6</f>
        <v>44</v>
      </c>
      <c r="I27" s="41"/>
      <c r="J27" s="46" t="s">
        <v>17</v>
      </c>
      <c r="K27" s="36">
        <f>E27/B6</f>
        <v>4.5862068965517242</v>
      </c>
    </row>
    <row r="28" spans="1:17" x14ac:dyDescent="0.25">
      <c r="A28" s="46" t="s">
        <v>14</v>
      </c>
      <c r="B28" s="41">
        <v>1310</v>
      </c>
      <c r="D28" s="46" t="s">
        <v>65</v>
      </c>
      <c r="E28" s="36">
        <v>112</v>
      </c>
      <c r="G28" s="46" t="s">
        <v>14</v>
      </c>
      <c r="H28" s="41">
        <f>B28/B7</f>
        <v>43.666666666666664</v>
      </c>
      <c r="I28" s="41"/>
      <c r="J28" s="46" t="s">
        <v>18</v>
      </c>
      <c r="K28" s="36">
        <f>E28/B7</f>
        <v>3.7333333333333334</v>
      </c>
    </row>
    <row r="29" spans="1:17" x14ac:dyDescent="0.25">
      <c r="A29" s="42"/>
      <c r="B29" s="41"/>
      <c r="D29" s="41"/>
      <c r="E29" s="51"/>
      <c r="F29" s="47"/>
      <c r="G29" s="42"/>
      <c r="H29" s="41"/>
      <c r="I29" s="51"/>
    </row>
    <row r="30" spans="1:17" x14ac:dyDescent="0.25">
      <c r="A30" s="37" t="s">
        <v>47</v>
      </c>
      <c r="C30" s="41"/>
      <c r="D30" s="53" t="s">
        <v>69</v>
      </c>
      <c r="G30" s="37" t="s">
        <v>47</v>
      </c>
      <c r="J30" s="53" t="s">
        <v>69</v>
      </c>
    </row>
    <row r="31" spans="1:17" ht="44" x14ac:dyDescent="0.25">
      <c r="A31" s="39" t="s">
        <v>0</v>
      </c>
      <c r="B31" s="39" t="s">
        <v>5</v>
      </c>
      <c r="C31" s="41"/>
      <c r="D31" s="39" t="s">
        <v>0</v>
      </c>
      <c r="E31" s="39" t="s">
        <v>5</v>
      </c>
      <c r="G31" s="39" t="s">
        <v>0</v>
      </c>
      <c r="H31" s="39" t="s">
        <v>5</v>
      </c>
      <c r="J31" s="39" t="s">
        <v>0</v>
      </c>
      <c r="K31" s="39" t="s">
        <v>5</v>
      </c>
      <c r="O31" s="51"/>
    </row>
    <row r="32" spans="1:17" x14ac:dyDescent="0.25">
      <c r="A32" s="37" t="s">
        <v>75</v>
      </c>
      <c r="B32" s="41">
        <v>60</v>
      </c>
      <c r="C32" s="41"/>
      <c r="D32" s="54" t="s">
        <v>70</v>
      </c>
      <c r="E32" s="50">
        <v>42</v>
      </c>
      <c r="G32" s="37" t="s">
        <v>79</v>
      </c>
      <c r="H32" s="36">
        <f>B32/B5</f>
        <v>1.875</v>
      </c>
      <c r="J32" s="54" t="s">
        <v>70</v>
      </c>
      <c r="K32" s="50">
        <f>E32/B5</f>
        <v>1.3125</v>
      </c>
    </row>
    <row r="33" spans="1:17" x14ac:dyDescent="0.25">
      <c r="A33" s="37" t="s">
        <v>76</v>
      </c>
      <c r="B33" s="41">
        <v>61</v>
      </c>
      <c r="C33" s="41"/>
      <c r="D33" s="54" t="s">
        <v>71</v>
      </c>
      <c r="E33" s="50">
        <v>43</v>
      </c>
      <c r="G33" s="37" t="s">
        <v>80</v>
      </c>
      <c r="H33" s="36">
        <f>B33/B6</f>
        <v>2.103448275862069</v>
      </c>
      <c r="J33" s="54" t="s">
        <v>71</v>
      </c>
      <c r="K33" s="50">
        <f>E33/B6</f>
        <v>1.4827586206896552</v>
      </c>
      <c r="M33" s="46"/>
      <c r="N33" s="50"/>
    </row>
    <row r="34" spans="1:17" x14ac:dyDescent="0.25">
      <c r="A34" s="37" t="s">
        <v>77</v>
      </c>
      <c r="B34" s="41">
        <v>65</v>
      </c>
      <c r="C34" s="41"/>
      <c r="D34" s="54" t="s">
        <v>72</v>
      </c>
      <c r="E34" s="50">
        <v>49</v>
      </c>
      <c r="F34" s="51"/>
      <c r="G34" s="37" t="s">
        <v>81</v>
      </c>
      <c r="H34" s="36">
        <f>B34/B7</f>
        <v>2.1666666666666665</v>
      </c>
      <c r="J34" s="54" t="s">
        <v>72</v>
      </c>
      <c r="K34" s="50">
        <f>E34/B7</f>
        <v>1.6333333333333333</v>
      </c>
    </row>
    <row r="35" spans="1:17" x14ac:dyDescent="0.25">
      <c r="A35" s="37"/>
      <c r="D35" s="46"/>
      <c r="E35" s="50"/>
      <c r="H35" s="41"/>
      <c r="J35" s="41"/>
    </row>
    <row r="37" spans="1:17" x14ac:dyDescent="0.25">
      <c r="A37" s="43" t="s">
        <v>74</v>
      </c>
      <c r="G37" s="43" t="s">
        <v>74</v>
      </c>
    </row>
    <row r="38" spans="1:17" x14ac:dyDescent="0.25">
      <c r="A38" s="37" t="s">
        <v>11</v>
      </c>
      <c r="D38" s="46" t="s">
        <v>63</v>
      </c>
      <c r="G38" s="37" t="s">
        <v>11</v>
      </c>
      <c r="J38" s="46" t="s">
        <v>63</v>
      </c>
      <c r="Q38" s="41"/>
    </row>
    <row r="39" spans="1:17" ht="44" x14ac:dyDescent="0.25">
      <c r="A39" s="39" t="s">
        <v>0</v>
      </c>
      <c r="B39" s="39" t="s">
        <v>5</v>
      </c>
      <c r="D39" s="39" t="s">
        <v>0</v>
      </c>
      <c r="E39" s="39" t="s">
        <v>5</v>
      </c>
      <c r="G39" s="39" t="s">
        <v>0</v>
      </c>
      <c r="H39" s="39" t="s">
        <v>5</v>
      </c>
      <c r="I39" s="41"/>
      <c r="J39" s="39" t="s">
        <v>0</v>
      </c>
      <c r="K39" s="39" t="s">
        <v>5</v>
      </c>
      <c r="Q39" s="41"/>
    </row>
    <row r="40" spans="1:17" x14ac:dyDescent="0.25">
      <c r="A40" s="46" t="s">
        <v>12</v>
      </c>
      <c r="B40" s="41">
        <v>2619</v>
      </c>
      <c r="D40" s="46" t="s">
        <v>66</v>
      </c>
      <c r="E40" s="36">
        <v>181</v>
      </c>
      <c r="G40" s="46" t="s">
        <v>12</v>
      </c>
      <c r="H40" s="41">
        <f>B40/B5</f>
        <v>81.84375</v>
      </c>
      <c r="I40" s="41"/>
      <c r="J40" s="46" t="s">
        <v>66</v>
      </c>
      <c r="K40" s="36">
        <f>E40/B5</f>
        <v>5.65625</v>
      </c>
      <c r="Q40" s="41"/>
    </row>
    <row r="41" spans="1:17" x14ac:dyDescent="0.25">
      <c r="A41" s="46" t="s">
        <v>13</v>
      </c>
      <c r="B41" s="41">
        <v>2562</v>
      </c>
      <c r="D41" s="46" t="s">
        <v>67</v>
      </c>
      <c r="E41" s="36">
        <v>159</v>
      </c>
      <c r="G41" s="46" t="s">
        <v>13</v>
      </c>
      <c r="H41" s="41">
        <f>B41/B6</f>
        <v>88.34482758620689</v>
      </c>
      <c r="I41" s="41"/>
      <c r="J41" s="46" t="s">
        <v>67</v>
      </c>
      <c r="K41" s="36">
        <f>E41/B6</f>
        <v>5.4827586206896548</v>
      </c>
      <c r="Q41" s="41"/>
    </row>
    <row r="42" spans="1:17" x14ac:dyDescent="0.25">
      <c r="A42" s="46" t="s">
        <v>14</v>
      </c>
      <c r="B42" s="41">
        <v>2542</v>
      </c>
      <c r="D42" s="46" t="s">
        <v>68</v>
      </c>
      <c r="E42" s="36">
        <v>165</v>
      </c>
      <c r="G42" s="46" t="s">
        <v>14</v>
      </c>
      <c r="H42" s="41">
        <f>B42/B7</f>
        <v>84.733333333333334</v>
      </c>
      <c r="I42" s="41"/>
      <c r="J42" s="46" t="s">
        <v>68</v>
      </c>
      <c r="K42" s="36">
        <f>E42/B7</f>
        <v>5.5</v>
      </c>
      <c r="Q42" s="41"/>
    </row>
    <row r="43" spans="1:17" x14ac:dyDescent="0.25">
      <c r="A43" s="42"/>
      <c r="B43" s="41"/>
      <c r="D43" s="41"/>
      <c r="E43" s="51"/>
      <c r="G43" s="42"/>
      <c r="H43" s="41"/>
      <c r="I43" s="51"/>
      <c r="Q43" s="41"/>
    </row>
    <row r="44" spans="1:17" x14ac:dyDescent="0.25">
      <c r="A44" s="37" t="s">
        <v>78</v>
      </c>
      <c r="C44" s="41"/>
      <c r="D44" s="53" t="s">
        <v>69</v>
      </c>
      <c r="G44" s="37" t="s">
        <v>47</v>
      </c>
      <c r="J44" s="53" t="s">
        <v>69</v>
      </c>
      <c r="Q44" s="41"/>
    </row>
    <row r="45" spans="1:17" ht="44" x14ac:dyDescent="0.25">
      <c r="A45" s="39" t="s">
        <v>0</v>
      </c>
      <c r="B45" s="39" t="s">
        <v>5</v>
      </c>
      <c r="C45" s="41"/>
      <c r="D45" s="39" t="s">
        <v>0</v>
      </c>
      <c r="E45" s="39" t="s">
        <v>5</v>
      </c>
      <c r="G45" s="39" t="s">
        <v>0</v>
      </c>
      <c r="H45" s="39" t="s">
        <v>5</v>
      </c>
      <c r="J45" s="39" t="s">
        <v>0</v>
      </c>
      <c r="K45" s="39" t="s">
        <v>5</v>
      </c>
      <c r="O45" s="47"/>
      <c r="Q45" s="41"/>
    </row>
    <row r="46" spans="1:17" x14ac:dyDescent="0.25">
      <c r="A46" s="37" t="s">
        <v>79</v>
      </c>
      <c r="B46" s="36">
        <v>60</v>
      </c>
      <c r="C46" s="41"/>
      <c r="D46" s="54" t="s">
        <v>70</v>
      </c>
      <c r="E46" s="36">
        <v>50</v>
      </c>
      <c r="G46" s="37" t="s">
        <v>79</v>
      </c>
      <c r="H46" s="36">
        <f>B46/B5</f>
        <v>1.875</v>
      </c>
      <c r="J46" s="54" t="s">
        <v>70</v>
      </c>
      <c r="K46" s="36">
        <f>E46/B5</f>
        <v>1.5625</v>
      </c>
      <c r="Q46" s="41"/>
    </row>
    <row r="47" spans="1:17" x14ac:dyDescent="0.25">
      <c r="A47" s="37" t="s">
        <v>80</v>
      </c>
      <c r="B47" s="36">
        <v>67</v>
      </c>
      <c r="C47" s="41"/>
      <c r="D47" s="54" t="s">
        <v>71</v>
      </c>
      <c r="E47" s="36">
        <v>57</v>
      </c>
      <c r="G47" s="37" t="s">
        <v>80</v>
      </c>
      <c r="H47" s="36">
        <f>B47/B6</f>
        <v>2.3103448275862069</v>
      </c>
      <c r="J47" s="54" t="s">
        <v>71</v>
      </c>
      <c r="K47" s="36">
        <f>E47/B6</f>
        <v>1.9655172413793103</v>
      </c>
      <c r="Q47" s="41"/>
    </row>
    <row r="48" spans="1:17" x14ac:dyDescent="0.25">
      <c r="A48" s="37" t="s">
        <v>81</v>
      </c>
      <c r="B48" s="36">
        <v>63</v>
      </c>
      <c r="C48" s="51"/>
      <c r="D48" s="54" t="s">
        <v>72</v>
      </c>
      <c r="E48" s="36">
        <v>59</v>
      </c>
      <c r="F48" s="47"/>
      <c r="G48" s="37" t="s">
        <v>81</v>
      </c>
      <c r="H48" s="36">
        <f>B48/B7</f>
        <v>2.1</v>
      </c>
      <c r="J48" s="54" t="s">
        <v>72</v>
      </c>
      <c r="K48" s="36">
        <f>E48/B7</f>
        <v>1.9666666666666666</v>
      </c>
    </row>
    <row r="49" spans="1:15" x14ac:dyDescent="0.25">
      <c r="A49" s="37"/>
      <c r="D49" s="46"/>
      <c r="E49" s="50"/>
      <c r="H49" s="41"/>
      <c r="J49" s="37"/>
    </row>
    <row r="50" spans="1:15" x14ac:dyDescent="0.25">
      <c r="O50" s="51"/>
    </row>
    <row r="53" spans="1:15" x14ac:dyDescent="0.25">
      <c r="F53" s="51"/>
    </row>
    <row r="59" spans="1:15" x14ac:dyDescent="0.25">
      <c r="I59" s="46"/>
    </row>
    <row r="60" spans="1:15" x14ac:dyDescent="0.25">
      <c r="I60" s="46"/>
    </row>
    <row r="61" spans="1:15" x14ac:dyDescent="0.25">
      <c r="I61" s="46"/>
    </row>
    <row r="62" spans="1:15" x14ac:dyDescent="0.25">
      <c r="I62" s="46"/>
    </row>
    <row r="63" spans="1:15" x14ac:dyDescent="0.25">
      <c r="I63" s="46"/>
    </row>
    <row r="64" spans="1:15" x14ac:dyDescent="0.25">
      <c r="I64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Rep1</vt:lpstr>
      <vt:lpstr>Rep2</vt:lpstr>
      <vt:lpstr>Sheet2</vt:lpstr>
      <vt:lpstr>Rep3</vt:lpstr>
      <vt:lpstr>Sheet3</vt:lpstr>
      <vt:lpstr>Rep4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Marie Demas</dc:creator>
  <cp:lastModifiedBy>Microsoft Office User</cp:lastModifiedBy>
  <dcterms:created xsi:type="dcterms:W3CDTF">2018-09-24T18:58:03Z</dcterms:created>
  <dcterms:modified xsi:type="dcterms:W3CDTF">2019-09-04T22:32:01Z</dcterms:modified>
</cp:coreProperties>
</file>