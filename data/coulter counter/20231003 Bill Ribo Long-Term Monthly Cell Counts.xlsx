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weihe/Documents/VT/R01/Data/"/>
    </mc:Choice>
  </mc:AlternateContent>
  <xr:revisionPtr revIDLastSave="0" documentId="13_ncr:1_{7B52F386-2F67-7C48-846A-8B7DAD7891FB}" xr6:coauthVersionLast="47" xr6:coauthVersionMax="47" xr10:uidLastSave="{00000000-0000-0000-0000-000000000000}"/>
  <bookViews>
    <workbookView xWindow="1900" yWindow="740" windowWidth="36500" windowHeight="20700" activeTab="1" xr2:uid="{00000000-000D-0000-FFFF-FFFF00000000}"/>
  </bookViews>
  <sheets>
    <sheet name="Sheet1" sheetId="1" r:id="rId1"/>
    <sheet name="Sheet2"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84" i="2" l="1"/>
  <c r="B183" i="2"/>
  <c r="B182" i="2"/>
  <c r="B179" i="2"/>
  <c r="B178" i="2"/>
  <c r="B177" i="2"/>
  <c r="A184" i="2"/>
  <c r="A183" i="2"/>
  <c r="A182" i="2"/>
  <c r="A179" i="2"/>
  <c r="A178" i="2"/>
  <c r="A177" i="2"/>
  <c r="B172" i="2"/>
  <c r="B171" i="2"/>
  <c r="B170" i="2"/>
  <c r="A172" i="2"/>
  <c r="A171" i="2"/>
  <c r="A170" i="2"/>
  <c r="B166" i="2"/>
  <c r="B165" i="2"/>
  <c r="B164" i="2"/>
  <c r="A166" i="2"/>
  <c r="A165" i="2"/>
  <c r="A164" i="2"/>
  <c r="K184" i="1"/>
  <c r="M184" i="1" s="1"/>
  <c r="C184" i="1"/>
  <c r="E184" i="1" s="1"/>
  <c r="K183" i="1"/>
  <c r="M183" i="1" s="1"/>
  <c r="C183" i="1"/>
  <c r="E183" i="1" s="1"/>
  <c r="K182" i="1"/>
  <c r="M182" i="1" s="1"/>
  <c r="N182" i="1" s="1"/>
  <c r="C182" i="1"/>
  <c r="E182" i="1" s="1"/>
  <c r="K179" i="1"/>
  <c r="M179" i="1" s="1"/>
  <c r="C179" i="1"/>
  <c r="E179" i="1" s="1"/>
  <c r="K178" i="1"/>
  <c r="M178" i="1" s="1"/>
  <c r="C178" i="1"/>
  <c r="E178" i="1" s="1"/>
  <c r="K177" i="1"/>
  <c r="C177" i="1"/>
  <c r="E177" i="1" s="1"/>
  <c r="A153" i="2"/>
  <c r="B160" i="2"/>
  <c r="B159" i="2"/>
  <c r="B158" i="2"/>
  <c r="A160" i="2"/>
  <c r="A159" i="2"/>
  <c r="A158" i="2"/>
  <c r="B155" i="2"/>
  <c r="B154" i="2"/>
  <c r="B153" i="2"/>
  <c r="A155" i="2"/>
  <c r="A154" i="2"/>
  <c r="K171" i="1"/>
  <c r="M171" i="1" s="1"/>
  <c r="K170" i="1"/>
  <c r="M170" i="1" s="1"/>
  <c r="K169" i="1"/>
  <c r="O169" i="1" s="1"/>
  <c r="K166" i="1"/>
  <c r="M166" i="1" s="1"/>
  <c r="C166" i="1"/>
  <c r="E166" i="1" s="1"/>
  <c r="K165" i="1"/>
  <c r="M165" i="1" s="1"/>
  <c r="C165" i="1"/>
  <c r="E165" i="1" s="1"/>
  <c r="K164" i="1"/>
  <c r="O164" i="1" s="1"/>
  <c r="C164" i="1"/>
  <c r="E164" i="1" s="1"/>
  <c r="K155" i="1"/>
  <c r="M155" i="1" s="1"/>
  <c r="C155" i="1"/>
  <c r="E155" i="1" s="1"/>
  <c r="K154" i="1"/>
  <c r="M154" i="1" s="1"/>
  <c r="C154" i="1"/>
  <c r="E154" i="1" s="1"/>
  <c r="K153" i="1"/>
  <c r="O153" i="1" s="1"/>
  <c r="C153" i="1"/>
  <c r="G153" i="1" s="1"/>
  <c r="K150" i="1"/>
  <c r="M150" i="1" s="1"/>
  <c r="C150" i="1"/>
  <c r="E150" i="1" s="1"/>
  <c r="K149" i="1"/>
  <c r="M149" i="1" s="1"/>
  <c r="C149" i="1"/>
  <c r="E149" i="1" s="1"/>
  <c r="O148" i="1"/>
  <c r="K148" i="1"/>
  <c r="M148" i="1" s="1"/>
  <c r="C148" i="1"/>
  <c r="E148" i="1" s="1"/>
  <c r="B148" i="2"/>
  <c r="B147" i="2"/>
  <c r="B146" i="2"/>
  <c r="A148" i="2"/>
  <c r="A147" i="2"/>
  <c r="A146" i="2"/>
  <c r="A149" i="2" s="1"/>
  <c r="B142" i="2"/>
  <c r="B141" i="2"/>
  <c r="B140" i="2"/>
  <c r="A142" i="2"/>
  <c r="A141" i="2"/>
  <c r="A140" i="2"/>
  <c r="B134" i="2"/>
  <c r="B133" i="2"/>
  <c r="B132" i="2"/>
  <c r="A134" i="2"/>
  <c r="A133" i="2"/>
  <c r="A132" i="2"/>
  <c r="B129" i="2"/>
  <c r="B128" i="2"/>
  <c r="B127" i="2"/>
  <c r="A129" i="2"/>
  <c r="A128" i="2"/>
  <c r="A127" i="2"/>
  <c r="B120" i="2"/>
  <c r="B119" i="2"/>
  <c r="B118" i="2"/>
  <c r="A120" i="2"/>
  <c r="A119" i="2"/>
  <c r="A118" i="2"/>
  <c r="B114" i="2"/>
  <c r="B113" i="2"/>
  <c r="B112" i="2"/>
  <c r="A114" i="2"/>
  <c r="A113" i="2"/>
  <c r="A112" i="2"/>
  <c r="K143" i="1"/>
  <c r="M143" i="1" s="1"/>
  <c r="C143" i="1"/>
  <c r="K142" i="1"/>
  <c r="M142" i="1" s="1"/>
  <c r="C142" i="1"/>
  <c r="O141" i="1"/>
  <c r="K141" i="1"/>
  <c r="M141" i="1" s="1"/>
  <c r="N141" i="1" s="1"/>
  <c r="C141" i="1"/>
  <c r="K138" i="1"/>
  <c r="M138" i="1" s="1"/>
  <c r="C138" i="1"/>
  <c r="E138" i="1" s="1"/>
  <c r="K137" i="1"/>
  <c r="M137" i="1" s="1"/>
  <c r="C137" i="1"/>
  <c r="E137" i="1" s="1"/>
  <c r="O136" i="1"/>
  <c r="K136" i="1"/>
  <c r="M136" i="1" s="1"/>
  <c r="C136" i="1"/>
  <c r="E136" i="1" s="1"/>
  <c r="K129" i="1"/>
  <c r="M129" i="1" s="1"/>
  <c r="E129" i="1"/>
  <c r="C129" i="1"/>
  <c r="K128" i="1"/>
  <c r="M128" i="1" s="1"/>
  <c r="C128" i="1"/>
  <c r="E128" i="1" s="1"/>
  <c r="K127" i="1"/>
  <c r="M127" i="1" s="1"/>
  <c r="N127" i="1" s="1"/>
  <c r="G127" i="1"/>
  <c r="C127" i="1"/>
  <c r="E127" i="1" s="1"/>
  <c r="K124" i="1"/>
  <c r="M124" i="1" s="1"/>
  <c r="C124" i="1"/>
  <c r="E124" i="1" s="1"/>
  <c r="K123" i="1"/>
  <c r="M123" i="1" s="1"/>
  <c r="E123" i="1"/>
  <c r="C123" i="1"/>
  <c r="K122" i="1"/>
  <c r="M122" i="1" s="1"/>
  <c r="N122" i="1" s="1"/>
  <c r="C122" i="1"/>
  <c r="E122" i="1" s="1"/>
  <c r="M117" i="1"/>
  <c r="K117" i="1"/>
  <c r="C117" i="1"/>
  <c r="E117" i="1" s="1"/>
  <c r="K116" i="1"/>
  <c r="M116" i="1" s="1"/>
  <c r="C116" i="1"/>
  <c r="E116" i="1" s="1"/>
  <c r="O115" i="1"/>
  <c r="M115" i="1"/>
  <c r="N115" i="1" s="1"/>
  <c r="K115" i="1"/>
  <c r="C115" i="1"/>
  <c r="G115" i="1" s="1"/>
  <c r="K112" i="1"/>
  <c r="M112" i="1" s="1"/>
  <c r="C112" i="1"/>
  <c r="E112" i="1" s="1"/>
  <c r="M111" i="1"/>
  <c r="K111" i="1"/>
  <c r="C111" i="1"/>
  <c r="E111" i="1" s="1"/>
  <c r="K110" i="1"/>
  <c r="O110" i="1" s="1"/>
  <c r="E110" i="1"/>
  <c r="C110" i="1"/>
  <c r="B106" i="2"/>
  <c r="B105" i="2"/>
  <c r="B104" i="2"/>
  <c r="A106" i="2"/>
  <c r="A104" i="2"/>
  <c r="A105" i="2"/>
  <c r="B101" i="2"/>
  <c r="B100" i="2"/>
  <c r="B99" i="2"/>
  <c r="A101" i="2"/>
  <c r="A100" i="2"/>
  <c r="A99" i="2"/>
  <c r="B92" i="2"/>
  <c r="B91" i="2"/>
  <c r="B90" i="2"/>
  <c r="A92" i="2"/>
  <c r="A91" i="2"/>
  <c r="A90" i="2"/>
  <c r="B86" i="2"/>
  <c r="B85" i="2"/>
  <c r="B84" i="2"/>
  <c r="A86" i="2"/>
  <c r="A85" i="2"/>
  <c r="A84" i="2"/>
  <c r="K104" i="1"/>
  <c r="M104" i="1" s="1"/>
  <c r="C104" i="1"/>
  <c r="E104" i="1" s="1"/>
  <c r="K103" i="1"/>
  <c r="M103" i="1" s="1"/>
  <c r="C103" i="1"/>
  <c r="E103" i="1" s="1"/>
  <c r="O102" i="1"/>
  <c r="K102" i="1"/>
  <c r="M102" i="1" s="1"/>
  <c r="N102" i="1" s="1"/>
  <c r="C102" i="1"/>
  <c r="E102" i="1" s="1"/>
  <c r="F102" i="1" s="1"/>
  <c r="K99" i="1"/>
  <c r="M99" i="1" s="1"/>
  <c r="C99" i="1"/>
  <c r="E99" i="1" s="1"/>
  <c r="K98" i="1"/>
  <c r="M98" i="1" s="1"/>
  <c r="C98" i="1"/>
  <c r="E98" i="1" s="1"/>
  <c r="K97" i="1"/>
  <c r="O97" i="1" s="1"/>
  <c r="C97" i="1"/>
  <c r="E97" i="1" s="1"/>
  <c r="K92" i="1"/>
  <c r="M92" i="1" s="1"/>
  <c r="C92" i="1"/>
  <c r="E92" i="1" s="1"/>
  <c r="K91" i="1"/>
  <c r="M91" i="1" s="1"/>
  <c r="C91" i="1"/>
  <c r="E91" i="1" s="1"/>
  <c r="K90" i="1"/>
  <c r="O90" i="1" s="1"/>
  <c r="C90" i="1"/>
  <c r="E90" i="1" s="1"/>
  <c r="F90" i="1" s="1"/>
  <c r="K87" i="1"/>
  <c r="M87" i="1" s="1"/>
  <c r="C87" i="1"/>
  <c r="E87" i="1" s="1"/>
  <c r="K86" i="1"/>
  <c r="M86" i="1" s="1"/>
  <c r="C86" i="1"/>
  <c r="E86" i="1" s="1"/>
  <c r="K85" i="1"/>
  <c r="O85" i="1" s="1"/>
  <c r="C85" i="1"/>
  <c r="E85" i="1" s="1"/>
  <c r="B78" i="2"/>
  <c r="B77" i="2"/>
  <c r="B76" i="2"/>
  <c r="A78" i="2"/>
  <c r="A77" i="2"/>
  <c r="A76" i="2"/>
  <c r="B73" i="2"/>
  <c r="B72" i="2"/>
  <c r="B71" i="2"/>
  <c r="A73" i="2"/>
  <c r="A72" i="2"/>
  <c r="A71" i="2"/>
  <c r="B64" i="2"/>
  <c r="B63" i="2"/>
  <c r="B62" i="2"/>
  <c r="A64" i="2"/>
  <c r="A63" i="2"/>
  <c r="A62" i="2"/>
  <c r="B58" i="2"/>
  <c r="B57" i="2"/>
  <c r="B56" i="2"/>
  <c r="A58" i="2"/>
  <c r="A57" i="2"/>
  <c r="A56" i="2"/>
  <c r="M77" i="1"/>
  <c r="K77" i="1"/>
  <c r="C77" i="1"/>
  <c r="E77" i="1" s="1"/>
  <c r="K76" i="1"/>
  <c r="M76" i="1" s="1"/>
  <c r="N75" i="1" s="1"/>
  <c r="C76" i="1"/>
  <c r="E76" i="1" s="1"/>
  <c r="O75" i="1"/>
  <c r="M75" i="1"/>
  <c r="K75" i="1"/>
  <c r="C75" i="1"/>
  <c r="G75" i="1" s="1"/>
  <c r="K72" i="1"/>
  <c r="M72" i="1" s="1"/>
  <c r="C72" i="1"/>
  <c r="E72" i="1" s="1"/>
  <c r="M71" i="1"/>
  <c r="K71" i="1"/>
  <c r="C71" i="1"/>
  <c r="E71" i="1" s="1"/>
  <c r="K70" i="1"/>
  <c r="O70" i="1" s="1"/>
  <c r="E70" i="1"/>
  <c r="C70" i="1"/>
  <c r="K65" i="1"/>
  <c r="M65" i="1" s="1"/>
  <c r="C65" i="1"/>
  <c r="E65" i="1" s="1"/>
  <c r="K64" i="1"/>
  <c r="M64" i="1" s="1"/>
  <c r="C64" i="1"/>
  <c r="E64" i="1" s="1"/>
  <c r="K63" i="1"/>
  <c r="O63" i="1" s="1"/>
  <c r="C63" i="1"/>
  <c r="G63" i="1" s="1"/>
  <c r="K60" i="1"/>
  <c r="M60" i="1" s="1"/>
  <c r="E60" i="1"/>
  <c r="C60" i="1"/>
  <c r="K59" i="1"/>
  <c r="M59" i="1" s="1"/>
  <c r="C59" i="1"/>
  <c r="E59" i="1" s="1"/>
  <c r="K58" i="1"/>
  <c r="O58" i="1" s="1"/>
  <c r="C58" i="1"/>
  <c r="E58" i="1" s="1"/>
  <c r="B50" i="2"/>
  <c r="B49" i="2"/>
  <c r="B48" i="2"/>
  <c r="A50" i="2"/>
  <c r="A49" i="2"/>
  <c r="A48" i="2"/>
  <c r="B45" i="2"/>
  <c r="B44" i="2"/>
  <c r="B43" i="2"/>
  <c r="A45" i="2"/>
  <c r="A44" i="2"/>
  <c r="A43" i="2"/>
  <c r="B36" i="2"/>
  <c r="B35" i="2"/>
  <c r="B34" i="2"/>
  <c r="A36" i="2"/>
  <c r="A35" i="2"/>
  <c r="A34" i="2"/>
  <c r="B30" i="2"/>
  <c r="B29" i="2"/>
  <c r="B28" i="2"/>
  <c r="A30" i="2"/>
  <c r="A29" i="2"/>
  <c r="A28" i="2"/>
  <c r="A31" i="2" s="1"/>
  <c r="M53" i="1"/>
  <c r="K53" i="1"/>
  <c r="C53" i="1"/>
  <c r="E53" i="1" s="1"/>
  <c r="K52" i="1"/>
  <c r="M52" i="1" s="1"/>
  <c r="C52" i="1"/>
  <c r="E52" i="1" s="1"/>
  <c r="O51" i="1"/>
  <c r="M51" i="1"/>
  <c r="K51" i="1"/>
  <c r="C51" i="1"/>
  <c r="G51" i="1" s="1"/>
  <c r="K48" i="1"/>
  <c r="M48" i="1" s="1"/>
  <c r="C48" i="1"/>
  <c r="E48" i="1" s="1"/>
  <c r="M47" i="1"/>
  <c r="K47" i="1"/>
  <c r="C47" i="1"/>
  <c r="E47" i="1" s="1"/>
  <c r="K46" i="1"/>
  <c r="O46" i="1" s="1"/>
  <c r="E46" i="1"/>
  <c r="C46" i="1"/>
  <c r="K41" i="1"/>
  <c r="M41" i="1" s="1"/>
  <c r="C41" i="1"/>
  <c r="E41" i="1" s="1"/>
  <c r="K40" i="1"/>
  <c r="M40" i="1" s="1"/>
  <c r="C40" i="1"/>
  <c r="E40" i="1" s="1"/>
  <c r="O39" i="1"/>
  <c r="K39" i="1"/>
  <c r="M39" i="1" s="1"/>
  <c r="C39" i="1"/>
  <c r="G39" i="1" s="1"/>
  <c r="K36" i="1"/>
  <c r="M36" i="1" s="1"/>
  <c r="E36" i="1"/>
  <c r="C36" i="1"/>
  <c r="K35" i="1"/>
  <c r="M35" i="1" s="1"/>
  <c r="C35" i="1"/>
  <c r="E35" i="1" s="1"/>
  <c r="K34" i="1"/>
  <c r="O34" i="1" s="1"/>
  <c r="C34" i="1"/>
  <c r="E34" i="1" s="1"/>
  <c r="B22" i="2"/>
  <c r="B21" i="2"/>
  <c r="B20" i="2"/>
  <c r="A22" i="2"/>
  <c r="A21" i="2"/>
  <c r="A20" i="2"/>
  <c r="B17" i="2"/>
  <c r="B16" i="2"/>
  <c r="B15" i="2"/>
  <c r="A17" i="2"/>
  <c r="A16" i="2"/>
  <c r="A15" i="2"/>
  <c r="B8" i="2"/>
  <c r="B7" i="2"/>
  <c r="B6" i="2"/>
  <c r="B5" i="2"/>
  <c r="B4" i="2"/>
  <c r="B3" i="2"/>
  <c r="B302" i="2"/>
  <c r="A302" i="2"/>
  <c r="B301" i="2"/>
  <c r="A301" i="2"/>
  <c r="B300" i="2"/>
  <c r="A300" i="2"/>
  <c r="B297" i="2"/>
  <c r="A297" i="2"/>
  <c r="B296" i="2"/>
  <c r="A296" i="2"/>
  <c r="B295" i="2"/>
  <c r="E295" i="2" s="1"/>
  <c r="A295" i="2"/>
  <c r="B289" i="2"/>
  <c r="A289" i="2"/>
  <c r="B288" i="2"/>
  <c r="A288" i="2"/>
  <c r="B287" i="2"/>
  <c r="A287" i="2"/>
  <c r="B284" i="2"/>
  <c r="A284" i="2"/>
  <c r="B283" i="2"/>
  <c r="A283" i="2"/>
  <c r="B282" i="2"/>
  <c r="A282" i="2"/>
  <c r="B278" i="2"/>
  <c r="A278" i="2"/>
  <c r="B277" i="2"/>
  <c r="A277" i="2"/>
  <c r="B276" i="2"/>
  <c r="A276" i="2"/>
  <c r="B273" i="2"/>
  <c r="A273" i="2"/>
  <c r="B272" i="2"/>
  <c r="A272" i="2"/>
  <c r="B271" i="2"/>
  <c r="A271" i="2"/>
  <c r="B266" i="2"/>
  <c r="A266" i="2"/>
  <c r="B265" i="2"/>
  <c r="A265" i="2"/>
  <c r="B264" i="2"/>
  <c r="A264" i="2"/>
  <c r="B261" i="2"/>
  <c r="A261" i="2"/>
  <c r="B260" i="2"/>
  <c r="A260" i="2"/>
  <c r="B259" i="2"/>
  <c r="A259" i="2"/>
  <c r="B255" i="2"/>
  <c r="A255" i="2"/>
  <c r="B254" i="2"/>
  <c r="A254" i="2"/>
  <c r="B253" i="2"/>
  <c r="A253" i="2"/>
  <c r="B250" i="2"/>
  <c r="A250" i="2"/>
  <c r="B249" i="2"/>
  <c r="A249" i="2"/>
  <c r="B248" i="2"/>
  <c r="A248" i="2"/>
  <c r="B243" i="2"/>
  <c r="A243" i="2"/>
  <c r="B242" i="2"/>
  <c r="A242" i="2"/>
  <c r="B241" i="2"/>
  <c r="A241" i="2"/>
  <c r="B238" i="2"/>
  <c r="A238" i="2"/>
  <c r="B237" i="2"/>
  <c r="A237" i="2"/>
  <c r="B236" i="2"/>
  <c r="A236" i="2"/>
  <c r="B232" i="2"/>
  <c r="A232" i="2"/>
  <c r="B231" i="2"/>
  <c r="A231" i="2"/>
  <c r="B230" i="2"/>
  <c r="A230" i="2"/>
  <c r="B227" i="2"/>
  <c r="A227" i="2"/>
  <c r="B226" i="2"/>
  <c r="A226" i="2"/>
  <c r="B225" i="2"/>
  <c r="A225" i="2"/>
  <c r="B220" i="2"/>
  <c r="A220" i="2"/>
  <c r="B219" i="2"/>
  <c r="A219" i="2"/>
  <c r="B218" i="2"/>
  <c r="A218" i="2"/>
  <c r="B214" i="2"/>
  <c r="A214" i="2"/>
  <c r="B213" i="2"/>
  <c r="A213" i="2"/>
  <c r="B212" i="2"/>
  <c r="A212" i="2"/>
  <c r="B208" i="2"/>
  <c r="A208" i="2"/>
  <c r="B207" i="2"/>
  <c r="A207" i="2"/>
  <c r="B206" i="2"/>
  <c r="A206" i="2"/>
  <c r="B203" i="2"/>
  <c r="A203" i="2"/>
  <c r="B202" i="2"/>
  <c r="A202" i="2"/>
  <c r="B201" i="2"/>
  <c r="A201" i="2"/>
  <c r="B196" i="2"/>
  <c r="A196" i="2"/>
  <c r="B195" i="2"/>
  <c r="A195" i="2"/>
  <c r="B194" i="2"/>
  <c r="A194" i="2"/>
  <c r="B190" i="2"/>
  <c r="A190" i="2"/>
  <c r="B189" i="2"/>
  <c r="A189" i="2"/>
  <c r="B188" i="2"/>
  <c r="A188" i="2"/>
  <c r="D160" i="2" l="1"/>
  <c r="D158" i="2"/>
  <c r="E153" i="2"/>
  <c r="D159" i="2"/>
  <c r="F182" i="1"/>
  <c r="O177" i="1"/>
  <c r="G177" i="1"/>
  <c r="F177" i="1"/>
  <c r="O182" i="1"/>
  <c r="M177" i="1"/>
  <c r="N177" i="1" s="1"/>
  <c r="G182" i="1"/>
  <c r="G164" i="1"/>
  <c r="F164" i="1"/>
  <c r="G148" i="1"/>
  <c r="F148" i="1"/>
  <c r="N148" i="1"/>
  <c r="E153" i="1"/>
  <c r="F153" i="1" s="1"/>
  <c r="M164" i="1"/>
  <c r="N164" i="1" s="1"/>
  <c r="M169" i="1"/>
  <c r="N169" i="1" s="1"/>
  <c r="M153" i="1"/>
  <c r="N153" i="1" s="1"/>
  <c r="F136" i="1"/>
  <c r="G136" i="1"/>
  <c r="F127" i="1"/>
  <c r="G122" i="1"/>
  <c r="F122" i="1"/>
  <c r="G110" i="1"/>
  <c r="N136" i="1"/>
  <c r="O127" i="1"/>
  <c r="M110" i="1"/>
  <c r="N110" i="1" s="1"/>
  <c r="E115" i="1"/>
  <c r="F115" i="1" s="1"/>
  <c r="O122" i="1"/>
  <c r="F110" i="1"/>
  <c r="G85" i="1"/>
  <c r="F85" i="1"/>
  <c r="F97" i="1"/>
  <c r="G97" i="1"/>
  <c r="M85" i="1"/>
  <c r="N85" i="1" s="1"/>
  <c r="G102" i="1"/>
  <c r="G90" i="1"/>
  <c r="M97" i="1"/>
  <c r="N97" i="1" s="1"/>
  <c r="M90" i="1"/>
  <c r="N90" i="1" s="1"/>
  <c r="G58" i="1"/>
  <c r="F58" i="1"/>
  <c r="G70" i="1"/>
  <c r="F70" i="1"/>
  <c r="E63" i="1"/>
  <c r="F63" i="1" s="1"/>
  <c r="M58" i="1"/>
  <c r="N58" i="1" s="1"/>
  <c r="M70" i="1"/>
  <c r="N70" i="1" s="1"/>
  <c r="E75" i="1"/>
  <c r="F75" i="1" s="1"/>
  <c r="M63" i="1"/>
  <c r="N63" i="1" s="1"/>
  <c r="F34" i="1"/>
  <c r="G34" i="1"/>
  <c r="N51" i="1"/>
  <c r="G46" i="1"/>
  <c r="N39" i="1"/>
  <c r="F46" i="1"/>
  <c r="M34" i="1"/>
  <c r="N34" i="1" s="1"/>
  <c r="E39" i="1"/>
  <c r="F39" i="1" s="1"/>
  <c r="M46" i="1"/>
  <c r="N46" i="1" s="1"/>
  <c r="E51" i="1"/>
  <c r="F51" i="1" s="1"/>
  <c r="B9" i="2"/>
  <c r="E15" i="2" s="1"/>
  <c r="B197" i="2"/>
  <c r="E206" i="2" s="1"/>
  <c r="A197" i="2"/>
  <c r="D208" i="2" s="1"/>
  <c r="B93" i="2"/>
  <c r="E106" i="2" s="1"/>
  <c r="A121" i="2"/>
  <c r="D134" i="2" s="1"/>
  <c r="A267" i="2"/>
  <c r="D276" i="2" s="1"/>
  <c r="A143" i="2"/>
  <c r="D154" i="2" s="1"/>
  <c r="B215" i="2"/>
  <c r="E225" i="2" s="1"/>
  <c r="B121" i="2"/>
  <c r="E132" i="2" s="1"/>
  <c r="B143" i="2"/>
  <c r="E155" i="2" s="1"/>
  <c r="B244" i="2"/>
  <c r="E255" i="2" s="1"/>
  <c r="D45" i="2"/>
  <c r="B87" i="2"/>
  <c r="E99" i="2" s="1"/>
  <c r="A37" i="2"/>
  <c r="D50" i="2" s="1"/>
  <c r="B59" i="2"/>
  <c r="E72" i="2" s="1"/>
  <c r="B31" i="2"/>
  <c r="E45" i="2" s="1"/>
  <c r="A59" i="2"/>
  <c r="D72" i="2" s="1"/>
  <c r="A221" i="2"/>
  <c r="D232" i="2" s="1"/>
  <c r="A262" i="2"/>
  <c r="D271" i="2" s="1"/>
  <c r="B221" i="2"/>
  <c r="E231" i="2" s="1"/>
  <c r="B262" i="2"/>
  <c r="E273" i="2" s="1"/>
  <c r="B37" i="2"/>
  <c r="E48" i="2" s="1"/>
  <c r="A65" i="2"/>
  <c r="D78" i="2" s="1"/>
  <c r="B173" i="2"/>
  <c r="E184" i="2" s="1"/>
  <c r="B267" i="2"/>
  <c r="E277" i="2" s="1"/>
  <c r="A173" i="2"/>
  <c r="D182" i="2" s="1"/>
  <c r="A290" i="2"/>
  <c r="D300" i="2" s="1"/>
  <c r="B290" i="2"/>
  <c r="E302" i="2" s="1"/>
  <c r="A87" i="2"/>
  <c r="D101" i="2" s="1"/>
  <c r="A167" i="2"/>
  <c r="D178" i="2" s="1"/>
  <c r="A215" i="2"/>
  <c r="D227" i="2" s="1"/>
  <c r="A244" i="2"/>
  <c r="D253" i="2" s="1"/>
  <c r="A285" i="2"/>
  <c r="D296" i="2" s="1"/>
  <c r="B167" i="2"/>
  <c r="E179" i="2" s="1"/>
  <c r="B285" i="2"/>
  <c r="E296" i="2" s="1"/>
  <c r="B149" i="2"/>
  <c r="E159" i="2" s="1"/>
  <c r="A115" i="2"/>
  <c r="D129" i="2" s="1"/>
  <c r="A191" i="2"/>
  <c r="D201" i="2" s="1"/>
  <c r="A239" i="2"/>
  <c r="D248" i="2" s="1"/>
  <c r="A93" i="2"/>
  <c r="D105" i="2" s="1"/>
  <c r="B65" i="2"/>
  <c r="E77" i="2" s="1"/>
  <c r="B115" i="2"/>
  <c r="E129" i="2" s="1"/>
  <c r="B191" i="2"/>
  <c r="E202" i="2" s="1"/>
  <c r="B239" i="2"/>
  <c r="E248" i="2" s="1"/>
  <c r="E208" i="2"/>
  <c r="E158" i="2" l="1"/>
  <c r="D153" i="2"/>
  <c r="E134" i="2"/>
  <c r="D155" i="2"/>
  <c r="E154" i="2"/>
  <c r="E156" i="2" s="1"/>
  <c r="E160" i="2"/>
  <c r="E133" i="2"/>
  <c r="E135" i="2" s="1"/>
  <c r="D127" i="2"/>
  <c r="D133" i="2"/>
  <c r="D132" i="2"/>
  <c r="E78" i="2"/>
  <c r="D16" i="2"/>
  <c r="E22" i="2"/>
  <c r="E21" i="2"/>
  <c r="D15" i="2"/>
  <c r="E207" i="2"/>
  <c r="E209" i="2" s="1"/>
  <c r="E20" i="2"/>
  <c r="D22" i="2"/>
  <c r="D21" i="2"/>
  <c r="D20" i="2"/>
  <c r="E16" i="2"/>
  <c r="E17" i="2"/>
  <c r="D206" i="2"/>
  <c r="D17" i="2"/>
  <c r="E105" i="2"/>
  <c r="D207" i="2"/>
  <c r="E71" i="2"/>
  <c r="D277" i="2"/>
  <c r="D278" i="2"/>
  <c r="D73" i="2"/>
  <c r="E272" i="2"/>
  <c r="E183" i="2"/>
  <c r="E73" i="2"/>
  <c r="E104" i="2"/>
  <c r="E271" i="2"/>
  <c r="E44" i="2"/>
  <c r="E43" i="2"/>
  <c r="E230" i="2"/>
  <c r="D48" i="2"/>
  <c r="E100" i="2"/>
  <c r="D203" i="2"/>
  <c r="D231" i="2"/>
  <c r="E50" i="2"/>
  <c r="E254" i="2"/>
  <c r="D183" i="2"/>
  <c r="E226" i="2"/>
  <c r="E253" i="2"/>
  <c r="E227" i="2"/>
  <c r="E278" i="2"/>
  <c r="E101" i="2"/>
  <c r="D273" i="2"/>
  <c r="D254" i="2"/>
  <c r="E232" i="2"/>
  <c r="D226" i="2"/>
  <c r="E297" i="2"/>
  <c r="D225" i="2"/>
  <c r="E201" i="2"/>
  <c r="D177" i="2"/>
  <c r="E249" i="2"/>
  <c r="D43" i="2"/>
  <c r="E182" i="2"/>
  <c r="D250" i="2"/>
  <c r="D44" i="2"/>
  <c r="D272" i="2"/>
  <c r="D249" i="2"/>
  <c r="D104" i="2"/>
  <c r="E276" i="2"/>
  <c r="E250" i="2"/>
  <c r="D230" i="2"/>
  <c r="D71" i="2"/>
  <c r="D106" i="2"/>
  <c r="D184" i="2"/>
  <c r="D202" i="2"/>
  <c r="D49" i="2"/>
  <c r="E178" i="2"/>
  <c r="E300" i="2"/>
  <c r="D128" i="2"/>
  <c r="E301" i="2"/>
  <c r="E76" i="2"/>
  <c r="E127" i="2"/>
  <c r="D77" i="2"/>
  <c r="E49" i="2"/>
  <c r="D76" i="2"/>
  <c r="D100" i="2"/>
  <c r="D295" i="2"/>
  <c r="E203" i="2"/>
  <c r="D297" i="2"/>
  <c r="D179" i="2"/>
  <c r="E128" i="2"/>
  <c r="D255" i="2"/>
  <c r="D99" i="2"/>
  <c r="D302" i="2"/>
  <c r="E177" i="2"/>
  <c r="D301" i="2"/>
  <c r="D135" i="2" l="1"/>
  <c r="D209" i="2"/>
  <c r="D74" i="2"/>
  <c r="D156" i="2"/>
  <c r="E107" i="2"/>
  <c r="E74" i="2"/>
  <c r="E161" i="2"/>
  <c r="D161" i="2"/>
  <c r="D180" i="2"/>
  <c r="E233" i="2"/>
  <c r="D51" i="2"/>
  <c r="E102" i="2"/>
  <c r="E51" i="2"/>
  <c r="E185" i="2"/>
  <c r="E23" i="2"/>
  <c r="E46" i="2"/>
  <c r="D185" i="2"/>
  <c r="D228" i="2"/>
  <c r="D130" i="2"/>
  <c r="D46" i="2"/>
  <c r="E204" i="2"/>
  <c r="E180" i="2"/>
  <c r="D102" i="2"/>
  <c r="E228" i="2"/>
  <c r="E18" i="2"/>
  <c r="D204" i="2"/>
  <c r="D233" i="2"/>
  <c r="D18" i="2"/>
  <c r="D23" i="2"/>
  <c r="E130" i="2"/>
  <c r="C13" i="1" l="1"/>
  <c r="E13" i="1" s="1"/>
  <c r="C14" i="1"/>
  <c r="E14" i="1" s="1"/>
  <c r="C15" i="1"/>
  <c r="E15" i="1" s="1"/>
  <c r="C16" i="1"/>
  <c r="E16" i="1" s="1"/>
  <c r="C17" i="1"/>
  <c r="E17" i="1" s="1"/>
  <c r="C12" i="1"/>
  <c r="E12" i="1" s="1"/>
  <c r="K29" i="1"/>
  <c r="M29" i="1" s="1"/>
  <c r="K28" i="1"/>
  <c r="M28" i="1" s="1"/>
  <c r="K27" i="1"/>
  <c r="O27" i="1" s="1"/>
  <c r="C29" i="1"/>
  <c r="E29" i="1" s="1"/>
  <c r="C28" i="1"/>
  <c r="E28" i="1" s="1"/>
  <c r="C27" i="1"/>
  <c r="E27" i="1" s="1"/>
  <c r="K24" i="1"/>
  <c r="M24" i="1" s="1"/>
  <c r="C24" i="1"/>
  <c r="E24" i="1" s="1"/>
  <c r="K23" i="1"/>
  <c r="M23" i="1" s="1"/>
  <c r="C23" i="1"/>
  <c r="E23" i="1"/>
  <c r="K22" i="1"/>
  <c r="M22" i="1" s="1"/>
  <c r="N22" i="1" s="1"/>
  <c r="C22" i="1"/>
  <c r="E22" i="1" s="1"/>
  <c r="M27" i="1"/>
  <c r="N27" i="1" s="1"/>
  <c r="O22" i="1"/>
  <c r="F22" i="1" l="1"/>
  <c r="G22" i="1"/>
  <c r="F12" i="1"/>
  <c r="G12" i="1"/>
  <c r="F27" i="1"/>
  <c r="G27" i="1"/>
</calcChain>
</file>

<file path=xl/sharedStrings.xml><?xml version="1.0" encoding="utf-8"?>
<sst xmlns="http://schemas.openxmlformats.org/spreadsheetml/2006/main" count="799" uniqueCount="143">
  <si>
    <t xml:space="preserve"> (same for all treatments)</t>
  </si>
  <si>
    <t>Sample</t>
  </si>
  <si>
    <t>Counter Read</t>
  </si>
  <si>
    <t>Cells/mL</t>
  </si>
  <si>
    <t>mL of cells</t>
  </si>
  <si>
    <t>Total cell number</t>
  </si>
  <si>
    <t>Average total cell #</t>
  </si>
  <si>
    <t>Stdev</t>
  </si>
  <si>
    <t xml:space="preserve"> T=0 #1</t>
  </si>
  <si>
    <t xml:space="preserve"> T=0 #2</t>
  </si>
  <si>
    <t>Constant ICI 750nM</t>
  </si>
  <si>
    <t>AZD1775+ICI</t>
  </si>
  <si>
    <t>1 month ICI</t>
  </si>
  <si>
    <t>Alternating Month 1</t>
  </si>
  <si>
    <r>
      <rPr>
        <b/>
        <sz val="12"/>
        <color indexed="57"/>
        <rFont val="Calibri"/>
        <family val="2"/>
      </rPr>
      <t>Alternating: 750nM Ribo/750nM ICI+250nM AZD1775:</t>
    </r>
    <r>
      <rPr>
        <b/>
        <sz val="12"/>
        <rFont val="Calibri"/>
        <family val="2"/>
      </rPr>
      <t xml:space="preserve"> </t>
    </r>
    <r>
      <rPr>
        <b/>
        <sz val="14"/>
        <rFont val="Calibri"/>
        <family val="2"/>
      </rPr>
      <t>1 month Ribo --&gt;</t>
    </r>
  </si>
  <si>
    <t>750nM Ribo</t>
  </si>
  <si>
    <t xml:space="preserve">1 month AZD+ICI </t>
  </si>
  <si>
    <t>1 month Ribo</t>
  </si>
  <si>
    <t>T=0 for Month 1 (10/3/23)</t>
  </si>
  <si>
    <t xml:space="preserve"> T=0 #3</t>
  </si>
  <si>
    <t xml:space="preserve"> T=0 #4</t>
  </si>
  <si>
    <t xml:space="preserve"> T=0 #5</t>
  </si>
  <si>
    <t xml:space="preserve"> T=0 #6</t>
  </si>
  <si>
    <r>
      <t xml:space="preserve">10/2/2023 </t>
    </r>
    <r>
      <rPr>
        <sz val="11"/>
        <color theme="1"/>
        <rFont val="Calibri"/>
        <family val="2"/>
        <scheme val="minor"/>
      </rPr>
      <t>Plated (13) 60mm dishes with 70k cells of MCF7 p82+12+15+32+37</t>
    </r>
  </si>
  <si>
    <r>
      <t xml:space="preserve">10/3/2023 </t>
    </r>
    <r>
      <rPr>
        <sz val="11"/>
        <color theme="1"/>
        <rFont val="Calibri"/>
        <family val="2"/>
        <scheme val="minor"/>
      </rPr>
      <t xml:space="preserve">Counted (2) dishes for T=0, Dosed (3) dishes with </t>
    </r>
    <r>
      <rPr>
        <b/>
        <u/>
        <sz val="11"/>
        <color indexed="8"/>
        <rFont val="Calibri"/>
        <family val="2"/>
      </rPr>
      <t>750nM Ribo</t>
    </r>
    <r>
      <rPr>
        <b/>
        <sz val="11"/>
        <color indexed="8"/>
        <rFont val="Calibri"/>
        <family val="2"/>
      </rPr>
      <t>,</t>
    </r>
    <r>
      <rPr>
        <sz val="11"/>
        <color theme="1"/>
        <rFont val="Calibri"/>
        <family val="2"/>
        <scheme val="minor"/>
      </rPr>
      <t xml:space="preserve"> </t>
    </r>
    <r>
      <rPr>
        <sz val="11"/>
        <color indexed="30"/>
        <rFont val="Calibri"/>
        <family val="2"/>
      </rPr>
      <t xml:space="preserve">(2) with </t>
    </r>
    <r>
      <rPr>
        <b/>
        <u/>
        <sz val="11"/>
        <color indexed="30"/>
        <rFont val="Calibri"/>
        <family val="2"/>
      </rPr>
      <t>750nM ICI</t>
    </r>
    <r>
      <rPr>
        <b/>
        <sz val="11"/>
        <color indexed="8"/>
        <rFont val="Calibri"/>
        <family val="2"/>
      </rPr>
      <t>,</t>
    </r>
    <r>
      <rPr>
        <sz val="11"/>
        <color theme="1"/>
        <rFont val="Calibri"/>
        <family val="2"/>
        <scheme val="minor"/>
      </rPr>
      <t xml:space="preserve">                                                  </t>
    </r>
    <r>
      <rPr>
        <sz val="11"/>
        <color indexed="53"/>
        <rFont val="Calibri"/>
        <family val="2"/>
      </rPr>
      <t xml:space="preserve">(3) with </t>
    </r>
    <r>
      <rPr>
        <b/>
        <u/>
        <sz val="11"/>
        <color indexed="53"/>
        <rFont val="Calibri"/>
        <family val="2"/>
      </rPr>
      <t>250nM AZD+750nM ICI</t>
    </r>
    <r>
      <rPr>
        <u/>
        <sz val="11"/>
        <color indexed="8"/>
        <rFont val="Calibri"/>
        <family val="2"/>
      </rPr>
      <t xml:space="preserve"> </t>
    </r>
    <r>
      <rPr>
        <sz val="11"/>
        <color theme="1"/>
        <rFont val="Calibri"/>
        <family val="2"/>
        <scheme val="minor"/>
      </rPr>
      <t>and</t>
    </r>
    <r>
      <rPr>
        <sz val="11"/>
        <color indexed="17"/>
        <rFont val="Calibri"/>
        <family val="2"/>
      </rPr>
      <t xml:space="preserve"> (3) with</t>
    </r>
    <r>
      <rPr>
        <b/>
        <sz val="11"/>
        <color indexed="8"/>
        <rFont val="Calibri"/>
        <family val="2"/>
      </rPr>
      <t xml:space="preserve"> 750nM Ribo</t>
    </r>
    <r>
      <rPr>
        <sz val="11"/>
        <color indexed="17"/>
        <rFont val="Calibri"/>
        <family val="2"/>
      </rPr>
      <t xml:space="preserve"> for </t>
    </r>
    <r>
      <rPr>
        <b/>
        <u/>
        <sz val="11"/>
        <color indexed="17"/>
        <rFont val="Calibri"/>
        <family val="2"/>
      </rPr>
      <t xml:space="preserve">Alternating: </t>
    </r>
    <r>
      <rPr>
        <b/>
        <u/>
        <sz val="11"/>
        <color indexed="8"/>
        <rFont val="Calibri"/>
        <family val="2"/>
      </rPr>
      <t>750nM Ribo--&gt;</t>
    </r>
    <r>
      <rPr>
        <b/>
        <u/>
        <sz val="11"/>
        <color indexed="17"/>
        <rFont val="Calibri"/>
        <family val="2"/>
      </rPr>
      <t>250nM AZD+750nM ICI</t>
    </r>
  </si>
  <si>
    <t xml:space="preserve">Re-dose dishes twice a week. </t>
  </si>
  <si>
    <r>
      <rPr>
        <b/>
        <sz val="11"/>
        <color indexed="8"/>
        <rFont val="Calibri"/>
        <family val="2"/>
      </rPr>
      <t>Every 4 weeks:</t>
    </r>
    <r>
      <rPr>
        <sz val="11"/>
        <color theme="1"/>
        <rFont val="Calibri"/>
        <family val="2"/>
        <scheme val="minor"/>
      </rPr>
      <t xml:space="preserve"> Trypsinize (1) dish with drug in media (switch Alternating drug), count with coulter counter, and re-plate 70K into 3-4 dishes for next 4 weeks.</t>
    </r>
  </si>
  <si>
    <t>Month 1 (11/1/23)</t>
  </si>
  <si>
    <t>MCF7 Long-term Ribo/AZD+ICI</t>
  </si>
  <si>
    <t>Day 0</t>
  </si>
  <si>
    <t>Month 1</t>
  </si>
  <si>
    <t>ICI 750nM</t>
  </si>
  <si>
    <t xml:space="preserve">New T=0 for Month 2 </t>
  </si>
  <si>
    <t>Month 2</t>
  </si>
  <si>
    <t>Constant Palbo 750nM</t>
  </si>
  <si>
    <t>New T=0 for Month 3</t>
  </si>
  <si>
    <t>Month 3</t>
  </si>
  <si>
    <t>New T=0 for Month 4</t>
  </si>
  <si>
    <t>Month 4 (11/22/21)</t>
  </si>
  <si>
    <t>New T=0 for Month 5</t>
  </si>
  <si>
    <t>Month 5 (12/20/21)</t>
  </si>
  <si>
    <t>New T=0 for Month 6</t>
  </si>
  <si>
    <t>Month 6 (1/18/22)</t>
  </si>
  <si>
    <t>Month 6 (01/18/22)</t>
  </si>
  <si>
    <t>New T=0 for Month 7</t>
  </si>
  <si>
    <t>Month 7(2/15/22)</t>
  </si>
  <si>
    <t>Month 7 (02/15/22)</t>
  </si>
  <si>
    <t>Alternating Therapy Palbo/ICI: 1 month 750nM Palbo--&gt;1 month 750nM ICI--&gt;1 month Palbo--&gt;1 month 750nM ICI--&gt;1 month Palbo--&gt;1 month 750nM ICI--&gt;1 month Palbo--&gt;</t>
  </si>
  <si>
    <t>Alternating Therapy Palbo/ICI+AZD1775: 1 month 750nM Palbo --&gt;1 month ICI+250nM AZD1775--&gt;1 month Palbo --&gt;1 month ICI+250nM AZD1775--&gt;1 month Palbo --&gt;1 month ICI+250nM AZD1775--&gt;1 month Palbo --&gt;</t>
  </si>
  <si>
    <t>New T=0 for Month 8</t>
  </si>
  <si>
    <t>Month 8 (3/8/22)</t>
  </si>
  <si>
    <t>Alternating Therapy Palbo/ICI: 1 month 750nM Palbo--&gt;1 month 750nM ICI--&gt;1 month Palbo--&gt;1 month 750nM ICI--&gt;1 month Palbo--&gt;1 month 750nM ICI--&gt;1 month Palbo--&gt;1 month 750nM ICI--&gt;</t>
  </si>
  <si>
    <t>Alternating Therapy Palbo/ICI+AZD1775: 1 month 750nM Palbo --&gt;1 month ICI+250nM AZD1775--&gt;1 month Palbo --&gt;1 month ICI+250nM AZD1775--&gt;1 month Palbo --&gt;1 month ICI+250nM AZD1775--&gt;1 month Palbo --&gt;1 month ICI+250nM AZD1775--&gt;</t>
  </si>
  <si>
    <t>New T=0 for Month 9</t>
  </si>
  <si>
    <t>Month 9 (4/7/22)</t>
  </si>
  <si>
    <t>Alternating Therapy Palbo/ICI: 1 month 750nM Palbo--&gt;1 month 750nM ICI--&gt;1 month Palbo--&gt;1 month 750nM ICI--&gt;1 month Palbo--&gt;1 month 750nM ICI--&gt;1 month Palbo--&gt;1 month 750nM ICI--&gt;1 month Palbo--&gt;</t>
  </si>
  <si>
    <t>Alternating Therapy Palbo/ICI+AZD1775: 1 month 750nM Palbo --&gt;1 month ICI+250nM AZD1775--&gt;1 month Palbo --&gt;1 month ICI+250nM AZD1775--&gt;1 month Palbo --&gt;1 month ICI+250nM AZD1775--&gt;1 month Palbo --&gt;1 month ICI+250nM AZD1775--&gt;1 month Palbo --&gt;</t>
  </si>
  <si>
    <t>New Month 10 (4/8/22)</t>
  </si>
  <si>
    <t>Month 10(5/2/22)</t>
  </si>
  <si>
    <t>Month 10 (5/2/22)</t>
  </si>
  <si>
    <t>Alternating Therapy Palbo/ICI: 1 month 750nM Palbo--&gt;1 month 750nM ICI--&gt;1 month Palbo--&gt;1 month 750nM ICI--&gt;1 month Palbo--&gt;1 month 750nM ICI--&gt;1 month Palbo--&gt;1 month 750nM ICI--&gt;1 month Palbo--&gt;1 month ICI</t>
  </si>
  <si>
    <t>Alternating Therapy Palbo/ICI+AZD1775: 1 month 750nM Palbo --&gt;1 month ICI+250nM AZD1775--&gt;1 month Palbo --&gt;1 month ICI+250nM AZD1775--&gt;1 month Palbo --&gt;1 month ICI+250nM AZD1775--&gt;1 month Palbo --&gt;1 month ICI+250nM AZD1775--&gt;1 month Palbo --&gt;1 month ICI+250nM AZD1775</t>
  </si>
  <si>
    <t>New Month 11 (5/3/22)</t>
  </si>
  <si>
    <t>Month 11(5/26/22)</t>
  </si>
  <si>
    <t>Alternating Therapy Palbo/ICI: 1 month 750nM Palbo--&gt;1 month 750nM ICI--&gt;1 month Palbo--&gt;1 month 750nM ICI--&gt;1 month Palbo--&gt;1 month 750nM ICI--&gt;1 month Palbo--&gt;1 month 750nM ICI--&gt;1 month Palbo--&gt;1 month 750nM ICI--&gt;1 month Palbo--&gt;</t>
  </si>
  <si>
    <t>Alternating Therapy Palbo/ICI+AZD1775: 1 month 750nM Palbo --&gt;1 month ICI+250nM AZD1775--&gt;1 month Palbo --&gt;1 month ICI+250nM AZD1775--&gt;1 month Palbo --&gt;1 month ICI+250nM AZD1775--&gt;1 month Palbo --&gt;1 month ICI+250nM AZD1775--&gt;1 month Palbo--&gt;1 month ICI+250nM AZD1775--&gt;1 month Palbo--&gt;</t>
  </si>
  <si>
    <t>New Month 12 (5/27/22)</t>
  </si>
  <si>
    <t xml:space="preserve">Month 12 (6/16/22) **Counted 4 days early** </t>
  </si>
  <si>
    <t>Alternating Therapy Palbo/ICI: 1 month 750nM Palbo--&gt;1 month 750nM ICI--&gt;1 month Palbo--&gt;1 month 750nM ICI--&gt;1 month Palbo--&gt;1 month 750nM ICI--&gt;1 month Palbo--&gt;1 month 750nM ICI--&gt;1 month Palbo--&gt;1 month 750nM ICI--&gt;1 month Palbo--&gt;1 month 750nM ICI--&gt;</t>
  </si>
  <si>
    <t>Alternating Therapy Palbo/ICI+AZD1775: 1 month 750nM Palbo --&gt;1 month ICI+250nM AZD1775--&gt;1 month Palbo --&gt;1 month ICI+250nM AZD1775--&gt;1 month Palbo --&gt;1 month ICI+250nM AZD1775--&gt;1 month Palbo --&gt;1 month ICI+250nM AZD1775--&gt;1 month Palbo--&gt;1 month ICI+250nM AZD1775--&gt;1 month Palbo--&gt;1 month ICI+250nM AZD1775--&gt;</t>
  </si>
  <si>
    <t>T=0 #3</t>
  </si>
  <si>
    <t>T=0 #4</t>
  </si>
  <si>
    <t>T=0 #5</t>
  </si>
  <si>
    <t>T=0 #6</t>
  </si>
  <si>
    <t>Ribo 750nM</t>
  </si>
  <si>
    <r>
      <t xml:space="preserve">Alternating: </t>
    </r>
    <r>
      <rPr>
        <b/>
        <sz val="16"/>
        <color rgb="FFFF0000"/>
        <rFont val="Calibri (Body)"/>
      </rPr>
      <t>750nM Ribo</t>
    </r>
    <r>
      <rPr>
        <sz val="16"/>
        <color theme="1"/>
        <rFont val="Calibri"/>
        <family val="2"/>
        <scheme val="minor"/>
      </rPr>
      <t>/750nM ICI+250nM AZD1775</t>
    </r>
  </si>
  <si>
    <r>
      <t>Alternating: 750nM Ribo/</t>
    </r>
    <r>
      <rPr>
        <b/>
        <sz val="16"/>
        <color rgb="FFFF0000"/>
        <rFont val="Calibri (Body)"/>
      </rPr>
      <t>750nM ICI+250nM AZD1775</t>
    </r>
  </si>
  <si>
    <t>Constant ribo 750nM</t>
  </si>
  <si>
    <t>ribo 750nM</t>
  </si>
  <si>
    <t>Alternating: 750nM ribo/750nM ICI+250nM AZD1775</t>
  </si>
  <si>
    <t xml:space="preserve"> ribo 750nM</t>
  </si>
  <si>
    <t>Alternating Therapy ribo/ICI+AZD1775: 1 month 750nM ribo --&gt;1 month ICI+250nM AZD1775--&gt; 
1 month ribo</t>
  </si>
  <si>
    <r>
      <t xml:space="preserve">Alternating: 750nM </t>
    </r>
    <r>
      <rPr>
        <sz val="16"/>
        <color rgb="FFFF0000"/>
        <rFont val="Calibri (Body)"/>
      </rPr>
      <t>Ribo</t>
    </r>
    <r>
      <rPr>
        <sz val="16"/>
        <color theme="1"/>
        <rFont val="Calibri"/>
        <family val="2"/>
        <scheme val="minor"/>
      </rPr>
      <t>/750nM ICI+250nM AZD1775</t>
    </r>
  </si>
  <si>
    <r>
      <t>Alternating: 750nM Ribo/</t>
    </r>
    <r>
      <rPr>
        <sz val="16"/>
        <color rgb="FFFF0000"/>
        <rFont val="Calibri"/>
        <family val="2"/>
        <scheme val="minor"/>
      </rPr>
      <t>7</t>
    </r>
    <r>
      <rPr>
        <sz val="16"/>
        <color rgb="FFFF0000"/>
        <rFont val="Calibri (Body)"/>
      </rPr>
      <t>50nM ICI+250nM AZD1775</t>
    </r>
  </si>
  <si>
    <r>
      <t xml:space="preserve">Alternating: </t>
    </r>
    <r>
      <rPr>
        <sz val="16"/>
        <color rgb="FFFF0000"/>
        <rFont val="Calibri (Body)"/>
      </rPr>
      <t>750nM Ribo</t>
    </r>
    <r>
      <rPr>
        <sz val="16"/>
        <color theme="1"/>
        <rFont val="Calibri"/>
        <family val="2"/>
        <scheme val="minor"/>
      </rPr>
      <t>/750nM ICI+250nM AZD1775</t>
    </r>
  </si>
  <si>
    <t>Constant Ribo 750nM</t>
  </si>
  <si>
    <r>
      <t xml:space="preserve">Alternating: </t>
    </r>
    <r>
      <rPr>
        <b/>
        <sz val="16"/>
        <color rgb="FFFF0000"/>
        <rFont val="Calibri (Body)"/>
      </rPr>
      <t>750nM Ribo</t>
    </r>
    <r>
      <rPr>
        <sz val="16"/>
        <color theme="1"/>
        <rFont val="Calibri"/>
        <family val="2"/>
        <scheme val="minor"/>
      </rPr>
      <t>/</t>
    </r>
    <r>
      <rPr>
        <sz val="16"/>
        <color theme="1"/>
        <rFont val="Calibri (Body)"/>
      </rPr>
      <t>750nM ICI+250nM AZD1775</t>
    </r>
  </si>
  <si>
    <r>
      <t>Alternating: 750nM Ribo/</t>
    </r>
    <r>
      <rPr>
        <sz val="16"/>
        <color rgb="FFFF0000"/>
        <rFont val="Calibri (Body)"/>
      </rPr>
      <t>750nM ICI+250nM AZD1775</t>
    </r>
  </si>
  <si>
    <r>
      <t xml:space="preserve">Alternating: </t>
    </r>
    <r>
      <rPr>
        <sz val="16"/>
        <color theme="1"/>
        <rFont val="Calibri (Body)"/>
      </rPr>
      <t>750nM Ribo</t>
    </r>
    <r>
      <rPr>
        <sz val="16"/>
        <color theme="1"/>
        <rFont val="Calibri"/>
        <family val="2"/>
        <scheme val="minor"/>
      </rPr>
      <t>/</t>
    </r>
    <r>
      <rPr>
        <sz val="16"/>
        <color rgb="FFFF0000"/>
        <rFont val="Calibri (Body)"/>
      </rPr>
      <t>750nM ICI+250nM AZD1775</t>
    </r>
  </si>
  <si>
    <t>New T=0 for Month 2 (11/2/23)</t>
  </si>
  <si>
    <t xml:space="preserve"> Ribo</t>
  </si>
  <si>
    <t>ICI</t>
  </si>
  <si>
    <r>
      <rPr>
        <b/>
        <sz val="12"/>
        <color indexed="57"/>
        <rFont val="Calibri"/>
        <family val="2"/>
      </rPr>
      <t>Alternating: 750nM Ribo/750nM ICI+250nM AZD1775:</t>
    </r>
    <r>
      <rPr>
        <b/>
        <sz val="12"/>
        <rFont val="Calibri"/>
        <family val="2"/>
      </rPr>
      <t xml:space="preserve"> </t>
    </r>
    <r>
      <rPr>
        <b/>
        <sz val="14"/>
        <rFont val="Calibri"/>
        <family val="2"/>
      </rPr>
      <t>Ribo --&gt;</t>
    </r>
    <r>
      <rPr>
        <b/>
        <sz val="14"/>
        <color indexed="17"/>
        <rFont val="Calibri"/>
        <family val="2"/>
      </rPr>
      <t>AZD+ICI</t>
    </r>
  </si>
  <si>
    <t xml:space="preserve">AZD+ICI </t>
  </si>
  <si>
    <t xml:space="preserve">Alternating </t>
  </si>
  <si>
    <t>Alternating</t>
  </si>
  <si>
    <t>Month 2 (11/29/23)</t>
  </si>
  <si>
    <t>2 month Ribo</t>
  </si>
  <si>
    <t>2 month ICI</t>
  </si>
  <si>
    <t xml:space="preserve">2 month AZD+ICI </t>
  </si>
  <si>
    <t>Alternating Month 2</t>
  </si>
  <si>
    <t>New T=0 for Month 3 (11/30/23)</t>
  </si>
  <si>
    <t>Month 3 (12/18/23) *Ended 1 week early*</t>
  </si>
  <si>
    <t>3 month Ribo</t>
  </si>
  <si>
    <t>3 month ICI</t>
  </si>
  <si>
    <r>
      <rPr>
        <b/>
        <sz val="12"/>
        <color indexed="57"/>
        <rFont val="Calibri"/>
        <family val="2"/>
      </rPr>
      <t>Alternating: 750nM Ribo/750nM ICI+250nM AZD1775:</t>
    </r>
    <r>
      <rPr>
        <b/>
        <sz val="12"/>
        <rFont val="Calibri"/>
        <family val="2"/>
      </rPr>
      <t xml:space="preserve"> </t>
    </r>
    <r>
      <rPr>
        <b/>
        <sz val="14"/>
        <rFont val="Calibri"/>
        <family val="2"/>
      </rPr>
      <t>Ribo --&gt;</t>
    </r>
    <r>
      <rPr>
        <b/>
        <sz val="14"/>
        <color indexed="17"/>
        <rFont val="Calibri"/>
        <family val="2"/>
      </rPr>
      <t>AZD+ICI--&gt;</t>
    </r>
    <r>
      <rPr>
        <b/>
        <sz val="14"/>
        <color indexed="8"/>
        <rFont val="Calibri"/>
        <family val="2"/>
      </rPr>
      <t>Ribo--&gt;</t>
    </r>
    <r>
      <rPr>
        <b/>
        <sz val="14"/>
        <color indexed="17"/>
        <rFont val="Calibri"/>
        <family val="2"/>
      </rPr>
      <t xml:space="preserve"> </t>
    </r>
  </si>
  <si>
    <t xml:space="preserve">3 month AZD+ICI </t>
  </si>
  <si>
    <t>Alternating Month 3</t>
  </si>
  <si>
    <t>12/18/23: Counted/Re-plated for "Month 3" time point *1 week early* due to Christmas break.</t>
  </si>
  <si>
    <r>
      <t xml:space="preserve">Ribo plates </t>
    </r>
    <r>
      <rPr>
        <sz val="11"/>
        <color theme="1"/>
        <rFont val="Calibri"/>
        <family val="2"/>
        <scheme val="minor"/>
      </rPr>
      <t>100% confluent but not over-grown like previous months since counting 1 week early this month. More cells in Ribo this month since they are not dying from lack of space (still lots of floaters)? Other plates more sparce than previous months since counting 1 week early.</t>
    </r>
  </si>
  <si>
    <t>New T=0 for Month 4 (12/19/23)</t>
  </si>
  <si>
    <t>Month 4 (1/17/24)</t>
  </si>
  <si>
    <t>4 month Ribo</t>
  </si>
  <si>
    <t>4 month ICI</t>
  </si>
  <si>
    <r>
      <rPr>
        <b/>
        <sz val="12"/>
        <color indexed="57"/>
        <rFont val="Calibri"/>
        <family val="2"/>
      </rPr>
      <t>Alternating: 750nM Ribo/750nM ICI+250nM AZD1775:</t>
    </r>
    <r>
      <rPr>
        <b/>
        <sz val="12"/>
        <rFont val="Calibri"/>
        <family val="2"/>
      </rPr>
      <t xml:space="preserve"> </t>
    </r>
    <r>
      <rPr>
        <b/>
        <sz val="14"/>
        <rFont val="Calibri"/>
        <family val="2"/>
      </rPr>
      <t>Ribo --&gt;</t>
    </r>
    <r>
      <rPr>
        <b/>
        <sz val="14"/>
        <color indexed="17"/>
        <rFont val="Calibri"/>
        <family val="2"/>
      </rPr>
      <t>AZD+ICI--&gt;</t>
    </r>
    <r>
      <rPr>
        <b/>
        <sz val="14"/>
        <color indexed="8"/>
        <rFont val="Calibri"/>
        <family val="2"/>
      </rPr>
      <t>Ribo--&gt;</t>
    </r>
    <r>
      <rPr>
        <b/>
        <sz val="14"/>
        <color indexed="17"/>
        <rFont val="Calibri"/>
        <family val="2"/>
      </rPr>
      <t>AZD+ICI--&gt;</t>
    </r>
  </si>
  <si>
    <t xml:space="preserve">4 month AZD+ICI </t>
  </si>
  <si>
    <t>Alternating Month 4</t>
  </si>
  <si>
    <t>New T=0 for Month 5 (1/18/24)</t>
  </si>
  <si>
    <r>
      <rPr>
        <b/>
        <sz val="12"/>
        <color indexed="57"/>
        <rFont val="Calibri"/>
        <family val="2"/>
      </rPr>
      <t>Alternating: 750nM Ribo/750nM ICI+250nM AZD1775:</t>
    </r>
    <r>
      <rPr>
        <b/>
        <sz val="12"/>
        <rFont val="Calibri"/>
        <family val="2"/>
      </rPr>
      <t xml:space="preserve"> </t>
    </r>
    <r>
      <rPr>
        <b/>
        <sz val="14"/>
        <rFont val="Calibri"/>
        <family val="2"/>
      </rPr>
      <t>Ribo --&gt;</t>
    </r>
    <r>
      <rPr>
        <b/>
        <sz val="14"/>
        <color indexed="17"/>
        <rFont val="Calibri"/>
        <family val="2"/>
      </rPr>
      <t>AZD+ICI--&gt;</t>
    </r>
    <r>
      <rPr>
        <b/>
        <sz val="14"/>
        <color indexed="8"/>
        <rFont val="Calibri"/>
        <family val="2"/>
      </rPr>
      <t>Ribo--&gt;</t>
    </r>
    <r>
      <rPr>
        <b/>
        <sz val="14"/>
        <color indexed="17"/>
        <rFont val="Calibri"/>
        <family val="2"/>
      </rPr>
      <t>AZD+ICI--&gt;</t>
    </r>
    <r>
      <rPr>
        <b/>
        <sz val="14"/>
        <rFont val="Calibri"/>
        <family val="2"/>
      </rPr>
      <t>Ribo--&gt;</t>
    </r>
  </si>
  <si>
    <t>Month 5 (2/12/24)</t>
  </si>
  <si>
    <t>5 month Ribo</t>
  </si>
  <si>
    <t>5 month ICI</t>
  </si>
  <si>
    <t xml:space="preserve">5 month AZD+ICI </t>
  </si>
  <si>
    <t>Alternating Month 5</t>
  </si>
  <si>
    <r>
      <rPr>
        <b/>
        <sz val="11"/>
        <color indexed="8"/>
        <rFont val="Calibri"/>
        <family val="2"/>
      </rPr>
      <t>End of Month 5:</t>
    </r>
    <r>
      <rPr>
        <b/>
        <sz val="11"/>
        <color indexed="53"/>
        <rFont val="Calibri"/>
        <family val="2"/>
      </rPr>
      <t xml:space="preserve"> AZD+ICI</t>
    </r>
    <r>
      <rPr>
        <sz val="11"/>
        <color indexed="53"/>
        <rFont val="Calibri"/>
        <family val="2"/>
      </rPr>
      <t xml:space="preserve"> plate very sparce. Only enough cells to re-plate ALL cells back onto (1) 60mm dish, won't have a "new t=0" for month 6 for AZD+ICI, use end of month 5 cell# as new T=0 for month 6? (Rough estimate since some cells will be lost during the re-plating.)</t>
    </r>
  </si>
  <si>
    <t>New T=0 for Month 6 (2/13/24)</t>
  </si>
  <si>
    <r>
      <rPr>
        <b/>
        <sz val="12"/>
        <color indexed="57"/>
        <rFont val="Calibri"/>
        <family val="2"/>
      </rPr>
      <t xml:space="preserve">Alternating: </t>
    </r>
    <r>
      <rPr>
        <b/>
        <sz val="12"/>
        <color indexed="8"/>
        <rFont val="Calibri"/>
        <family val="2"/>
      </rPr>
      <t>750nM Ribo</t>
    </r>
    <r>
      <rPr>
        <b/>
        <sz val="12"/>
        <color indexed="57"/>
        <rFont val="Calibri"/>
        <family val="2"/>
      </rPr>
      <t>/750nM ICI+250nM AZD1775:</t>
    </r>
    <r>
      <rPr>
        <b/>
        <sz val="12"/>
        <rFont val="Calibri"/>
        <family val="2"/>
      </rPr>
      <t xml:space="preserve"> </t>
    </r>
    <r>
      <rPr>
        <b/>
        <sz val="14"/>
        <rFont val="Calibri"/>
        <family val="2"/>
      </rPr>
      <t>Ribo --&gt;</t>
    </r>
    <r>
      <rPr>
        <b/>
        <sz val="14"/>
        <color indexed="17"/>
        <rFont val="Calibri"/>
        <family val="2"/>
      </rPr>
      <t>AZD+ICI--&gt;</t>
    </r>
    <r>
      <rPr>
        <b/>
        <sz val="14"/>
        <color indexed="8"/>
        <rFont val="Calibri"/>
        <family val="2"/>
      </rPr>
      <t>Ribo--&gt;</t>
    </r>
    <r>
      <rPr>
        <b/>
        <sz val="14"/>
        <color indexed="17"/>
        <rFont val="Calibri"/>
        <family val="2"/>
      </rPr>
      <t>AZD+ICI--&gt;</t>
    </r>
    <r>
      <rPr>
        <b/>
        <sz val="14"/>
        <rFont val="Calibri"/>
        <family val="2"/>
      </rPr>
      <t>Ribo--&gt;</t>
    </r>
    <r>
      <rPr>
        <b/>
        <sz val="14"/>
        <color indexed="57"/>
        <rFont val="Calibri"/>
        <family val="2"/>
      </rPr>
      <t>AZD+ICI--&gt;</t>
    </r>
  </si>
  <si>
    <t>*</t>
  </si>
  <si>
    <t>*use cell # from end of month 5 as "new T=0"?</t>
  </si>
  <si>
    <t>Month 6 (3/7/24) *Ended 4 days early*</t>
  </si>
  <si>
    <t>6 month Ribo</t>
  </si>
  <si>
    <t>6 month ICI</t>
  </si>
  <si>
    <r>
      <rPr>
        <b/>
        <sz val="12"/>
        <color indexed="57"/>
        <rFont val="Calibri"/>
        <family val="2"/>
      </rPr>
      <t>Alternating: 750nM Ribo/750nM ICI+250nM AZD1775:</t>
    </r>
    <r>
      <rPr>
        <b/>
        <sz val="12"/>
        <rFont val="Calibri"/>
        <family val="2"/>
      </rPr>
      <t xml:space="preserve"> </t>
    </r>
    <r>
      <rPr>
        <b/>
        <sz val="14"/>
        <rFont val="Calibri"/>
        <family val="2"/>
      </rPr>
      <t>Ribo --&gt;</t>
    </r>
    <r>
      <rPr>
        <b/>
        <sz val="14"/>
        <color indexed="17"/>
        <rFont val="Calibri"/>
        <family val="2"/>
      </rPr>
      <t>AZD+ICI--&gt;</t>
    </r>
    <r>
      <rPr>
        <b/>
        <sz val="14"/>
        <color indexed="8"/>
        <rFont val="Calibri"/>
        <family val="2"/>
      </rPr>
      <t>Ribo--&gt;</t>
    </r>
    <r>
      <rPr>
        <b/>
        <sz val="14"/>
        <color indexed="17"/>
        <rFont val="Calibri"/>
        <family val="2"/>
      </rPr>
      <t>AZD+ICI--&gt;</t>
    </r>
    <r>
      <rPr>
        <b/>
        <sz val="14"/>
        <rFont val="Calibri"/>
        <family val="2"/>
      </rPr>
      <t>Ribo--&gt;</t>
    </r>
    <r>
      <rPr>
        <b/>
        <sz val="14"/>
        <color indexed="57"/>
        <rFont val="Calibri"/>
        <family val="2"/>
      </rPr>
      <t>AZD+ICI--&gt;</t>
    </r>
  </si>
  <si>
    <t xml:space="preserve">6 month AZD+ICI </t>
  </si>
  <si>
    <t>Alternating Month 6</t>
  </si>
  <si>
    <r>
      <rPr>
        <b/>
        <sz val="11"/>
        <color indexed="8"/>
        <rFont val="Calibri"/>
        <family val="2"/>
      </rPr>
      <t>End of Month 5:</t>
    </r>
    <r>
      <rPr>
        <b/>
        <sz val="11"/>
        <color indexed="53"/>
        <rFont val="Calibri"/>
        <family val="2"/>
      </rPr>
      <t xml:space="preserve"> AZD+ICI</t>
    </r>
    <r>
      <rPr>
        <sz val="11"/>
        <color indexed="53"/>
        <rFont val="Calibri"/>
        <family val="2"/>
      </rPr>
      <t xml:space="preserve"> plate extremely sparce. Re-plate ALL cells back onto (1) 60mm dish, won't have a "new t=0" for month 7 for AZD+ICI, use end of month 6 cell# as new T=0 for month 6? (Rough estimate since some cells will be lost during the re-plating.)</t>
    </r>
  </si>
  <si>
    <t>New T=0 for Month 7 (3/8/24)</t>
  </si>
  <si>
    <r>
      <rPr>
        <b/>
        <sz val="12"/>
        <color indexed="57"/>
        <rFont val="Calibri"/>
        <family val="2"/>
      </rPr>
      <t xml:space="preserve">Alternating: </t>
    </r>
    <r>
      <rPr>
        <b/>
        <sz val="12"/>
        <color indexed="8"/>
        <rFont val="Calibri"/>
        <family val="2"/>
      </rPr>
      <t>750nM Ribo</t>
    </r>
    <r>
      <rPr>
        <b/>
        <sz val="12"/>
        <color indexed="57"/>
        <rFont val="Calibri"/>
        <family val="2"/>
      </rPr>
      <t>/750nM ICI+250nM AZD1775:</t>
    </r>
    <r>
      <rPr>
        <b/>
        <sz val="12"/>
        <rFont val="Calibri"/>
        <family val="2"/>
      </rPr>
      <t xml:space="preserve"> </t>
    </r>
    <r>
      <rPr>
        <b/>
        <sz val="14"/>
        <rFont val="Calibri"/>
        <family val="2"/>
      </rPr>
      <t>Ribo --&gt;</t>
    </r>
    <r>
      <rPr>
        <b/>
        <sz val="14"/>
        <color indexed="17"/>
        <rFont val="Calibri"/>
        <family val="2"/>
      </rPr>
      <t>AZD+ICI--&gt;</t>
    </r>
    <r>
      <rPr>
        <b/>
        <sz val="14"/>
        <color indexed="8"/>
        <rFont val="Calibri"/>
        <family val="2"/>
      </rPr>
      <t>Ribo--&gt;</t>
    </r>
    <r>
      <rPr>
        <b/>
        <sz val="14"/>
        <color indexed="17"/>
        <rFont val="Calibri"/>
        <family val="2"/>
      </rPr>
      <t>AZD+ICI--&gt;</t>
    </r>
    <r>
      <rPr>
        <b/>
        <sz val="14"/>
        <rFont val="Calibri"/>
        <family val="2"/>
      </rPr>
      <t>Ribo--&gt;</t>
    </r>
    <r>
      <rPr>
        <b/>
        <sz val="14"/>
        <color indexed="57"/>
        <rFont val="Calibri"/>
        <family val="2"/>
      </rPr>
      <t>AZD+ICI--&gt;</t>
    </r>
    <r>
      <rPr>
        <b/>
        <sz val="14"/>
        <rFont val="Calibri"/>
        <family val="2"/>
      </rPr>
      <t>Ribo</t>
    </r>
  </si>
  <si>
    <t>*use cell # from end of month 6 as "new T=0"?</t>
  </si>
  <si>
    <r>
      <t xml:space="preserve">Alternating: </t>
    </r>
    <r>
      <rPr>
        <sz val="16"/>
        <color rgb="FFFF0000"/>
        <rFont val="Calibri (Body)"/>
      </rPr>
      <t>750nM Ribo</t>
    </r>
    <r>
      <rPr>
        <sz val="16"/>
        <color theme="1"/>
        <rFont val="Calibri"/>
        <family val="2"/>
        <scheme val="minor"/>
      </rPr>
      <t>/</t>
    </r>
    <r>
      <rPr>
        <sz val="16"/>
        <color theme="1"/>
        <rFont val="Calibri (Body)"/>
      </rPr>
      <t>750nM ICI+250nM AZD1775</t>
    </r>
  </si>
  <si>
    <t>End of Month 7 (4/9/24)</t>
  </si>
  <si>
    <t>Alternating Month 7</t>
  </si>
  <si>
    <t>Ribo plates very overgrown, lots of floaters.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</si>
</sst>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E+00"/>
  </numFmts>
  <fonts count="41" x14ac:knownFonts="1">
    <font>
      <sz val="11"/>
      <color theme="1"/>
      <name val="Calibri"/>
      <family val="2"/>
      <scheme val="minor"/>
    </font>
    <font>
      <b/>
      <sz val="12"/>
      <name val="Calibri"/>
      <family val="2"/>
    </font>
    <font>
      <b/>
      <sz val="12"/>
      <color indexed="57"/>
      <name val="Calibri"/>
      <family val="2"/>
    </font>
    <font>
      <b/>
      <sz val="14"/>
      <name val="Calibri"/>
      <family val="2"/>
    </font>
    <font>
      <b/>
      <sz val="11"/>
      <color indexed="8"/>
      <name val="Calibri"/>
      <family val="2"/>
    </font>
    <font>
      <sz val="11"/>
      <color indexed="30"/>
      <name val="Calibri"/>
      <family val="2"/>
    </font>
    <font>
      <sz val="11"/>
      <color indexed="53"/>
      <name val="Calibri"/>
      <family val="2"/>
    </font>
    <font>
      <sz val="11"/>
      <color indexed="17"/>
      <name val="Calibri"/>
      <family val="2"/>
    </font>
    <font>
      <b/>
      <u/>
      <sz val="11"/>
      <color indexed="17"/>
      <name val="Calibri"/>
      <family val="2"/>
    </font>
    <font>
      <b/>
      <u/>
      <sz val="11"/>
      <color indexed="8"/>
      <name val="Calibri"/>
      <family val="2"/>
    </font>
    <font>
      <b/>
      <u/>
      <sz val="11"/>
      <color indexed="30"/>
      <name val="Calibri"/>
      <family val="2"/>
    </font>
    <font>
      <b/>
      <u/>
      <sz val="11"/>
      <color indexed="53"/>
      <name val="Calibri"/>
      <family val="2"/>
    </font>
    <font>
      <u/>
      <sz val="11"/>
      <color indexed="8"/>
      <name val="Calibri"/>
      <family val="2"/>
    </font>
    <font>
      <b/>
      <sz val="11"/>
      <color theme="1"/>
      <name val="Calibri"/>
      <family val="2"/>
      <scheme val="minor"/>
    </font>
    <font>
      <sz val="11"/>
      <name val="Calibri"/>
      <family val="2"/>
      <scheme val="minor"/>
    </font>
    <font>
      <sz val="11"/>
      <color rgb="FF0070C0"/>
      <name val="Calibri"/>
      <family val="2"/>
      <scheme val="minor"/>
    </font>
    <font>
      <b/>
      <sz val="11"/>
      <color rgb="FF0070C0"/>
      <name val="Calibri"/>
      <family val="2"/>
      <scheme val="minor"/>
    </font>
    <font>
      <sz val="11"/>
      <color theme="9" tint="-0.249977111117893"/>
      <name val="Calibri"/>
      <family val="2"/>
      <scheme val="minor"/>
    </font>
    <font>
      <b/>
      <sz val="11"/>
      <color theme="9" tint="-0.249977111117893"/>
      <name val="Calibri"/>
      <family val="2"/>
      <scheme val="minor"/>
    </font>
    <font>
      <sz val="11"/>
      <color theme="5"/>
      <name val="Calibri"/>
      <family val="2"/>
      <scheme val="minor"/>
    </font>
    <font>
      <b/>
      <sz val="11"/>
      <color theme="5"/>
      <name val="Calibri"/>
      <family val="2"/>
      <scheme val="minor"/>
    </font>
    <font>
      <sz val="11"/>
      <color theme="9"/>
      <name val="Calibri"/>
      <family val="2"/>
      <scheme val="minor"/>
    </font>
    <font>
      <b/>
      <sz val="11"/>
      <name val="Calibri"/>
      <family val="2"/>
      <scheme val="minor"/>
    </font>
    <font>
      <b/>
      <sz val="14"/>
      <color theme="1"/>
      <name val="Calibri"/>
      <family val="2"/>
      <scheme val="minor"/>
    </font>
    <font>
      <b/>
      <sz val="12"/>
      <name val="Calibri"/>
      <family val="2"/>
      <scheme val="minor"/>
    </font>
    <font>
      <b/>
      <sz val="12"/>
      <color theme="5"/>
      <name val="Calibri"/>
      <family val="2"/>
    </font>
    <font>
      <b/>
      <sz val="12"/>
      <color rgb="FFFF0000"/>
      <name val="Calibri"/>
      <family val="2"/>
    </font>
    <font>
      <b/>
      <sz val="12"/>
      <color rgb="FF0070C0"/>
      <name val="Calibri"/>
      <family val="2"/>
      <scheme val="minor"/>
    </font>
    <font>
      <b/>
      <u/>
      <sz val="16"/>
      <color theme="1"/>
      <name val="Calibri"/>
      <family val="2"/>
      <scheme val="minor"/>
    </font>
    <font>
      <sz val="16"/>
      <color rgb="FFFF0000"/>
      <name val="Calibri"/>
      <family val="2"/>
      <scheme val="minor"/>
    </font>
    <font>
      <sz val="16"/>
      <color theme="1"/>
      <name val="Calibri"/>
      <family val="2"/>
      <scheme val="minor"/>
    </font>
    <font>
      <b/>
      <sz val="16"/>
      <color rgb="FFFF0000"/>
      <name val="Calibri (Body)"/>
    </font>
    <font>
      <sz val="16"/>
      <color theme="1"/>
      <name val="Calibri (Body)"/>
    </font>
    <font>
      <sz val="16"/>
      <color rgb="FFFF0000"/>
      <name val="Calibri (Body)"/>
    </font>
    <font>
      <b/>
      <sz val="14"/>
      <color indexed="17"/>
      <name val="Calibri"/>
      <family val="2"/>
    </font>
    <font>
      <sz val="11"/>
      <color rgb="FF00B050"/>
      <name val="Calibri"/>
      <family val="2"/>
      <scheme val="minor"/>
    </font>
    <font>
      <b/>
      <sz val="14"/>
      <color indexed="8"/>
      <name val="Calibri"/>
      <family val="2"/>
    </font>
    <font>
      <b/>
      <sz val="11"/>
      <color indexed="53"/>
      <name val="Calibri"/>
      <family val="2"/>
    </font>
    <font>
      <b/>
      <sz val="12"/>
      <color indexed="8"/>
      <name val="Calibri"/>
      <family val="2"/>
    </font>
    <font>
      <b/>
      <sz val="14"/>
      <color indexed="57"/>
      <name val="Calibri"/>
      <family val="2"/>
    </font>
    <font>
      <sz val="11"/>
      <color theme="5"/>
      <name val="Calibri"/>
      <family val="2"/>
    </font>
  </fonts>
  <fills count="4">
    <fill>
      <patternFill patternType="none"/>
    </fill>
    <fill>
      <patternFill patternType="gray125"/>
    </fill>
    <fill>
      <patternFill patternType="solid">
        <fgColor rgb="FFFFFF00"/>
        <bgColor indexed="64"/>
      </patternFill>
    </fill>
    <fill>
      <patternFill patternType="solid">
        <fgColor theme="4"/>
        <bgColor indexed="64"/>
      </patternFill>
    </fill>
  </fills>
  <borders count="33">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s>
  <cellStyleXfs count="1">
    <xf numFmtId="0" fontId="0" fillId="0" borderId="0"/>
  </cellStyleXfs>
  <cellXfs count="120">
    <xf numFmtId="0" fontId="0" fillId="0" borderId="0" xfId="0"/>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0" fontId="13" fillId="0" borderId="0" xfId="0" applyFont="1" applyAlignment="1">
      <alignment horizontal="center" wrapText="1"/>
    </xf>
    <xf numFmtId="164" fontId="0" fillId="0" borderId="0" xfId="0" applyNumberFormat="1" applyAlignment="1">
      <alignment horizontal="center"/>
    </xf>
    <xf numFmtId="164" fontId="14" fillId="0" borderId="2" xfId="0" applyNumberFormat="1" applyFont="1" applyBorder="1" applyAlignment="1">
      <alignment horizontal="center"/>
    </xf>
    <xf numFmtId="164" fontId="0" fillId="0" borderId="2" xfId="0" applyNumberFormat="1" applyBorder="1" applyAlignment="1">
      <alignment horizontal="center"/>
    </xf>
    <xf numFmtId="0" fontId="0" fillId="0" borderId="3" xfId="0" applyBorder="1" applyAlignment="1">
      <alignment horizontal="center"/>
    </xf>
    <xf numFmtId="0" fontId="0" fillId="0" borderId="4" xfId="0" applyBorder="1" applyAlignment="1">
      <alignment horizontal="center" wrapText="1"/>
    </xf>
    <xf numFmtId="0" fontId="0" fillId="0" borderId="5" xfId="0" applyBorder="1" applyAlignment="1">
      <alignment horizontal="center" wrapText="1"/>
    </xf>
    <xf numFmtId="0" fontId="13" fillId="0" borderId="5" xfId="0" applyFont="1" applyBorder="1" applyAlignment="1">
      <alignment horizontal="center" wrapText="1"/>
    </xf>
    <xf numFmtId="0" fontId="0" fillId="0" borderId="6" xfId="0" applyBorder="1" applyAlignment="1">
      <alignment horizontal="center" wrapText="1"/>
    </xf>
    <xf numFmtId="0" fontId="15" fillId="0" borderId="1" xfId="0" applyFont="1" applyBorder="1" applyAlignment="1">
      <alignment horizontal="center"/>
    </xf>
    <xf numFmtId="164" fontId="16" fillId="0" borderId="0" xfId="0" applyNumberFormat="1" applyFont="1" applyAlignment="1">
      <alignment horizontal="center"/>
    </xf>
    <xf numFmtId="0" fontId="17" fillId="0" borderId="1" xfId="0" applyFont="1" applyBorder="1" applyAlignment="1">
      <alignment horizontal="center"/>
    </xf>
    <xf numFmtId="164" fontId="18" fillId="0" borderId="0" xfId="0" applyNumberFormat="1" applyFont="1" applyAlignment="1">
      <alignment horizontal="center"/>
    </xf>
    <xf numFmtId="0" fontId="15" fillId="0" borderId="0" xfId="0" applyFont="1" applyAlignment="1">
      <alignment horizontal="center"/>
    </xf>
    <xf numFmtId="0" fontId="0" fillId="0" borderId="7" xfId="0" applyBorder="1" applyAlignment="1">
      <alignment horizontal="center"/>
    </xf>
    <xf numFmtId="0" fontId="0" fillId="0" borderId="8" xfId="0" applyBorder="1" applyAlignment="1">
      <alignment horizontal="center" wrapText="1"/>
    </xf>
    <xf numFmtId="0" fontId="0" fillId="0" borderId="9" xfId="0" applyBorder="1" applyAlignment="1">
      <alignment horizontal="center" wrapText="1"/>
    </xf>
    <xf numFmtId="164" fontId="14" fillId="0" borderId="10" xfId="0" applyNumberFormat="1" applyFont="1" applyBorder="1" applyAlignment="1">
      <alignment horizontal="center"/>
    </xf>
    <xf numFmtId="164" fontId="0" fillId="0" borderId="10" xfId="0" applyNumberFormat="1" applyBorder="1" applyAlignment="1">
      <alignment horizontal="center"/>
    </xf>
    <xf numFmtId="0" fontId="0" fillId="0" borderId="11" xfId="0" applyBorder="1" applyAlignment="1">
      <alignment horizontal="center"/>
    </xf>
    <xf numFmtId="164" fontId="0" fillId="0" borderId="11" xfId="0" applyNumberFormat="1" applyBorder="1" applyAlignment="1">
      <alignment horizontal="center"/>
    </xf>
    <xf numFmtId="164" fontId="0" fillId="0" borderId="12" xfId="0" applyNumberFormat="1" applyBorder="1" applyAlignment="1">
      <alignment horizontal="center"/>
    </xf>
    <xf numFmtId="0" fontId="17" fillId="0" borderId="13" xfId="0" applyFont="1" applyBorder="1" applyAlignment="1">
      <alignment horizontal="center"/>
    </xf>
    <xf numFmtId="164" fontId="0" fillId="0" borderId="14" xfId="0" applyNumberFormat="1" applyBorder="1" applyAlignment="1">
      <alignment horizontal="center"/>
    </xf>
    <xf numFmtId="0" fontId="19" fillId="0" borderId="0" xfId="0" applyFont="1" applyAlignment="1">
      <alignment horizontal="center"/>
    </xf>
    <xf numFmtId="0" fontId="19" fillId="0" borderId="11" xfId="0" applyFont="1" applyBorder="1" applyAlignment="1">
      <alignment horizontal="center"/>
    </xf>
    <xf numFmtId="164" fontId="20" fillId="0" borderId="0" xfId="0" applyNumberFormat="1" applyFont="1" applyAlignment="1">
      <alignment horizontal="center"/>
    </xf>
    <xf numFmtId="164" fontId="19" fillId="0" borderId="0" xfId="0" applyNumberFormat="1" applyFont="1" applyAlignment="1">
      <alignment horizontal="center"/>
    </xf>
    <xf numFmtId="164" fontId="19" fillId="0" borderId="11" xfId="0" applyNumberFormat="1" applyFont="1" applyBorder="1" applyAlignment="1">
      <alignment horizontal="center"/>
    </xf>
    <xf numFmtId="164" fontId="15" fillId="0" borderId="0" xfId="0" applyNumberFormat="1" applyFont="1" applyAlignment="1">
      <alignment horizontal="center"/>
    </xf>
    <xf numFmtId="164" fontId="21" fillId="0" borderId="0" xfId="0" applyNumberFormat="1" applyFont="1" applyAlignment="1">
      <alignment horizontal="center"/>
    </xf>
    <xf numFmtId="164" fontId="21" fillId="0" borderId="11" xfId="0" applyNumberFormat="1" applyFont="1" applyBorder="1" applyAlignment="1">
      <alignment horizontal="center"/>
    </xf>
    <xf numFmtId="0" fontId="0" fillId="0" borderId="10" xfId="0" applyBorder="1" applyAlignment="1">
      <alignment horizontal="center" wrapText="1"/>
    </xf>
    <xf numFmtId="0" fontId="19" fillId="0" borderId="15" xfId="0" applyFont="1" applyBorder="1" applyAlignment="1">
      <alignment horizontal="center"/>
    </xf>
    <xf numFmtId="0" fontId="19" fillId="0" borderId="16" xfId="0" applyFont="1" applyBorder="1" applyAlignment="1">
      <alignment horizontal="center"/>
    </xf>
    <xf numFmtId="0" fontId="0" fillId="0" borderId="11" xfId="0" applyBorder="1"/>
    <xf numFmtId="0" fontId="14" fillId="0" borderId="15" xfId="0" applyFont="1" applyBorder="1" applyAlignment="1">
      <alignment horizontal="center"/>
    </xf>
    <xf numFmtId="0" fontId="14" fillId="0" borderId="0" xfId="0" applyFont="1" applyAlignment="1">
      <alignment horizontal="center"/>
    </xf>
    <xf numFmtId="164" fontId="14" fillId="0" borderId="0" xfId="0" applyNumberFormat="1" applyFont="1" applyAlignment="1">
      <alignment horizontal="center"/>
    </xf>
    <xf numFmtId="164" fontId="22" fillId="0" borderId="0" xfId="0" applyNumberFormat="1" applyFont="1" applyAlignment="1">
      <alignment horizontal="center"/>
    </xf>
    <xf numFmtId="0" fontId="0" fillId="0" borderId="15" xfId="0" applyBorder="1" applyAlignment="1">
      <alignment horizontal="center" wrapText="1"/>
    </xf>
    <xf numFmtId="0" fontId="14" fillId="0" borderId="16" xfId="0" applyFont="1" applyBorder="1" applyAlignment="1">
      <alignment horizontal="center"/>
    </xf>
    <xf numFmtId="0" fontId="29" fillId="0" borderId="17" xfId="0" applyFont="1" applyBorder="1" applyAlignment="1">
      <alignment horizontal="center"/>
    </xf>
    <xf numFmtId="0" fontId="0" fillId="0" borderId="18" xfId="0" applyBorder="1" applyAlignment="1">
      <alignment horizontal="center"/>
    </xf>
    <xf numFmtId="0" fontId="30" fillId="0" borderId="15" xfId="0" applyFont="1" applyBorder="1" applyAlignment="1">
      <alignment horizontal="center"/>
    </xf>
    <xf numFmtId="0" fontId="0" fillId="0" borderId="10" xfId="0" applyBorder="1" applyAlignment="1">
      <alignment horizontal="center"/>
    </xf>
    <xf numFmtId="0" fontId="30" fillId="0" borderId="10" xfId="0" applyFont="1" applyBorder="1" applyAlignment="1">
      <alignment horizontal="center"/>
    </xf>
    <xf numFmtId="0" fontId="30" fillId="0" borderId="16" xfId="0" applyFont="1" applyBorder="1" applyAlignment="1">
      <alignment horizontal="center"/>
    </xf>
    <xf numFmtId="0" fontId="30" fillId="0" borderId="14" xfId="0" applyFont="1" applyBorder="1" applyAlignment="1">
      <alignment horizontal="center"/>
    </xf>
    <xf numFmtId="0" fontId="30" fillId="0" borderId="0" xfId="0" applyFont="1" applyAlignment="1">
      <alignment horizontal="center"/>
    </xf>
    <xf numFmtId="0" fontId="30" fillId="0" borderId="18" xfId="0" applyFont="1" applyBorder="1" applyAlignment="1">
      <alignment horizontal="center"/>
    </xf>
    <xf numFmtId="0" fontId="29" fillId="0" borderId="0" xfId="0" applyFont="1" applyAlignment="1">
      <alignment horizontal="center"/>
    </xf>
    <xf numFmtId="0" fontId="30" fillId="0" borderId="11" xfId="0" applyFont="1" applyBorder="1" applyAlignment="1">
      <alignment horizontal="center"/>
    </xf>
    <xf numFmtId="0" fontId="30" fillId="0" borderId="7" xfId="0" applyFont="1" applyBorder="1" applyAlignment="1">
      <alignment horizontal="center"/>
    </xf>
    <xf numFmtId="0" fontId="0" fillId="0" borderId="15" xfId="0" applyBorder="1" applyAlignment="1">
      <alignment horizontal="center"/>
    </xf>
    <xf numFmtId="0" fontId="30" fillId="0" borderId="0" xfId="0" applyFont="1" applyAlignment="1">
      <alignment horizontal="center" wrapText="1"/>
    </xf>
    <xf numFmtId="0" fontId="30" fillId="0" borderId="15" xfId="0" applyFont="1" applyBorder="1" applyAlignment="1">
      <alignment horizontal="center" wrapText="1"/>
    </xf>
    <xf numFmtId="0" fontId="30" fillId="0" borderId="10" xfId="0" applyFont="1" applyBorder="1" applyAlignment="1">
      <alignment horizontal="center" wrapText="1"/>
    </xf>
    <xf numFmtId="0" fontId="30" fillId="0" borderId="11" xfId="0" applyFont="1" applyBorder="1" applyAlignment="1">
      <alignment horizontal="center" wrapText="1"/>
    </xf>
    <xf numFmtId="0" fontId="30" fillId="0" borderId="14" xfId="0" applyFont="1" applyBorder="1" applyAlignment="1">
      <alignment horizontal="center" wrapText="1"/>
    </xf>
    <xf numFmtId="0" fontId="30" fillId="0" borderId="18" xfId="0" applyFont="1" applyBorder="1" applyAlignment="1">
      <alignment horizontal="center" wrapText="1"/>
    </xf>
    <xf numFmtId="0" fontId="30" fillId="0" borderId="16" xfId="0" applyFont="1" applyBorder="1" applyAlignment="1">
      <alignment horizontal="center" wrapText="1"/>
    </xf>
    <xf numFmtId="0" fontId="29" fillId="0" borderId="0" xfId="0" applyFont="1" applyAlignment="1">
      <alignment horizontal="center" wrapText="1"/>
    </xf>
    <xf numFmtId="0" fontId="29" fillId="0" borderId="7" xfId="0" applyFont="1" applyBorder="1" applyAlignment="1">
      <alignment horizontal="center"/>
    </xf>
    <xf numFmtId="0" fontId="29" fillId="0" borderId="18" xfId="0" applyFont="1" applyBorder="1" applyAlignment="1">
      <alignment horizontal="center"/>
    </xf>
    <xf numFmtId="0" fontId="30" fillId="0" borderId="32" xfId="0" applyFont="1" applyBorder="1" applyAlignment="1">
      <alignment horizontal="center"/>
    </xf>
    <xf numFmtId="0" fontId="30" fillId="0" borderId="0" xfId="0" applyFont="1"/>
    <xf numFmtId="0" fontId="35" fillId="0" borderId="0" xfId="0" applyFont="1" applyAlignment="1">
      <alignment horizontal="center"/>
    </xf>
    <xf numFmtId="0" fontId="35" fillId="0" borderId="11" xfId="0" applyFont="1" applyBorder="1" applyAlignment="1">
      <alignment horizontal="center"/>
    </xf>
    <xf numFmtId="0" fontId="13" fillId="0" borderId="7" xfId="0" applyFont="1" applyBorder="1" applyAlignment="1">
      <alignment vertical="top" wrapText="1"/>
    </xf>
    <xf numFmtId="0" fontId="20" fillId="0" borderId="0" xfId="0" applyFont="1" applyAlignment="1">
      <alignment horizontal="center"/>
    </xf>
    <xf numFmtId="0" fontId="22" fillId="0" borderId="17" xfId="0" applyFont="1" applyBorder="1"/>
    <xf numFmtId="0" fontId="22" fillId="0" borderId="7" xfId="0" applyFont="1" applyBorder="1"/>
    <xf numFmtId="0" fontId="23" fillId="0" borderId="24" xfId="0" applyFont="1" applyBorder="1" applyAlignment="1">
      <alignment horizontal="center" vertical="center"/>
    </xf>
    <xf numFmtId="0" fontId="23" fillId="0" borderId="25" xfId="0" applyFont="1" applyBorder="1" applyAlignment="1">
      <alignment horizontal="center" vertical="center"/>
    </xf>
    <xf numFmtId="0" fontId="23" fillId="0" borderId="26" xfId="0" applyFont="1" applyBorder="1" applyAlignment="1">
      <alignment horizontal="center" vertical="center"/>
    </xf>
    <xf numFmtId="0" fontId="24" fillId="0" borderId="27" xfId="0" applyFont="1" applyBorder="1" applyAlignment="1">
      <alignment horizontal="center" wrapText="1"/>
    </xf>
    <xf numFmtId="0" fontId="24" fillId="0" borderId="28" xfId="0" applyFont="1" applyBorder="1" applyAlignment="1">
      <alignment horizontal="center" wrapText="1"/>
    </xf>
    <xf numFmtId="0" fontId="24" fillId="0" borderId="29" xfId="0" applyFont="1" applyBorder="1" applyAlignment="1">
      <alignment horizontal="center" wrapText="1"/>
    </xf>
    <xf numFmtId="0" fontId="27" fillId="0" borderId="30" xfId="0" applyFont="1" applyBorder="1" applyAlignment="1">
      <alignment horizontal="center" wrapText="1"/>
    </xf>
    <xf numFmtId="0" fontId="27" fillId="0" borderId="28" xfId="0" applyFont="1" applyBorder="1" applyAlignment="1">
      <alignment horizontal="center" wrapText="1"/>
    </xf>
    <xf numFmtId="0" fontId="27" fillId="0" borderId="31" xfId="0" applyFont="1" applyBorder="1" applyAlignment="1">
      <alignment horizontal="center" wrapText="1"/>
    </xf>
    <xf numFmtId="0" fontId="25" fillId="0" borderId="19" xfId="0" applyFont="1" applyBorder="1" applyAlignment="1">
      <alignment horizontal="center" wrapText="1"/>
    </xf>
    <xf numFmtId="0" fontId="25" fillId="0" borderId="20" xfId="0" applyFont="1" applyBorder="1" applyAlignment="1">
      <alignment horizontal="center" wrapText="1"/>
    </xf>
    <xf numFmtId="0" fontId="25" fillId="0" borderId="22" xfId="0" applyFont="1" applyBorder="1" applyAlignment="1">
      <alignment horizontal="center" wrapText="1"/>
    </xf>
    <xf numFmtId="0" fontId="26" fillId="0" borderId="23" xfId="0" applyFont="1" applyBorder="1" applyAlignment="1">
      <alignment horizontal="center" vertical="center" wrapText="1"/>
    </xf>
    <xf numFmtId="0" fontId="26" fillId="0" borderId="20" xfId="0" applyFont="1" applyBorder="1" applyAlignment="1">
      <alignment horizontal="center" vertical="center" wrapText="1"/>
    </xf>
    <xf numFmtId="0" fontId="26" fillId="0" borderId="21" xfId="0" applyFont="1" applyBorder="1" applyAlignment="1">
      <alignment horizontal="center" vertical="center" wrapText="1"/>
    </xf>
    <xf numFmtId="0" fontId="20" fillId="0" borderId="17" xfId="0" applyFont="1" applyBorder="1" applyAlignment="1">
      <alignment horizontal="center"/>
    </xf>
    <xf numFmtId="0" fontId="20" fillId="0" borderId="7" xfId="0" applyFont="1" applyBorder="1" applyAlignment="1">
      <alignment horizontal="center"/>
    </xf>
    <xf numFmtId="0" fontId="19" fillId="0" borderId="7" xfId="0" applyFont="1" applyBorder="1" applyAlignment="1">
      <alignment horizontal="left" vertical="top" wrapText="1"/>
    </xf>
    <xf numFmtId="0" fontId="19" fillId="0" borderId="0" xfId="0" applyFont="1" applyAlignment="1">
      <alignment horizontal="left" vertical="top" wrapText="1"/>
    </xf>
    <xf numFmtId="0" fontId="13" fillId="2" borderId="7" xfId="0" applyFont="1" applyFill="1" applyBorder="1" applyAlignment="1">
      <alignment horizontal="center" vertical="top" wrapText="1"/>
    </xf>
    <xf numFmtId="0" fontId="13" fillId="0" borderId="0" xfId="0" applyFont="1" applyAlignment="1">
      <alignment horizontal="left" vertical="top" wrapText="1"/>
    </xf>
    <xf numFmtId="0" fontId="23" fillId="2" borderId="24" xfId="0" applyFont="1" applyFill="1" applyBorder="1" applyAlignment="1">
      <alignment horizontal="center" vertical="center"/>
    </xf>
    <xf numFmtId="0" fontId="23" fillId="2" borderId="25" xfId="0" applyFont="1" applyFill="1" applyBorder="1" applyAlignment="1">
      <alignment horizontal="center" vertical="center"/>
    </xf>
    <xf numFmtId="0" fontId="23" fillId="2" borderId="26" xfId="0" applyFont="1" applyFill="1" applyBorder="1" applyAlignment="1">
      <alignment horizontal="center" vertical="center"/>
    </xf>
    <xf numFmtId="0" fontId="25" fillId="0" borderId="19"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22" xfId="0" applyFont="1" applyBorder="1" applyAlignment="1">
      <alignment horizontal="center" vertical="center" wrapText="1"/>
    </xf>
    <xf numFmtId="0" fontId="26" fillId="0" borderId="23" xfId="0" applyFont="1" applyBorder="1" applyAlignment="1">
      <alignment horizontal="center" wrapText="1"/>
    </xf>
    <xf numFmtId="0" fontId="26" fillId="0" borderId="20" xfId="0" applyFont="1" applyBorder="1" applyAlignment="1">
      <alignment horizontal="center" wrapText="1"/>
    </xf>
    <xf numFmtId="0" fontId="26" fillId="0" borderId="21" xfId="0" applyFont="1" applyBorder="1" applyAlignment="1">
      <alignment horizontal="center" wrapText="1"/>
    </xf>
    <xf numFmtId="0" fontId="23" fillId="0" borderId="17" xfId="0" applyFont="1" applyBorder="1" applyAlignment="1">
      <alignment horizontal="center"/>
    </xf>
    <xf numFmtId="0" fontId="23" fillId="0" borderId="7" xfId="0" applyFont="1" applyBorder="1" applyAlignment="1">
      <alignment horizontal="center"/>
    </xf>
    <xf numFmtId="0" fontId="23" fillId="0" borderId="18" xfId="0" applyFont="1" applyBorder="1" applyAlignment="1">
      <alignment horizontal="center"/>
    </xf>
    <xf numFmtId="0" fontId="0" fillId="0" borderId="0" xfId="0" applyAlignment="1">
      <alignment horizontal="left" wrapText="1"/>
    </xf>
    <xf numFmtId="0" fontId="13" fillId="0" borderId="0" xfId="0" applyFont="1" applyAlignment="1">
      <alignment horizontal="left"/>
    </xf>
    <xf numFmtId="0" fontId="28" fillId="0" borderId="0" xfId="0" applyFont="1" applyAlignment="1">
      <alignment horizontal="center"/>
    </xf>
    <xf numFmtId="0" fontId="24" fillId="0" borderId="19" xfId="0" applyFont="1" applyBorder="1" applyAlignment="1">
      <alignment horizontal="center" wrapText="1"/>
    </xf>
    <xf numFmtId="0" fontId="24" fillId="0" borderId="20" xfId="0" applyFont="1" applyBorder="1" applyAlignment="1">
      <alignment horizontal="center" wrapText="1"/>
    </xf>
    <xf numFmtId="0" fontId="24" fillId="0" borderId="21" xfId="0" applyFont="1" applyBorder="1" applyAlignment="1">
      <alignment horizontal="center" wrapText="1"/>
    </xf>
    <xf numFmtId="0" fontId="40" fillId="0" borderId="7" xfId="0" applyFont="1" applyBorder="1" applyAlignment="1">
      <alignment horizontal="left" vertical="top" wrapText="1"/>
    </xf>
    <xf numFmtId="0" fontId="29" fillId="3" borderId="17" xfId="0" applyFont="1" applyFill="1" applyBorder="1" applyAlignment="1">
      <alignment horizontal="center"/>
    </xf>
    <xf numFmtId="0" fontId="29" fillId="3" borderId="18" xfId="0" applyFont="1" applyFill="1" applyBorder="1" applyAlignment="1">
      <alignment horizontal="center"/>
    </xf>
    <xf numFmtId="0" fontId="0" fillId="3"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210803%20MCF7%20Long-Term%20Monthly%20counts%20and%20alternating_Palbo,ICI,AZD17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F7 10w MonoPalbo-AltICI #3"/>
      <sheetName val="Sheet1"/>
    </sheetNames>
    <sheetDataSet>
      <sheetData sheetId="0">
        <row r="211">
          <cell r="E211">
            <v>47000</v>
          </cell>
          <cell r="M211">
            <v>42000</v>
          </cell>
        </row>
        <row r="212">
          <cell r="E212">
            <v>48000</v>
          </cell>
          <cell r="M212">
            <v>48000</v>
          </cell>
        </row>
        <row r="213">
          <cell r="E213">
            <v>38000</v>
          </cell>
          <cell r="M213">
            <v>40000</v>
          </cell>
        </row>
        <row r="216">
          <cell r="E216">
            <v>49000</v>
          </cell>
          <cell r="M216">
            <v>42000</v>
          </cell>
        </row>
        <row r="217">
          <cell r="E217">
            <v>56000</v>
          </cell>
          <cell r="M217">
            <v>49000</v>
          </cell>
        </row>
        <row r="218">
          <cell r="E218">
            <v>39000</v>
          </cell>
          <cell r="M218">
            <v>44000</v>
          </cell>
        </row>
        <row r="222">
          <cell r="E222">
            <v>1927000</v>
          </cell>
          <cell r="M222">
            <v>373000</v>
          </cell>
        </row>
        <row r="223">
          <cell r="E223">
            <v>1971000</v>
          </cell>
          <cell r="M223">
            <v>393000</v>
          </cell>
        </row>
        <row r="224">
          <cell r="E224">
            <v>2097000</v>
          </cell>
          <cell r="M224">
            <v>377000</v>
          </cell>
        </row>
        <row r="227">
          <cell r="E227">
            <v>1960000</v>
          </cell>
          <cell r="M227">
            <v>81000</v>
          </cell>
        </row>
        <row r="228">
          <cell r="E228">
            <v>2004000</v>
          </cell>
          <cell r="M228">
            <v>79000</v>
          </cell>
        </row>
        <row r="229">
          <cell r="E229">
            <v>2070000</v>
          </cell>
          <cell r="M229">
            <v>92000</v>
          </cell>
        </row>
        <row r="237">
          <cell r="E237">
            <v>41000</v>
          </cell>
          <cell r="M237">
            <v>47000</v>
          </cell>
        </row>
        <row r="238">
          <cell r="E238">
            <v>36000</v>
          </cell>
          <cell r="M238">
            <v>35000</v>
          </cell>
        </row>
        <row r="239">
          <cell r="E239">
            <v>38000</v>
          </cell>
          <cell r="M239">
            <v>34000</v>
          </cell>
        </row>
        <row r="242">
          <cell r="E242">
            <v>46000</v>
          </cell>
          <cell r="M242">
            <v>45000</v>
          </cell>
        </row>
        <row r="243">
          <cell r="E243">
            <v>46000</v>
          </cell>
          <cell r="M243">
            <v>44000</v>
          </cell>
        </row>
        <row r="244">
          <cell r="E244">
            <v>37000</v>
          </cell>
          <cell r="M244">
            <v>47000</v>
          </cell>
        </row>
        <row r="252">
          <cell r="E252">
            <v>2919000</v>
          </cell>
          <cell r="M252">
            <v>1281600</v>
          </cell>
        </row>
        <row r="253">
          <cell r="E253">
            <v>2742600</v>
          </cell>
          <cell r="M253">
            <v>1210800</v>
          </cell>
        </row>
        <row r="254">
          <cell r="E254">
            <v>2696400</v>
          </cell>
          <cell r="M254">
            <v>1087200</v>
          </cell>
        </row>
        <row r="257">
          <cell r="E257">
            <v>1611400</v>
          </cell>
          <cell r="M257">
            <v>90000</v>
          </cell>
        </row>
        <row r="258">
          <cell r="E258">
            <v>1719200</v>
          </cell>
          <cell r="M258">
            <v>114000</v>
          </cell>
        </row>
        <row r="259">
          <cell r="E259">
            <v>1575000</v>
          </cell>
          <cell r="M259">
            <v>123000</v>
          </cell>
        </row>
        <row r="267">
          <cell r="E267">
            <v>39000</v>
          </cell>
          <cell r="M267">
            <v>31000</v>
          </cell>
        </row>
        <row r="268">
          <cell r="E268">
            <v>36000</v>
          </cell>
          <cell r="M268">
            <v>43000</v>
          </cell>
        </row>
        <row r="269">
          <cell r="E269">
            <v>42000</v>
          </cell>
          <cell r="M269">
            <v>45000</v>
          </cell>
        </row>
        <row r="272">
          <cell r="E272">
            <v>41000</v>
          </cell>
          <cell r="M272">
            <v>32000</v>
          </cell>
        </row>
        <row r="273">
          <cell r="E273">
            <v>38000</v>
          </cell>
          <cell r="M273">
            <v>34000</v>
          </cell>
        </row>
        <row r="274">
          <cell r="E274">
            <v>36000</v>
          </cell>
          <cell r="M274">
            <v>28000</v>
          </cell>
        </row>
        <row r="280">
          <cell r="E280">
            <v>4776000</v>
          </cell>
          <cell r="M280">
            <v>2366000</v>
          </cell>
        </row>
        <row r="281">
          <cell r="E281">
            <v>4584000</v>
          </cell>
          <cell r="M281">
            <v>2434000</v>
          </cell>
        </row>
        <row r="282">
          <cell r="E282">
            <v>4504000</v>
          </cell>
          <cell r="M282">
            <v>2418000</v>
          </cell>
        </row>
        <row r="285">
          <cell r="E285">
            <v>3557000</v>
          </cell>
          <cell r="M285">
            <v>170000</v>
          </cell>
        </row>
        <row r="286">
          <cell r="E286">
            <v>3420000</v>
          </cell>
          <cell r="M286">
            <v>152000</v>
          </cell>
        </row>
        <row r="287">
          <cell r="E287">
            <v>3941000</v>
          </cell>
          <cell r="M287">
            <v>161000</v>
          </cell>
        </row>
        <row r="294">
          <cell r="E294">
            <v>47000</v>
          </cell>
          <cell r="M294">
            <v>41000</v>
          </cell>
        </row>
        <row r="295">
          <cell r="E295">
            <v>42000</v>
          </cell>
          <cell r="M295">
            <v>46000</v>
          </cell>
        </row>
        <row r="296">
          <cell r="E296">
            <v>36000</v>
          </cell>
          <cell r="M296">
            <v>46000</v>
          </cell>
        </row>
        <row r="299">
          <cell r="E299">
            <v>44000</v>
          </cell>
          <cell r="M299">
            <v>44000</v>
          </cell>
        </row>
        <row r="300">
          <cell r="E300">
            <v>45000</v>
          </cell>
          <cell r="M300">
            <v>37000</v>
          </cell>
        </row>
        <row r="301">
          <cell r="E301">
            <v>53000</v>
          </cell>
          <cell r="M301">
            <v>41000</v>
          </cell>
        </row>
        <row r="306">
          <cell r="E306">
            <v>5473000</v>
          </cell>
          <cell r="M306">
            <v>2750000</v>
          </cell>
        </row>
        <row r="307">
          <cell r="E307">
            <v>5979000</v>
          </cell>
          <cell r="M307">
            <v>2511000</v>
          </cell>
        </row>
        <row r="308">
          <cell r="E308">
            <v>6036000</v>
          </cell>
          <cell r="M308">
            <v>2559000</v>
          </cell>
        </row>
        <row r="311">
          <cell r="E311">
            <v>2182000</v>
          </cell>
          <cell r="M311">
            <v>183000</v>
          </cell>
        </row>
        <row r="312">
          <cell r="M312">
            <v>167000</v>
          </cell>
        </row>
        <row r="313">
          <cell r="E313">
            <v>2113000</v>
          </cell>
          <cell r="M313">
            <v>185000</v>
          </cell>
        </row>
        <row r="321">
          <cell r="E321">
            <v>59000</v>
          </cell>
          <cell r="M321">
            <v>67000</v>
          </cell>
        </row>
        <row r="322">
          <cell r="E322">
            <v>70000</v>
          </cell>
          <cell r="M322">
            <v>73000</v>
          </cell>
        </row>
        <row r="323">
          <cell r="E323">
            <v>69000</v>
          </cell>
          <cell r="M323">
            <v>78000</v>
          </cell>
        </row>
        <row r="326">
          <cell r="E326">
            <v>58000</v>
          </cell>
          <cell r="M326">
            <v>58000</v>
          </cell>
        </row>
        <row r="327">
          <cell r="E327">
            <v>63000</v>
          </cell>
          <cell r="M327">
            <v>60000</v>
          </cell>
        </row>
        <row r="328">
          <cell r="E328">
            <v>73000</v>
          </cell>
          <cell r="M328">
            <v>62000</v>
          </cell>
        </row>
        <row r="333">
          <cell r="E333">
            <v>5544000</v>
          </cell>
          <cell r="M333">
            <v>2560000</v>
          </cell>
        </row>
        <row r="334">
          <cell r="E334">
            <v>4958000</v>
          </cell>
          <cell r="M334">
            <v>2437000</v>
          </cell>
        </row>
        <row r="335">
          <cell r="E335">
            <v>4983000</v>
          </cell>
          <cell r="M335">
            <v>2553000</v>
          </cell>
        </row>
        <row r="338">
          <cell r="E338">
            <v>2534000</v>
          </cell>
          <cell r="M338">
            <v>344000</v>
          </cell>
        </row>
        <row r="339">
          <cell r="E339">
            <v>2712000</v>
          </cell>
          <cell r="M339">
            <v>420000</v>
          </cell>
        </row>
        <row r="340">
          <cell r="E340">
            <v>2540000</v>
          </cell>
          <cell r="M340">
            <v>299000</v>
          </cell>
        </row>
      </sheetData>
      <sheetData sheetId="1">
        <row r="264">
          <cell r="B264">
            <v>72666.666666666672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5"/>
  <sheetViews>
    <sheetView topLeftCell="A158" workbookViewId="0">
      <selection activeCell="M171" sqref="M171"/>
    </sheetView>
  </sheetViews>
  <sheetFormatPr baseColWidth="10" defaultRowHeight="15" x14ac:dyDescent="0.2"/>
  <cols>
    <col min="1" max="1" width="18.6640625" bestFit="1" customWidth="1"/>
    <col min="2" max="2" width="8.83203125" customWidth="1"/>
    <col min="3" max="8" width="9.5" bestFit="1" customWidth="1"/>
    <col min="9" max="9" width="18.6640625" bestFit="1" customWidth="1"/>
    <col min="10" max="10" width="8.83203125" customWidth="1"/>
    <col min="11" max="11" width="9.5" bestFit="1" customWidth="1"/>
    <col min="12" max="12" width="8.83203125" customWidth="1"/>
    <col min="13" max="15" width="9.5" bestFit="1" customWidth="1"/>
    <col min="16" max="256" width="8.83203125" customWidth="1"/>
  </cols>
  <sheetData>
    <row r="1" spans="1:17" ht="21" x14ac:dyDescent="0.25">
      <c r="B1" s="112" t="s">
        <v>28</v>
      </c>
      <c r="C1" s="112"/>
      <c r="D1" s="112"/>
      <c r="E1" s="112"/>
      <c r="F1" s="112"/>
      <c r="G1" s="112"/>
      <c r="H1" s="112"/>
    </row>
    <row r="2" spans="1:17" x14ac:dyDescent="0.2">
      <c r="A2" s="111" t="s">
        <v>23</v>
      </c>
      <c r="B2" s="111"/>
      <c r="C2" s="111"/>
      <c r="D2" s="111"/>
      <c r="E2" s="111"/>
      <c r="F2" s="111"/>
      <c r="G2" s="111"/>
    </row>
    <row r="3" spans="1:17" ht="16.5" customHeight="1" x14ac:dyDescent="0.2">
      <c r="A3" s="97" t="s">
        <v>24</v>
      </c>
      <c r="B3" s="97"/>
      <c r="C3" s="97"/>
      <c r="D3" s="97"/>
      <c r="E3" s="97"/>
      <c r="F3" s="97"/>
      <c r="G3" s="97"/>
      <c r="H3" s="97"/>
      <c r="I3" s="97"/>
    </row>
    <row r="4" spans="1:17" ht="20.25" customHeight="1" x14ac:dyDescent="0.2">
      <c r="A4" s="97"/>
      <c r="B4" s="97"/>
      <c r="C4" s="97"/>
      <c r="D4" s="97"/>
      <c r="E4" s="97"/>
      <c r="F4" s="97"/>
      <c r="G4" s="97"/>
      <c r="H4" s="97"/>
      <c r="I4" s="97"/>
    </row>
    <row r="5" spans="1:17" x14ac:dyDescent="0.2">
      <c r="A5" s="111" t="s">
        <v>25</v>
      </c>
      <c r="B5" s="111"/>
    </row>
    <row r="6" spans="1:17" x14ac:dyDescent="0.2">
      <c r="A6" s="110" t="s">
        <v>26</v>
      </c>
      <c r="B6" s="110"/>
      <c r="C6" s="110"/>
      <c r="D6" s="110"/>
      <c r="E6" s="110"/>
      <c r="F6" s="110"/>
      <c r="G6" s="110"/>
      <c r="H6" s="110"/>
      <c r="I6" s="110"/>
    </row>
    <row r="7" spans="1:17" x14ac:dyDescent="0.2">
      <c r="A7" s="110"/>
      <c r="B7" s="110"/>
      <c r="C7" s="110"/>
      <c r="D7" s="110"/>
      <c r="E7" s="110"/>
      <c r="F7" s="110"/>
      <c r="G7" s="110"/>
      <c r="H7" s="110"/>
      <c r="I7" s="110"/>
    </row>
    <row r="8" spans="1:17" ht="16" thickBot="1" x14ac:dyDescent="0.25"/>
    <row r="9" spans="1:17" ht="19" x14ac:dyDescent="0.25">
      <c r="A9" s="107" t="s">
        <v>18</v>
      </c>
      <c r="B9" s="108"/>
      <c r="C9" s="108"/>
      <c r="D9" s="108"/>
      <c r="E9" s="108"/>
      <c r="F9" s="108"/>
      <c r="G9" s="109"/>
      <c r="O9" s="1"/>
    </row>
    <row r="10" spans="1:17" ht="16" x14ac:dyDescent="0.2">
      <c r="A10" s="113" t="s">
        <v>0</v>
      </c>
      <c r="B10" s="114"/>
      <c r="C10" s="114"/>
      <c r="D10" s="114"/>
      <c r="E10" s="114"/>
      <c r="F10" s="114"/>
      <c r="G10" s="115"/>
      <c r="O10" s="1"/>
    </row>
    <row r="11" spans="1:17" ht="32" x14ac:dyDescent="0.2">
      <c r="A11" s="44" t="s">
        <v>1</v>
      </c>
      <c r="B11" s="3" t="s">
        <v>2</v>
      </c>
      <c r="C11" s="3" t="s">
        <v>3</v>
      </c>
      <c r="D11" s="3" t="s">
        <v>4</v>
      </c>
      <c r="E11" s="3" t="s">
        <v>5</v>
      </c>
      <c r="F11" s="4" t="s">
        <v>6</v>
      </c>
      <c r="G11" s="36" t="s">
        <v>7</v>
      </c>
      <c r="H11" s="1"/>
      <c r="I11" s="1"/>
      <c r="J11" s="1"/>
      <c r="K11" s="1"/>
      <c r="L11" s="1"/>
      <c r="M11" s="1"/>
      <c r="N11" s="1"/>
      <c r="O11" s="1"/>
    </row>
    <row r="12" spans="1:17" x14ac:dyDescent="0.2">
      <c r="A12" s="40" t="s">
        <v>8</v>
      </c>
      <c r="B12" s="1">
        <v>61</v>
      </c>
      <c r="C12" s="5">
        <f t="shared" ref="C12:C17" si="0">B12*400</f>
        <v>24400</v>
      </c>
      <c r="D12" s="1">
        <v>2.5</v>
      </c>
      <c r="E12" s="5">
        <f t="shared" ref="E12:E17" si="1">C12*D12</f>
        <v>61000</v>
      </c>
      <c r="F12" s="43">
        <f>AVERAGE(E12:E17)</f>
        <v>70833.333333333328</v>
      </c>
      <c r="G12" s="21">
        <f>_xlfn.STDEV.S(E12:E17)</f>
        <v>10796.604404472104</v>
      </c>
      <c r="H12" s="1"/>
      <c r="I12" s="1"/>
      <c r="J12" s="1"/>
      <c r="K12" s="1"/>
      <c r="L12" s="1"/>
      <c r="M12" s="1"/>
      <c r="N12" s="1"/>
      <c r="O12" s="1"/>
      <c r="Q12" s="1"/>
    </row>
    <row r="13" spans="1:17" x14ac:dyDescent="0.2">
      <c r="A13" s="40" t="s">
        <v>9</v>
      </c>
      <c r="B13" s="1">
        <v>60</v>
      </c>
      <c r="C13" s="5">
        <f t="shared" si="0"/>
        <v>24000</v>
      </c>
      <c r="D13" s="1">
        <v>2.5</v>
      </c>
      <c r="E13" s="5">
        <f t="shared" si="1"/>
        <v>60000</v>
      </c>
      <c r="F13" s="43"/>
      <c r="G13" s="21"/>
      <c r="H13" s="1"/>
      <c r="I13" s="1"/>
      <c r="J13" s="1"/>
      <c r="K13" s="1"/>
      <c r="L13" s="1"/>
      <c r="M13" s="1"/>
      <c r="N13" s="1"/>
      <c r="O13" s="1"/>
      <c r="Q13" s="1"/>
    </row>
    <row r="14" spans="1:17" x14ac:dyDescent="0.2">
      <c r="A14" s="40" t="s">
        <v>19</v>
      </c>
      <c r="B14" s="1">
        <v>72</v>
      </c>
      <c r="C14" s="5">
        <f t="shared" si="0"/>
        <v>28800</v>
      </c>
      <c r="D14" s="1">
        <v>2.5</v>
      </c>
      <c r="E14" s="5">
        <f t="shared" si="1"/>
        <v>72000</v>
      </c>
      <c r="F14" s="5"/>
      <c r="G14" s="22"/>
      <c r="H14" s="1"/>
      <c r="I14" s="1"/>
      <c r="J14" s="1"/>
      <c r="K14" s="1"/>
      <c r="L14" s="1"/>
      <c r="M14" s="1"/>
      <c r="N14" s="1"/>
      <c r="Q14" s="1"/>
    </row>
    <row r="15" spans="1:17" x14ac:dyDescent="0.2">
      <c r="A15" s="40" t="s">
        <v>20</v>
      </c>
      <c r="B15" s="1">
        <v>86</v>
      </c>
      <c r="C15" s="5">
        <f t="shared" si="0"/>
        <v>34400</v>
      </c>
      <c r="D15" s="1">
        <v>2.5</v>
      </c>
      <c r="E15" s="5">
        <f t="shared" si="1"/>
        <v>86000</v>
      </c>
      <c r="F15" s="5"/>
      <c r="G15" s="22"/>
      <c r="H15" s="1"/>
      <c r="I15" s="1"/>
      <c r="J15" s="1"/>
      <c r="K15" s="1"/>
      <c r="L15" s="1"/>
      <c r="M15" s="1"/>
      <c r="N15" s="1"/>
      <c r="Q15" s="1"/>
    </row>
    <row r="16" spans="1:17" x14ac:dyDescent="0.2">
      <c r="A16" s="40" t="s">
        <v>21</v>
      </c>
      <c r="B16" s="1">
        <v>65</v>
      </c>
      <c r="C16" s="5">
        <f t="shared" si="0"/>
        <v>26000</v>
      </c>
      <c r="D16" s="1">
        <v>2.5</v>
      </c>
      <c r="E16" s="5">
        <f t="shared" si="1"/>
        <v>65000</v>
      </c>
      <c r="F16" s="5"/>
      <c r="G16" s="22"/>
      <c r="H16" s="1"/>
      <c r="I16" s="1"/>
      <c r="J16" s="1"/>
      <c r="K16" s="1"/>
      <c r="L16" s="1"/>
      <c r="M16" s="1"/>
      <c r="N16" s="1"/>
      <c r="Q16" s="1"/>
    </row>
    <row r="17" spans="1:17" ht="16" thickBot="1" x14ac:dyDescent="0.25">
      <c r="A17" s="45" t="s">
        <v>22</v>
      </c>
      <c r="B17" s="23">
        <v>81</v>
      </c>
      <c r="C17" s="24">
        <f t="shared" si="0"/>
        <v>32400</v>
      </c>
      <c r="D17" s="23">
        <v>2.5</v>
      </c>
      <c r="E17" s="24">
        <f t="shared" si="1"/>
        <v>81000</v>
      </c>
      <c r="F17" s="24"/>
      <c r="G17" s="27"/>
      <c r="H17" s="1"/>
      <c r="I17" s="1"/>
      <c r="J17" s="1"/>
      <c r="K17" s="1"/>
      <c r="L17" s="1"/>
      <c r="M17" s="1"/>
      <c r="N17" s="1"/>
      <c r="Q17" s="1"/>
    </row>
    <row r="18" spans="1:17" ht="16" thickBot="1" x14ac:dyDescent="0.25">
      <c r="A18" s="1"/>
      <c r="B18" s="1"/>
      <c r="C18" s="1"/>
      <c r="D18" s="1"/>
      <c r="E18" s="1"/>
      <c r="F18" s="1"/>
      <c r="G18" s="1"/>
      <c r="H18" s="1"/>
      <c r="I18" s="1"/>
      <c r="J18" s="1"/>
      <c r="K18" s="1"/>
      <c r="L18" s="1"/>
      <c r="M18" s="1"/>
      <c r="N18" s="1"/>
    </row>
    <row r="19" spans="1:17" ht="20" thickBot="1" x14ac:dyDescent="0.25">
      <c r="A19" s="77" t="s">
        <v>27</v>
      </c>
      <c r="B19" s="78"/>
      <c r="C19" s="78"/>
      <c r="D19" s="78"/>
      <c r="E19" s="78"/>
      <c r="F19" s="78"/>
      <c r="G19" s="78"/>
      <c r="H19" s="78"/>
      <c r="I19" s="78"/>
      <c r="J19" s="78"/>
      <c r="K19" s="78"/>
      <c r="L19" s="78"/>
      <c r="M19" s="78"/>
      <c r="N19" s="78"/>
      <c r="O19" s="79"/>
      <c r="Q19" s="1"/>
    </row>
    <row r="20" spans="1:17" ht="16" x14ac:dyDescent="0.2">
      <c r="A20" s="80" t="s">
        <v>15</v>
      </c>
      <c r="B20" s="81"/>
      <c r="C20" s="81"/>
      <c r="D20" s="81"/>
      <c r="E20" s="81"/>
      <c r="F20" s="81"/>
      <c r="G20" s="82"/>
      <c r="H20" s="18"/>
      <c r="I20" s="83" t="s">
        <v>10</v>
      </c>
      <c r="J20" s="84"/>
      <c r="K20" s="84"/>
      <c r="L20" s="84"/>
      <c r="M20" s="84"/>
      <c r="N20" s="84"/>
      <c r="O20" s="85"/>
      <c r="Q20" s="1"/>
    </row>
    <row r="21" spans="1:17" ht="32" x14ac:dyDescent="0.2">
      <c r="A21" s="19" t="s">
        <v>1</v>
      </c>
      <c r="B21" s="10" t="s">
        <v>2</v>
      </c>
      <c r="C21" s="10" t="s">
        <v>3</v>
      </c>
      <c r="D21" s="10" t="s">
        <v>4</v>
      </c>
      <c r="E21" s="10" t="s">
        <v>5</v>
      </c>
      <c r="F21" s="11" t="s">
        <v>6</v>
      </c>
      <c r="G21" s="12" t="s">
        <v>7</v>
      </c>
      <c r="H21" s="1"/>
      <c r="I21" s="9" t="s">
        <v>1</v>
      </c>
      <c r="J21" s="10" t="s">
        <v>2</v>
      </c>
      <c r="K21" s="10" t="s">
        <v>3</v>
      </c>
      <c r="L21" s="10" t="s">
        <v>4</v>
      </c>
      <c r="M21" s="10" t="s">
        <v>5</v>
      </c>
      <c r="N21" s="11" t="s">
        <v>6</v>
      </c>
      <c r="O21" s="20" t="s">
        <v>7</v>
      </c>
      <c r="Q21" s="1"/>
    </row>
    <row r="22" spans="1:17" x14ac:dyDescent="0.2">
      <c r="A22" s="40" t="s">
        <v>17</v>
      </c>
      <c r="B22" s="41">
        <v>2560</v>
      </c>
      <c r="C22" s="42">
        <f>B22*400</f>
        <v>1024000</v>
      </c>
      <c r="D22" s="1">
        <v>2.5</v>
      </c>
      <c r="E22" s="42">
        <f>C22*D22</f>
        <v>2560000</v>
      </c>
      <c r="F22" s="43">
        <f>AVERAGE(E22:E24)</f>
        <v>2501666.6666666665</v>
      </c>
      <c r="G22" s="6">
        <f>_xlfn.STDEV.S(E22:E24)</f>
        <v>51597.803570823955</v>
      </c>
      <c r="H22" s="1"/>
      <c r="I22" s="13" t="s">
        <v>12</v>
      </c>
      <c r="J22" s="17">
        <v>1223</v>
      </c>
      <c r="K22" s="33">
        <f>J22*400</f>
        <v>489200</v>
      </c>
      <c r="L22" s="1">
        <v>2.5</v>
      </c>
      <c r="M22" s="33">
        <f>K22*L22</f>
        <v>1223000</v>
      </c>
      <c r="N22" s="14">
        <f>AVERAGE(M22:M24)</f>
        <v>1240666.6666666667</v>
      </c>
      <c r="O22" s="21">
        <f>_xlfn.STDEV.S(K22:K24)</f>
        <v>14368.484030451275</v>
      </c>
    </row>
    <row r="23" spans="1:17" x14ac:dyDescent="0.2">
      <c r="A23" s="40" t="s">
        <v>17</v>
      </c>
      <c r="B23" s="41">
        <v>2462</v>
      </c>
      <c r="C23" s="42">
        <f>B23*400</f>
        <v>984800</v>
      </c>
      <c r="D23" s="1">
        <v>2.5</v>
      </c>
      <c r="E23" s="42">
        <f>C23*D23</f>
        <v>2462000</v>
      </c>
      <c r="F23" s="42"/>
      <c r="G23" s="7"/>
      <c r="H23" s="1"/>
      <c r="I23" s="13" t="s">
        <v>12</v>
      </c>
      <c r="J23" s="17">
        <v>1217</v>
      </c>
      <c r="K23" s="33">
        <f>J23*400</f>
        <v>486800</v>
      </c>
      <c r="L23" s="1">
        <v>2.5</v>
      </c>
      <c r="M23" s="33">
        <f>K23*L23</f>
        <v>1217000</v>
      </c>
      <c r="N23" s="5"/>
      <c r="O23" s="22"/>
    </row>
    <row r="24" spans="1:17" x14ac:dyDescent="0.2">
      <c r="A24" s="40" t="s">
        <v>17</v>
      </c>
      <c r="B24" s="41">
        <v>2483</v>
      </c>
      <c r="C24" s="42">
        <f>B24*400</f>
        <v>993200</v>
      </c>
      <c r="D24" s="1">
        <v>2.5</v>
      </c>
      <c r="E24" s="42">
        <f>C24*D24</f>
        <v>2483000</v>
      </c>
      <c r="F24" s="42"/>
      <c r="G24" s="7"/>
      <c r="H24" s="8"/>
      <c r="I24" s="13" t="s">
        <v>12</v>
      </c>
      <c r="J24" s="17">
        <v>1282</v>
      </c>
      <c r="K24" s="33">
        <f>J24*400</f>
        <v>512800</v>
      </c>
      <c r="L24" s="1">
        <v>2.5</v>
      </c>
      <c r="M24" s="33">
        <f>K24*L24</f>
        <v>1282000</v>
      </c>
      <c r="N24" s="5"/>
      <c r="O24" s="22"/>
    </row>
    <row r="25" spans="1:17" ht="15.75" customHeight="1" x14ac:dyDescent="0.25">
      <c r="A25" s="86" t="s">
        <v>11</v>
      </c>
      <c r="B25" s="87"/>
      <c r="C25" s="87"/>
      <c r="D25" s="87"/>
      <c r="E25" s="87"/>
      <c r="F25" s="87"/>
      <c r="G25" s="88"/>
      <c r="I25" s="104" t="s">
        <v>14</v>
      </c>
      <c r="J25" s="105"/>
      <c r="K25" s="105"/>
      <c r="L25" s="105"/>
      <c r="M25" s="105"/>
      <c r="N25" s="105"/>
      <c r="O25" s="106"/>
    </row>
    <row r="26" spans="1:17" ht="32" x14ac:dyDescent="0.2">
      <c r="A26" s="19" t="s">
        <v>1</v>
      </c>
      <c r="B26" s="10" t="s">
        <v>2</v>
      </c>
      <c r="C26" s="10" t="s">
        <v>3</v>
      </c>
      <c r="D26" s="10" t="s">
        <v>4</v>
      </c>
      <c r="E26" s="10" t="s">
        <v>5</v>
      </c>
      <c r="F26" s="11" t="s">
        <v>6</v>
      </c>
      <c r="G26" s="12" t="s">
        <v>7</v>
      </c>
      <c r="I26" s="2" t="s">
        <v>1</v>
      </c>
      <c r="J26" s="3" t="s">
        <v>2</v>
      </c>
      <c r="K26" s="3" t="s">
        <v>3</v>
      </c>
      <c r="L26" s="3" t="s">
        <v>4</v>
      </c>
      <c r="M26" s="3" t="s">
        <v>5</v>
      </c>
      <c r="N26" s="4" t="s">
        <v>6</v>
      </c>
      <c r="O26" s="36" t="s">
        <v>7</v>
      </c>
    </row>
    <row r="27" spans="1:17" x14ac:dyDescent="0.2">
      <c r="A27" s="37" t="s">
        <v>16</v>
      </c>
      <c r="B27" s="28">
        <v>233</v>
      </c>
      <c r="C27" s="31">
        <f>B27*400</f>
        <v>93200</v>
      </c>
      <c r="D27" s="1">
        <v>2.5</v>
      </c>
      <c r="E27" s="31">
        <f>C27*D27</f>
        <v>233000</v>
      </c>
      <c r="F27" s="30">
        <f>AVERAGE(E27:E29)</f>
        <v>252666.66666666666</v>
      </c>
      <c r="G27" s="6">
        <f>_xlfn.STDEV.S(C27:C29)</f>
        <v>16474.626955817057</v>
      </c>
      <c r="I27" s="15" t="s">
        <v>13</v>
      </c>
      <c r="J27" s="1">
        <v>2413</v>
      </c>
      <c r="K27" s="34">
        <f>J27*400</f>
        <v>965200</v>
      </c>
      <c r="L27" s="1">
        <v>2.5</v>
      </c>
      <c r="M27" s="34">
        <f>K27*L27</f>
        <v>2413000</v>
      </c>
      <c r="N27" s="16">
        <f>AVERAGE(M27:M29)</f>
        <v>2407333.3333333335</v>
      </c>
      <c r="O27" s="21">
        <f>_xlfn.STDEV.S(K27:K29)</f>
        <v>31860.529395057663</v>
      </c>
    </row>
    <row r="28" spans="1:17" x14ac:dyDescent="0.2">
      <c r="A28" s="37" t="s">
        <v>16</v>
      </c>
      <c r="B28" s="28">
        <v>225</v>
      </c>
      <c r="C28" s="31">
        <f>B28*400</f>
        <v>90000</v>
      </c>
      <c r="D28" s="1">
        <v>2.5</v>
      </c>
      <c r="E28" s="31">
        <f>C28*D28</f>
        <v>225000</v>
      </c>
      <c r="F28" s="31"/>
      <c r="G28" s="7"/>
      <c r="I28" s="15" t="s">
        <v>13</v>
      </c>
      <c r="J28" s="1">
        <v>2325</v>
      </c>
      <c r="K28" s="34">
        <f>J28*400</f>
        <v>930000</v>
      </c>
      <c r="L28" s="1">
        <v>2.5</v>
      </c>
      <c r="M28" s="34">
        <f>K28*L28</f>
        <v>2325000</v>
      </c>
      <c r="N28" s="5"/>
      <c r="O28" s="22"/>
    </row>
    <row r="29" spans="1:17" ht="16" thickBot="1" x14ac:dyDescent="0.25">
      <c r="A29" s="38" t="s">
        <v>16</v>
      </c>
      <c r="B29" s="29">
        <v>300</v>
      </c>
      <c r="C29" s="32">
        <f>B29*400</f>
        <v>120000</v>
      </c>
      <c r="D29" s="23">
        <v>2.5</v>
      </c>
      <c r="E29" s="32">
        <f>C29*D29</f>
        <v>300000</v>
      </c>
      <c r="F29" s="32"/>
      <c r="G29" s="25"/>
      <c r="H29" s="39"/>
      <c r="I29" s="26" t="s">
        <v>13</v>
      </c>
      <c r="J29" s="23">
        <v>2484</v>
      </c>
      <c r="K29" s="35">
        <f>J29*400</f>
        <v>993600</v>
      </c>
      <c r="L29" s="23">
        <v>2.5</v>
      </c>
      <c r="M29" s="35">
        <f>K29*L29</f>
        <v>2484000</v>
      </c>
      <c r="N29" s="24"/>
      <c r="O29" s="27"/>
    </row>
    <row r="30" spans="1:17" ht="15.5" customHeight="1" thickBot="1" x14ac:dyDescent="0.25">
      <c r="H30" s="1"/>
    </row>
    <row r="31" spans="1:17" ht="15" customHeight="1" thickBot="1" x14ac:dyDescent="0.25">
      <c r="A31" s="77" t="s">
        <v>89</v>
      </c>
      <c r="B31" s="78"/>
      <c r="C31" s="78"/>
      <c r="D31" s="78"/>
      <c r="E31" s="78"/>
      <c r="F31" s="78"/>
      <c r="G31" s="78"/>
      <c r="H31" s="78"/>
      <c r="I31" s="78"/>
      <c r="J31" s="78"/>
      <c r="K31" s="78"/>
      <c r="L31" s="78"/>
      <c r="M31" s="78"/>
      <c r="N31" s="78"/>
      <c r="O31" s="79"/>
    </row>
    <row r="32" spans="1:17" ht="15.75" customHeight="1" x14ac:dyDescent="0.2">
      <c r="A32" s="80" t="s">
        <v>15</v>
      </c>
      <c r="B32" s="81"/>
      <c r="C32" s="81"/>
      <c r="D32" s="81"/>
      <c r="E32" s="81"/>
      <c r="F32" s="81"/>
      <c r="G32" s="82"/>
      <c r="H32" s="18"/>
      <c r="I32" s="83" t="s">
        <v>10</v>
      </c>
      <c r="J32" s="84"/>
      <c r="K32" s="84"/>
      <c r="L32" s="84"/>
      <c r="M32" s="84"/>
      <c r="N32" s="84"/>
      <c r="O32" s="85"/>
    </row>
    <row r="33" spans="1:15" ht="32" x14ac:dyDescent="0.2">
      <c r="A33" s="19" t="s">
        <v>1</v>
      </c>
      <c r="B33" s="10" t="s">
        <v>2</v>
      </c>
      <c r="C33" s="10" t="s">
        <v>3</v>
      </c>
      <c r="D33" s="10" t="s">
        <v>4</v>
      </c>
      <c r="E33" s="10" t="s">
        <v>5</v>
      </c>
      <c r="F33" s="11" t="s">
        <v>6</v>
      </c>
      <c r="G33" s="12" t="s">
        <v>7</v>
      </c>
      <c r="H33" s="1"/>
      <c r="I33" s="9" t="s">
        <v>1</v>
      </c>
      <c r="J33" s="10" t="s">
        <v>2</v>
      </c>
      <c r="K33" s="10" t="s">
        <v>3</v>
      </c>
      <c r="L33" s="10" t="s">
        <v>4</v>
      </c>
      <c r="M33" s="10" t="s">
        <v>5</v>
      </c>
      <c r="N33" s="11" t="s">
        <v>6</v>
      </c>
      <c r="O33" s="20" t="s">
        <v>7</v>
      </c>
    </row>
    <row r="34" spans="1:15" x14ac:dyDescent="0.2">
      <c r="A34" s="40" t="s">
        <v>90</v>
      </c>
      <c r="B34" s="41">
        <v>55</v>
      </c>
      <c r="C34" s="42">
        <f>B34*400</f>
        <v>22000</v>
      </c>
      <c r="D34" s="1">
        <v>2.5</v>
      </c>
      <c r="E34" s="42">
        <f>C34*D34</f>
        <v>55000</v>
      </c>
      <c r="F34" s="43">
        <f>AVERAGE(E34:E36)</f>
        <v>66666.666666666672</v>
      </c>
      <c r="G34" s="6">
        <f>_xlfn.STDEV.S(E34:E36)</f>
        <v>10408.329997330648</v>
      </c>
      <c r="H34" s="1"/>
      <c r="I34" s="13" t="s">
        <v>91</v>
      </c>
      <c r="J34" s="17">
        <v>62</v>
      </c>
      <c r="K34" s="33">
        <f>J34*400</f>
        <v>24800</v>
      </c>
      <c r="L34" s="1">
        <v>2.5</v>
      </c>
      <c r="M34" s="33">
        <f>K34*L34</f>
        <v>62000</v>
      </c>
      <c r="N34" s="14">
        <f>AVERAGE(M34:M36)</f>
        <v>59333.333333333336</v>
      </c>
      <c r="O34" s="21">
        <f>_xlfn.STDEV.S(K34:K36)</f>
        <v>1222.0201853215574</v>
      </c>
    </row>
    <row r="35" spans="1:15" x14ac:dyDescent="0.2">
      <c r="A35" s="40" t="s">
        <v>90</v>
      </c>
      <c r="B35" s="41">
        <v>75</v>
      </c>
      <c r="C35" s="42">
        <f>B35*400</f>
        <v>30000</v>
      </c>
      <c r="D35" s="1">
        <v>2.5</v>
      </c>
      <c r="E35" s="42">
        <f>C35*D35</f>
        <v>75000</v>
      </c>
      <c r="F35" s="42"/>
      <c r="G35" s="7"/>
      <c r="H35" s="1"/>
      <c r="I35" s="13" t="s">
        <v>91</v>
      </c>
      <c r="J35" s="17">
        <v>56</v>
      </c>
      <c r="K35" s="33">
        <f>J35*400</f>
        <v>22400</v>
      </c>
      <c r="L35" s="1">
        <v>2.5</v>
      </c>
      <c r="M35" s="33">
        <f>K35*L35</f>
        <v>56000</v>
      </c>
      <c r="N35" s="5"/>
      <c r="O35" s="22"/>
    </row>
    <row r="36" spans="1:15" x14ac:dyDescent="0.2">
      <c r="A36" s="40" t="s">
        <v>90</v>
      </c>
      <c r="B36" s="41">
        <v>70</v>
      </c>
      <c r="C36" s="42">
        <f>B36*400</f>
        <v>28000</v>
      </c>
      <c r="D36" s="1">
        <v>2.5</v>
      </c>
      <c r="E36" s="42">
        <f>C36*D36</f>
        <v>70000</v>
      </c>
      <c r="F36" s="42"/>
      <c r="G36" s="7"/>
      <c r="H36" s="8"/>
      <c r="I36" s="13" t="s">
        <v>91</v>
      </c>
      <c r="J36" s="17">
        <v>60</v>
      </c>
      <c r="K36" s="33">
        <f>J36*400</f>
        <v>24000</v>
      </c>
      <c r="L36" s="1">
        <v>2.5</v>
      </c>
      <c r="M36" s="33">
        <f>K36*L36</f>
        <v>60000</v>
      </c>
      <c r="N36" s="5"/>
      <c r="O36" s="22"/>
    </row>
    <row r="37" spans="1:15" ht="17" x14ac:dyDescent="0.25">
      <c r="A37" s="86" t="s">
        <v>11</v>
      </c>
      <c r="B37" s="87"/>
      <c r="C37" s="87"/>
      <c r="D37" s="87"/>
      <c r="E37" s="87"/>
      <c r="F37" s="87"/>
      <c r="G37" s="88"/>
      <c r="I37" s="104" t="s">
        <v>92</v>
      </c>
      <c r="J37" s="105"/>
      <c r="K37" s="105"/>
      <c r="L37" s="105"/>
      <c r="M37" s="105"/>
      <c r="N37" s="105"/>
      <c r="O37" s="106"/>
    </row>
    <row r="38" spans="1:15" ht="32" x14ac:dyDescent="0.2">
      <c r="A38" s="19" t="s">
        <v>1</v>
      </c>
      <c r="B38" s="10" t="s">
        <v>2</v>
      </c>
      <c r="C38" s="10" t="s">
        <v>3</v>
      </c>
      <c r="D38" s="10" t="s">
        <v>4</v>
      </c>
      <c r="E38" s="10" t="s">
        <v>5</v>
      </c>
      <c r="F38" s="11" t="s">
        <v>6</v>
      </c>
      <c r="G38" s="12" t="s">
        <v>7</v>
      </c>
      <c r="I38" s="2" t="s">
        <v>1</v>
      </c>
      <c r="J38" s="3" t="s">
        <v>2</v>
      </c>
      <c r="K38" s="3" t="s">
        <v>3</v>
      </c>
      <c r="L38" s="3" t="s">
        <v>4</v>
      </c>
      <c r="M38" s="3" t="s">
        <v>5</v>
      </c>
      <c r="N38" s="4" t="s">
        <v>6</v>
      </c>
      <c r="O38" s="36" t="s">
        <v>7</v>
      </c>
    </row>
    <row r="39" spans="1:15" x14ac:dyDescent="0.2">
      <c r="A39" s="37" t="s">
        <v>93</v>
      </c>
      <c r="B39" s="28">
        <v>37</v>
      </c>
      <c r="C39" s="31">
        <f>B39*400</f>
        <v>14800</v>
      </c>
      <c r="D39" s="1">
        <v>2.5</v>
      </c>
      <c r="E39" s="31">
        <f>C39*D39</f>
        <v>37000</v>
      </c>
      <c r="F39" s="30">
        <f>AVERAGE(E39:E41)</f>
        <v>38000</v>
      </c>
      <c r="G39" s="6">
        <f>_xlfn.STDEV.S(C39:C41)</f>
        <v>1442.2205101855957</v>
      </c>
      <c r="I39" s="15" t="s">
        <v>94</v>
      </c>
      <c r="J39" s="71">
        <v>63</v>
      </c>
      <c r="K39" s="34">
        <f>J39*400</f>
        <v>25200</v>
      </c>
      <c r="L39" s="1">
        <v>2.5</v>
      </c>
      <c r="M39" s="34">
        <f>K39*L39</f>
        <v>63000</v>
      </c>
      <c r="N39" s="16">
        <f>AVERAGE(M39:M41)</f>
        <v>69333.333333333328</v>
      </c>
      <c r="O39" s="21">
        <f>_xlfn.STDEV.S(K39:K41)</f>
        <v>2602.5628394590844</v>
      </c>
    </row>
    <row r="40" spans="1:15" x14ac:dyDescent="0.2">
      <c r="A40" s="37" t="s">
        <v>93</v>
      </c>
      <c r="B40" s="28">
        <v>35</v>
      </c>
      <c r="C40" s="31">
        <f>B40*400</f>
        <v>14000</v>
      </c>
      <c r="D40" s="1">
        <v>2.5</v>
      </c>
      <c r="E40" s="31">
        <f>C40*D40</f>
        <v>35000</v>
      </c>
      <c r="F40" s="31"/>
      <c r="G40" s="7"/>
      <c r="I40" s="15" t="s">
        <v>95</v>
      </c>
      <c r="J40" s="71">
        <v>76</v>
      </c>
      <c r="K40" s="34">
        <f>J40*400</f>
        <v>30400</v>
      </c>
      <c r="L40" s="1">
        <v>2.5</v>
      </c>
      <c r="M40" s="34">
        <f>K40*L40</f>
        <v>76000</v>
      </c>
      <c r="N40" s="5"/>
      <c r="O40" s="22"/>
    </row>
    <row r="41" spans="1:15" ht="16" thickBot="1" x14ac:dyDescent="0.25">
      <c r="A41" s="38" t="s">
        <v>93</v>
      </c>
      <c r="B41" s="29">
        <v>42</v>
      </c>
      <c r="C41" s="32">
        <f>B41*400</f>
        <v>16800</v>
      </c>
      <c r="D41" s="23">
        <v>2.5</v>
      </c>
      <c r="E41" s="32">
        <f>C41*D41</f>
        <v>42000</v>
      </c>
      <c r="F41" s="32"/>
      <c r="G41" s="25"/>
      <c r="H41" s="39"/>
      <c r="I41" s="26" t="s">
        <v>94</v>
      </c>
      <c r="J41" s="72">
        <v>69</v>
      </c>
      <c r="K41" s="35">
        <f>J41*400</f>
        <v>27600</v>
      </c>
      <c r="L41" s="23">
        <v>2.5</v>
      </c>
      <c r="M41" s="35">
        <f>K41*L41</f>
        <v>69000</v>
      </c>
      <c r="N41" s="24"/>
      <c r="O41" s="27"/>
    </row>
    <row r="42" spans="1:15" ht="16" thickBot="1" x14ac:dyDescent="0.25"/>
    <row r="43" spans="1:15" ht="20" thickBot="1" x14ac:dyDescent="0.25">
      <c r="A43" s="77" t="s">
        <v>96</v>
      </c>
      <c r="B43" s="78"/>
      <c r="C43" s="78"/>
      <c r="D43" s="78"/>
      <c r="E43" s="78"/>
      <c r="F43" s="78"/>
      <c r="G43" s="78"/>
      <c r="H43" s="78"/>
      <c r="I43" s="78"/>
      <c r="J43" s="78"/>
      <c r="K43" s="78"/>
      <c r="L43" s="78"/>
      <c r="M43" s="78"/>
      <c r="N43" s="78"/>
      <c r="O43" s="79"/>
    </row>
    <row r="44" spans="1:15" ht="16" x14ac:dyDescent="0.2">
      <c r="A44" s="80" t="s">
        <v>15</v>
      </c>
      <c r="B44" s="81"/>
      <c r="C44" s="81"/>
      <c r="D44" s="81"/>
      <c r="E44" s="81"/>
      <c r="F44" s="81"/>
      <c r="G44" s="82"/>
      <c r="H44" s="18"/>
      <c r="I44" s="83" t="s">
        <v>10</v>
      </c>
      <c r="J44" s="84"/>
      <c r="K44" s="84"/>
      <c r="L44" s="84"/>
      <c r="M44" s="84"/>
      <c r="N44" s="84"/>
      <c r="O44" s="85"/>
    </row>
    <row r="45" spans="1:15" ht="32" x14ac:dyDescent="0.2">
      <c r="A45" s="19" t="s">
        <v>1</v>
      </c>
      <c r="B45" s="10" t="s">
        <v>2</v>
      </c>
      <c r="C45" s="10" t="s">
        <v>3</v>
      </c>
      <c r="D45" s="10" t="s">
        <v>4</v>
      </c>
      <c r="E45" s="10" t="s">
        <v>5</v>
      </c>
      <c r="F45" s="11" t="s">
        <v>6</v>
      </c>
      <c r="G45" s="12" t="s">
        <v>7</v>
      </c>
      <c r="H45" s="1"/>
      <c r="I45" s="9" t="s">
        <v>1</v>
      </c>
      <c r="J45" s="10" t="s">
        <v>2</v>
      </c>
      <c r="K45" s="10" t="s">
        <v>3</v>
      </c>
      <c r="L45" s="10" t="s">
        <v>4</v>
      </c>
      <c r="M45" s="10" t="s">
        <v>5</v>
      </c>
      <c r="N45" s="11" t="s">
        <v>6</v>
      </c>
      <c r="O45" s="20" t="s">
        <v>7</v>
      </c>
    </row>
    <row r="46" spans="1:15" x14ac:dyDescent="0.2">
      <c r="A46" s="40" t="s">
        <v>97</v>
      </c>
      <c r="B46" s="41">
        <v>2876</v>
      </c>
      <c r="C46" s="42">
        <f>B46*400</f>
        <v>1150400</v>
      </c>
      <c r="D46" s="1">
        <v>2.5</v>
      </c>
      <c r="E46" s="42">
        <f>C46*D46</f>
        <v>2876000</v>
      </c>
      <c r="F46" s="43">
        <f>AVERAGE(E46:E48)</f>
        <v>2918333.3333333335</v>
      </c>
      <c r="G46" s="6">
        <f>_xlfn.STDEV.S(E46:E48)</f>
        <v>84831.204950379746</v>
      </c>
      <c r="H46" s="1"/>
      <c r="I46" s="13" t="s">
        <v>98</v>
      </c>
      <c r="J46" s="17">
        <v>1437</v>
      </c>
      <c r="K46" s="33">
        <f>J46*400</f>
        <v>574800</v>
      </c>
      <c r="L46" s="1">
        <v>2.5</v>
      </c>
      <c r="M46" s="33">
        <f>K46*L46</f>
        <v>1437000</v>
      </c>
      <c r="N46" s="14">
        <f>AVERAGE(M46:M48)</f>
        <v>1538333.3333333333</v>
      </c>
      <c r="O46" s="21">
        <f>_xlfn.STDEV.S(K46:K48)</f>
        <v>42523.091765925645</v>
      </c>
    </row>
    <row r="47" spans="1:15" x14ac:dyDescent="0.2">
      <c r="A47" s="40" t="s">
        <v>97</v>
      </c>
      <c r="B47" s="41">
        <v>2863</v>
      </c>
      <c r="C47" s="42">
        <f>B47*400</f>
        <v>1145200</v>
      </c>
      <c r="D47" s="1">
        <v>2.5</v>
      </c>
      <c r="E47" s="42">
        <f>C47*D47</f>
        <v>2863000</v>
      </c>
      <c r="F47" s="42"/>
      <c r="G47" s="7"/>
      <c r="H47" s="1"/>
      <c r="I47" s="13" t="s">
        <v>98</v>
      </c>
      <c r="J47" s="17">
        <v>1529</v>
      </c>
      <c r="K47" s="33">
        <f>J47*400</f>
        <v>611600</v>
      </c>
      <c r="L47" s="1">
        <v>2.5</v>
      </c>
      <c r="M47" s="33">
        <f>K47*L47</f>
        <v>1529000</v>
      </c>
      <c r="N47" s="5"/>
      <c r="O47" s="22"/>
    </row>
    <row r="48" spans="1:15" x14ac:dyDescent="0.2">
      <c r="A48" s="40" t="s">
        <v>97</v>
      </c>
      <c r="B48" s="41">
        <v>3016</v>
      </c>
      <c r="C48" s="42">
        <f>B48*400</f>
        <v>1206400</v>
      </c>
      <c r="D48" s="1">
        <v>2.5</v>
      </c>
      <c r="E48" s="42">
        <f>C48*D48</f>
        <v>3016000</v>
      </c>
      <c r="F48" s="42"/>
      <c r="G48" s="7"/>
      <c r="H48" s="8"/>
      <c r="I48" s="13" t="s">
        <v>98</v>
      </c>
      <c r="J48" s="17">
        <v>1649</v>
      </c>
      <c r="K48" s="33">
        <f>J48*400</f>
        <v>659600</v>
      </c>
      <c r="L48" s="1">
        <v>2.5</v>
      </c>
      <c r="M48" s="33">
        <f>K48*L48</f>
        <v>1649000</v>
      </c>
      <c r="N48" s="5"/>
      <c r="O48" s="22"/>
    </row>
    <row r="49" spans="1:15" ht="17" x14ac:dyDescent="0.25">
      <c r="A49" s="86" t="s">
        <v>11</v>
      </c>
      <c r="B49" s="87"/>
      <c r="C49" s="87"/>
      <c r="D49" s="87"/>
      <c r="E49" s="87"/>
      <c r="F49" s="87"/>
      <c r="G49" s="88"/>
      <c r="I49" s="104" t="s">
        <v>92</v>
      </c>
      <c r="J49" s="105"/>
      <c r="K49" s="105"/>
      <c r="L49" s="105"/>
      <c r="M49" s="105"/>
      <c r="N49" s="105"/>
      <c r="O49" s="106"/>
    </row>
    <row r="50" spans="1:15" ht="32" x14ac:dyDescent="0.2">
      <c r="A50" s="19" t="s">
        <v>1</v>
      </c>
      <c r="B50" s="10" t="s">
        <v>2</v>
      </c>
      <c r="C50" s="10" t="s">
        <v>3</v>
      </c>
      <c r="D50" s="10" t="s">
        <v>4</v>
      </c>
      <c r="E50" s="10" t="s">
        <v>5</v>
      </c>
      <c r="F50" s="11" t="s">
        <v>6</v>
      </c>
      <c r="G50" s="12" t="s">
        <v>7</v>
      </c>
      <c r="I50" s="2" t="s">
        <v>1</v>
      </c>
      <c r="J50" s="3" t="s">
        <v>2</v>
      </c>
      <c r="K50" s="3" t="s">
        <v>3</v>
      </c>
      <c r="L50" s="3" t="s">
        <v>4</v>
      </c>
      <c r="M50" s="3" t="s">
        <v>5</v>
      </c>
      <c r="N50" s="4" t="s">
        <v>6</v>
      </c>
      <c r="O50" s="36" t="s">
        <v>7</v>
      </c>
    </row>
    <row r="51" spans="1:15" x14ac:dyDescent="0.2">
      <c r="A51" s="37" t="s">
        <v>99</v>
      </c>
      <c r="B51" s="28">
        <v>211</v>
      </c>
      <c r="C51" s="31">
        <f>B51*400</f>
        <v>84400</v>
      </c>
      <c r="D51" s="1">
        <v>2.5</v>
      </c>
      <c r="E51" s="31">
        <f>C51*D51</f>
        <v>211000</v>
      </c>
      <c r="F51" s="30">
        <f>AVERAGE(E51:E53)</f>
        <v>241000</v>
      </c>
      <c r="G51" s="6">
        <f>_xlfn.STDEV.S(C51:C53)</f>
        <v>10762.899237658969</v>
      </c>
      <c r="I51" s="15" t="s">
        <v>100</v>
      </c>
      <c r="J51" s="71">
        <v>243</v>
      </c>
      <c r="K51" s="34">
        <f>J51*400</f>
        <v>97200</v>
      </c>
      <c r="L51" s="1">
        <v>2.5</v>
      </c>
      <c r="M51" s="34">
        <f>K51*L51</f>
        <v>243000</v>
      </c>
      <c r="N51" s="16">
        <f>AVERAGE(M51:M53)</f>
        <v>235000</v>
      </c>
      <c r="O51" s="21">
        <f>_xlfn.STDEV.S(K51:K53)</f>
        <v>2884.4410203711914</v>
      </c>
    </row>
    <row r="52" spans="1:15" x14ac:dyDescent="0.2">
      <c r="A52" s="37" t="s">
        <v>99</v>
      </c>
      <c r="B52" s="28">
        <v>263</v>
      </c>
      <c r="C52" s="31">
        <f>B52*400</f>
        <v>105200</v>
      </c>
      <c r="D52" s="1">
        <v>2.5</v>
      </c>
      <c r="E52" s="31">
        <f>C52*D52</f>
        <v>263000</v>
      </c>
      <c r="F52" s="31"/>
      <c r="G52" s="7"/>
      <c r="I52" s="15" t="s">
        <v>100</v>
      </c>
      <c r="J52" s="71">
        <v>233</v>
      </c>
      <c r="K52" s="34">
        <f>J52*400</f>
        <v>93200</v>
      </c>
      <c r="L52" s="1">
        <v>2.5</v>
      </c>
      <c r="M52" s="34">
        <f>K52*L52</f>
        <v>233000</v>
      </c>
      <c r="N52" s="5"/>
      <c r="O52" s="22"/>
    </row>
    <row r="53" spans="1:15" ht="16" thickBot="1" x14ac:dyDescent="0.25">
      <c r="A53" s="38" t="s">
        <v>99</v>
      </c>
      <c r="B53" s="29">
        <v>249</v>
      </c>
      <c r="C53" s="32">
        <f>B53*400</f>
        <v>99600</v>
      </c>
      <c r="D53" s="23">
        <v>2.5</v>
      </c>
      <c r="E53" s="32">
        <f>C53*D53</f>
        <v>249000</v>
      </c>
      <c r="F53" s="32"/>
      <c r="G53" s="25"/>
      <c r="H53" s="39"/>
      <c r="I53" s="26" t="s">
        <v>100</v>
      </c>
      <c r="J53" s="72">
        <v>229</v>
      </c>
      <c r="K53" s="35">
        <f>J53*400</f>
        <v>91600</v>
      </c>
      <c r="L53" s="23">
        <v>2.5</v>
      </c>
      <c r="M53" s="35">
        <f>K53*L53</f>
        <v>229000</v>
      </c>
      <c r="N53" s="24"/>
      <c r="O53" s="27"/>
    </row>
    <row r="54" spans="1:15" ht="16" thickBot="1" x14ac:dyDescent="0.25"/>
    <row r="55" spans="1:15" ht="20" thickBot="1" x14ac:dyDescent="0.25">
      <c r="A55" s="77" t="s">
        <v>101</v>
      </c>
      <c r="B55" s="78"/>
      <c r="C55" s="78"/>
      <c r="D55" s="78"/>
      <c r="E55" s="78"/>
      <c r="F55" s="78"/>
      <c r="G55" s="78"/>
      <c r="H55" s="78"/>
      <c r="I55" s="78"/>
      <c r="J55" s="78"/>
      <c r="K55" s="78"/>
      <c r="L55" s="78"/>
      <c r="M55" s="78"/>
      <c r="N55" s="78"/>
      <c r="O55" s="79"/>
    </row>
    <row r="56" spans="1:15" ht="16" x14ac:dyDescent="0.2">
      <c r="A56" s="80" t="s">
        <v>15</v>
      </c>
      <c r="B56" s="81"/>
      <c r="C56" s="81"/>
      <c r="D56" s="81"/>
      <c r="E56" s="81"/>
      <c r="F56" s="81"/>
      <c r="G56" s="82"/>
      <c r="H56" s="18"/>
      <c r="I56" s="83" t="s">
        <v>10</v>
      </c>
      <c r="J56" s="84"/>
      <c r="K56" s="84"/>
      <c r="L56" s="84"/>
      <c r="M56" s="84"/>
      <c r="N56" s="84"/>
      <c r="O56" s="85"/>
    </row>
    <row r="57" spans="1:15" ht="32" x14ac:dyDescent="0.2">
      <c r="A57" s="19" t="s">
        <v>1</v>
      </c>
      <c r="B57" s="10" t="s">
        <v>2</v>
      </c>
      <c r="C57" s="10" t="s">
        <v>3</v>
      </c>
      <c r="D57" s="10" t="s">
        <v>4</v>
      </c>
      <c r="E57" s="10" t="s">
        <v>5</v>
      </c>
      <c r="F57" s="11" t="s">
        <v>6</v>
      </c>
      <c r="G57" s="12" t="s">
        <v>7</v>
      </c>
      <c r="H57" s="1"/>
      <c r="I57" s="9" t="s">
        <v>1</v>
      </c>
      <c r="J57" s="10" t="s">
        <v>2</v>
      </c>
      <c r="K57" s="10" t="s">
        <v>3</v>
      </c>
      <c r="L57" s="10" t="s">
        <v>4</v>
      </c>
      <c r="M57" s="10" t="s">
        <v>5</v>
      </c>
      <c r="N57" s="11" t="s">
        <v>6</v>
      </c>
      <c r="O57" s="20" t="s">
        <v>7</v>
      </c>
    </row>
    <row r="58" spans="1:15" x14ac:dyDescent="0.2">
      <c r="A58" s="40" t="s">
        <v>90</v>
      </c>
      <c r="B58" s="41">
        <v>69</v>
      </c>
      <c r="C58" s="42">
        <f>B58*400</f>
        <v>27600</v>
      </c>
      <c r="D58" s="1">
        <v>2.5</v>
      </c>
      <c r="E58" s="42">
        <f>C58*D58</f>
        <v>69000</v>
      </c>
      <c r="F58" s="43">
        <f>AVERAGE(E58:E60)</f>
        <v>64666.666666666664</v>
      </c>
      <c r="G58" s="6">
        <f>_xlfn.STDEV.S(E58:E60)</f>
        <v>3785.9388972001821</v>
      </c>
      <c r="H58" s="1"/>
      <c r="I58" s="13" t="s">
        <v>91</v>
      </c>
      <c r="J58" s="17">
        <v>57</v>
      </c>
      <c r="K58" s="33">
        <f>J58*400</f>
        <v>22800</v>
      </c>
      <c r="L58" s="1">
        <v>2.5</v>
      </c>
      <c r="M58" s="33">
        <f>K58*L58</f>
        <v>57000</v>
      </c>
      <c r="N58" s="14">
        <f>AVERAGE(M58:M60)</f>
        <v>60666.666666666664</v>
      </c>
      <c r="O58" s="21">
        <f>_xlfn.STDEV.S(K58:K60)</f>
        <v>1404.7538337136984</v>
      </c>
    </row>
    <row r="59" spans="1:15" x14ac:dyDescent="0.2">
      <c r="A59" s="40" t="s">
        <v>90</v>
      </c>
      <c r="B59" s="41">
        <v>62</v>
      </c>
      <c r="C59" s="42">
        <f>B59*400</f>
        <v>24800</v>
      </c>
      <c r="D59" s="1">
        <v>2.5</v>
      </c>
      <c r="E59" s="42">
        <f>C59*D59</f>
        <v>62000</v>
      </c>
      <c r="F59" s="42"/>
      <c r="G59" s="7"/>
      <c r="H59" s="1"/>
      <c r="I59" s="13" t="s">
        <v>91</v>
      </c>
      <c r="J59" s="17">
        <v>64</v>
      </c>
      <c r="K59" s="33">
        <f>J59*400</f>
        <v>25600</v>
      </c>
      <c r="L59" s="1">
        <v>2.5</v>
      </c>
      <c r="M59" s="33">
        <f>K59*L59</f>
        <v>64000</v>
      </c>
      <c r="N59" s="5"/>
      <c r="O59" s="22"/>
    </row>
    <row r="60" spans="1:15" x14ac:dyDescent="0.2">
      <c r="A60" s="40" t="s">
        <v>90</v>
      </c>
      <c r="B60" s="41">
        <v>63</v>
      </c>
      <c r="C60" s="42">
        <f>B60*400</f>
        <v>25200</v>
      </c>
      <c r="D60" s="1">
        <v>2.5</v>
      </c>
      <c r="E60" s="42">
        <f>C60*D60</f>
        <v>63000</v>
      </c>
      <c r="F60" s="42"/>
      <c r="G60" s="7"/>
      <c r="H60" s="8"/>
      <c r="I60" s="13" t="s">
        <v>91</v>
      </c>
      <c r="J60" s="17">
        <v>61</v>
      </c>
      <c r="K60" s="33">
        <f>J60*400</f>
        <v>24400</v>
      </c>
      <c r="L60" s="1">
        <v>2.5</v>
      </c>
      <c r="M60" s="33">
        <f>K60*L60</f>
        <v>61000</v>
      </c>
      <c r="N60" s="5"/>
      <c r="O60" s="22"/>
    </row>
    <row r="61" spans="1:15" ht="17" x14ac:dyDescent="0.25">
      <c r="A61" s="86" t="s">
        <v>11</v>
      </c>
      <c r="B61" s="87"/>
      <c r="C61" s="87"/>
      <c r="D61" s="87"/>
      <c r="E61" s="87"/>
      <c r="F61" s="87"/>
      <c r="G61" s="88"/>
      <c r="I61" s="104" t="s">
        <v>92</v>
      </c>
      <c r="J61" s="105"/>
      <c r="K61" s="105"/>
      <c r="L61" s="105"/>
      <c r="M61" s="105"/>
      <c r="N61" s="105"/>
      <c r="O61" s="106"/>
    </row>
    <row r="62" spans="1:15" ht="42" customHeight="1" x14ac:dyDescent="0.2">
      <c r="A62" s="19" t="s">
        <v>1</v>
      </c>
      <c r="B62" s="10" t="s">
        <v>2</v>
      </c>
      <c r="C62" s="10" t="s">
        <v>3</v>
      </c>
      <c r="D62" s="10" t="s">
        <v>4</v>
      </c>
      <c r="E62" s="10" t="s">
        <v>5</v>
      </c>
      <c r="F62" s="11" t="s">
        <v>6</v>
      </c>
      <c r="G62" s="12" t="s">
        <v>7</v>
      </c>
      <c r="I62" s="2" t="s">
        <v>1</v>
      </c>
      <c r="J62" s="3" t="s">
        <v>2</v>
      </c>
      <c r="K62" s="3" t="s">
        <v>3</v>
      </c>
      <c r="L62" s="3" t="s">
        <v>4</v>
      </c>
      <c r="M62" s="3" t="s">
        <v>5</v>
      </c>
      <c r="N62" s="4" t="s">
        <v>6</v>
      </c>
      <c r="O62" s="36" t="s">
        <v>7</v>
      </c>
    </row>
    <row r="63" spans="1:15" x14ac:dyDescent="0.2">
      <c r="A63" s="37" t="s">
        <v>93</v>
      </c>
      <c r="B63" s="28">
        <v>45</v>
      </c>
      <c r="C63" s="31">
        <f>B63*400</f>
        <v>18000</v>
      </c>
      <c r="D63" s="1">
        <v>2.5</v>
      </c>
      <c r="E63" s="31">
        <f>C63*D63</f>
        <v>45000</v>
      </c>
      <c r="F63" s="30">
        <f>AVERAGE(E63:E65)</f>
        <v>44000</v>
      </c>
      <c r="G63" s="6">
        <f>_xlfn.STDEV.S(C63:C65)</f>
        <v>2622.9754097208001</v>
      </c>
      <c r="I63" s="15" t="s">
        <v>94</v>
      </c>
      <c r="J63" s="71">
        <v>65</v>
      </c>
      <c r="K63" s="34">
        <f>J63*400</f>
        <v>26000</v>
      </c>
      <c r="L63" s="1">
        <v>2.5</v>
      </c>
      <c r="M63" s="34">
        <f>K63*L63</f>
        <v>65000</v>
      </c>
      <c r="N63" s="16">
        <f>AVERAGE(M63:M65)</f>
        <v>63000</v>
      </c>
      <c r="O63" s="21">
        <f>_xlfn.STDEV.S(K63:K65)</f>
        <v>2884.4410203711914</v>
      </c>
    </row>
    <row r="64" spans="1:15" x14ac:dyDescent="0.2">
      <c r="A64" s="37" t="s">
        <v>93</v>
      </c>
      <c r="B64" s="28">
        <v>37</v>
      </c>
      <c r="C64" s="31">
        <f>B64*400</f>
        <v>14800</v>
      </c>
      <c r="D64" s="1">
        <v>2.5</v>
      </c>
      <c r="E64" s="31">
        <f>C64*D64</f>
        <v>37000</v>
      </c>
      <c r="F64" s="31"/>
      <c r="G64" s="7"/>
      <c r="I64" s="15" t="s">
        <v>95</v>
      </c>
      <c r="J64" s="71">
        <v>55</v>
      </c>
      <c r="K64" s="34">
        <f>J64*400</f>
        <v>22000</v>
      </c>
      <c r="L64" s="1">
        <v>2.5</v>
      </c>
      <c r="M64" s="34">
        <f>K64*L64</f>
        <v>55000</v>
      </c>
      <c r="N64" s="5"/>
      <c r="O64" s="22"/>
    </row>
    <row r="65" spans="1:15" ht="16" thickBot="1" x14ac:dyDescent="0.25">
      <c r="A65" s="38" t="s">
        <v>93</v>
      </c>
      <c r="B65" s="29">
        <v>50</v>
      </c>
      <c r="C65" s="32">
        <f>B65*400</f>
        <v>20000</v>
      </c>
      <c r="D65" s="23">
        <v>2.5</v>
      </c>
      <c r="E65" s="32">
        <f>C65*D65</f>
        <v>50000</v>
      </c>
      <c r="F65" s="32"/>
      <c r="G65" s="25"/>
      <c r="H65" s="39"/>
      <c r="I65" s="26" t="s">
        <v>94</v>
      </c>
      <c r="J65" s="72">
        <v>69</v>
      </c>
      <c r="K65" s="35">
        <f>J65*400</f>
        <v>27600</v>
      </c>
      <c r="L65" s="23">
        <v>2.5</v>
      </c>
      <c r="M65" s="35">
        <f>K65*L65</f>
        <v>69000</v>
      </c>
      <c r="N65" s="24"/>
      <c r="O65" s="27"/>
    </row>
    <row r="66" spans="1:15" ht="16" thickBot="1" x14ac:dyDescent="0.25"/>
    <row r="67" spans="1:15" ht="15" customHeight="1" thickBot="1" x14ac:dyDescent="0.25">
      <c r="A67" s="98" t="s">
        <v>102</v>
      </c>
      <c r="B67" s="99"/>
      <c r="C67" s="99"/>
      <c r="D67" s="99"/>
      <c r="E67" s="99"/>
      <c r="F67" s="99"/>
      <c r="G67" s="99"/>
      <c r="H67" s="99"/>
      <c r="I67" s="99"/>
      <c r="J67" s="99"/>
      <c r="K67" s="99"/>
      <c r="L67" s="99"/>
      <c r="M67" s="99"/>
      <c r="N67" s="99"/>
      <c r="O67" s="100"/>
    </row>
    <row r="68" spans="1:15" ht="16" x14ac:dyDescent="0.2">
      <c r="A68" s="80" t="s">
        <v>15</v>
      </c>
      <c r="B68" s="81"/>
      <c r="C68" s="81"/>
      <c r="D68" s="81"/>
      <c r="E68" s="81"/>
      <c r="F68" s="81"/>
      <c r="G68" s="82"/>
      <c r="H68" s="18"/>
      <c r="I68" s="83" t="s">
        <v>10</v>
      </c>
      <c r="J68" s="84"/>
      <c r="K68" s="84"/>
      <c r="L68" s="84"/>
      <c r="M68" s="84"/>
      <c r="N68" s="84"/>
      <c r="O68" s="85"/>
    </row>
    <row r="69" spans="1:15" ht="32" x14ac:dyDescent="0.2">
      <c r="A69" s="19" t="s">
        <v>1</v>
      </c>
      <c r="B69" s="10" t="s">
        <v>2</v>
      </c>
      <c r="C69" s="10" t="s">
        <v>3</v>
      </c>
      <c r="D69" s="10" t="s">
        <v>4</v>
      </c>
      <c r="E69" s="10" t="s">
        <v>5</v>
      </c>
      <c r="F69" s="11" t="s">
        <v>6</v>
      </c>
      <c r="G69" s="12" t="s">
        <v>7</v>
      </c>
      <c r="H69" s="1"/>
      <c r="I69" s="9" t="s">
        <v>1</v>
      </c>
      <c r="J69" s="10" t="s">
        <v>2</v>
      </c>
      <c r="K69" s="10" t="s">
        <v>3</v>
      </c>
      <c r="L69" s="10" t="s">
        <v>4</v>
      </c>
      <c r="M69" s="10" t="s">
        <v>5</v>
      </c>
      <c r="N69" s="11" t="s">
        <v>6</v>
      </c>
      <c r="O69" s="20" t="s">
        <v>7</v>
      </c>
    </row>
    <row r="70" spans="1:15" x14ac:dyDescent="0.2">
      <c r="A70" s="40" t="s">
        <v>103</v>
      </c>
      <c r="B70" s="41">
        <v>8431</v>
      </c>
      <c r="C70" s="42">
        <f>B70*400</f>
        <v>3372400</v>
      </c>
      <c r="D70" s="1">
        <v>2.5</v>
      </c>
      <c r="E70" s="42">
        <f>C70*D70</f>
        <v>8431000</v>
      </c>
      <c r="F70" s="43">
        <f>AVERAGE(E70:E72)</f>
        <v>8014666.666666667</v>
      </c>
      <c r="G70" s="6">
        <f>_xlfn.STDEV.S(E70:E72)</f>
        <v>509863.05350881553</v>
      </c>
      <c r="H70" s="1"/>
      <c r="I70" s="13" t="s">
        <v>104</v>
      </c>
      <c r="J70" s="17">
        <v>738</v>
      </c>
      <c r="K70" s="33">
        <f>J70*400</f>
        <v>295200</v>
      </c>
      <c r="L70" s="1">
        <v>2.5</v>
      </c>
      <c r="M70" s="33">
        <f>K70*L70</f>
        <v>738000</v>
      </c>
      <c r="N70" s="14">
        <f>AVERAGE(M70:M72)</f>
        <v>711666.66666666663</v>
      </c>
      <c r="O70" s="21">
        <f>_xlfn.STDEV.S(K70:K72)</f>
        <v>9383.6737652868851</v>
      </c>
    </row>
    <row r="71" spans="1:15" x14ac:dyDescent="0.2">
      <c r="A71" s="40" t="s">
        <v>103</v>
      </c>
      <c r="B71" s="41">
        <v>7446</v>
      </c>
      <c r="C71" s="42">
        <f>B71*400</f>
        <v>2978400</v>
      </c>
      <c r="D71" s="1">
        <v>2.5</v>
      </c>
      <c r="E71" s="42">
        <f>C71*D71</f>
        <v>7446000</v>
      </c>
      <c r="F71" s="42"/>
      <c r="G71" s="7"/>
      <c r="H71" s="1"/>
      <c r="I71" s="13" t="s">
        <v>104</v>
      </c>
      <c r="J71" s="17">
        <v>704</v>
      </c>
      <c r="K71" s="33">
        <f>J71*400</f>
        <v>281600</v>
      </c>
      <c r="L71" s="1">
        <v>2.5</v>
      </c>
      <c r="M71" s="33">
        <f>K71*L71</f>
        <v>704000</v>
      </c>
      <c r="N71" s="5"/>
      <c r="O71" s="22"/>
    </row>
    <row r="72" spans="1:15" x14ac:dyDescent="0.2">
      <c r="A72" s="40" t="s">
        <v>103</v>
      </c>
      <c r="B72" s="41">
        <v>8167</v>
      </c>
      <c r="C72" s="42">
        <f>B72*400</f>
        <v>3266800</v>
      </c>
      <c r="D72" s="1">
        <v>2.5</v>
      </c>
      <c r="E72" s="42">
        <f>C72*D72</f>
        <v>8167000</v>
      </c>
      <c r="F72" s="42"/>
      <c r="G72" s="7"/>
      <c r="H72" s="8"/>
      <c r="I72" s="13" t="s">
        <v>104</v>
      </c>
      <c r="J72" s="17">
        <v>693</v>
      </c>
      <c r="K72" s="33">
        <f>J72*400</f>
        <v>277200</v>
      </c>
      <c r="L72" s="1">
        <v>2.5</v>
      </c>
      <c r="M72" s="33">
        <f>K72*L72</f>
        <v>693000</v>
      </c>
      <c r="N72" s="5"/>
      <c r="O72" s="22"/>
    </row>
    <row r="73" spans="1:15" ht="16" x14ac:dyDescent="0.2">
      <c r="A73" s="101" t="s">
        <v>11</v>
      </c>
      <c r="B73" s="102"/>
      <c r="C73" s="102"/>
      <c r="D73" s="102"/>
      <c r="E73" s="102"/>
      <c r="F73" s="102"/>
      <c r="G73" s="103"/>
      <c r="I73" s="89" t="s">
        <v>105</v>
      </c>
      <c r="J73" s="90"/>
      <c r="K73" s="90"/>
      <c r="L73" s="90"/>
      <c r="M73" s="90"/>
      <c r="N73" s="90"/>
      <c r="O73" s="91"/>
    </row>
    <row r="74" spans="1:15" ht="32" x14ac:dyDescent="0.2">
      <c r="A74" s="19" t="s">
        <v>1</v>
      </c>
      <c r="B74" s="10" t="s">
        <v>2</v>
      </c>
      <c r="C74" s="10" t="s">
        <v>3</v>
      </c>
      <c r="D74" s="10" t="s">
        <v>4</v>
      </c>
      <c r="E74" s="10" t="s">
        <v>5</v>
      </c>
      <c r="F74" s="11" t="s">
        <v>6</v>
      </c>
      <c r="G74" s="12" t="s">
        <v>7</v>
      </c>
      <c r="I74" s="2" t="s">
        <v>1</v>
      </c>
      <c r="J74" s="3" t="s">
        <v>2</v>
      </c>
      <c r="K74" s="3" t="s">
        <v>3</v>
      </c>
      <c r="L74" s="3" t="s">
        <v>4</v>
      </c>
      <c r="M74" s="3" t="s">
        <v>5</v>
      </c>
      <c r="N74" s="4" t="s">
        <v>6</v>
      </c>
      <c r="O74" s="36" t="s">
        <v>7</v>
      </c>
    </row>
    <row r="75" spans="1:15" x14ac:dyDescent="0.2">
      <c r="A75" s="37" t="s">
        <v>106</v>
      </c>
      <c r="B75" s="28">
        <v>158</v>
      </c>
      <c r="C75" s="31">
        <f>B75*400</f>
        <v>63200</v>
      </c>
      <c r="D75" s="1">
        <v>2.5</v>
      </c>
      <c r="E75" s="31">
        <f>C75*D75</f>
        <v>158000</v>
      </c>
      <c r="F75" s="30">
        <f>AVERAGE(E75:E77)</f>
        <v>154333.33333333334</v>
      </c>
      <c r="G75" s="6">
        <f>_xlfn.STDEV.S(C75:C77)</f>
        <v>2540.3411844343536</v>
      </c>
      <c r="I75" s="15" t="s">
        <v>107</v>
      </c>
      <c r="J75" s="71">
        <v>188</v>
      </c>
      <c r="K75" s="34">
        <f>J75*400</f>
        <v>75200</v>
      </c>
      <c r="L75" s="1">
        <v>2.5</v>
      </c>
      <c r="M75" s="34">
        <f>K75*L75</f>
        <v>188000</v>
      </c>
      <c r="N75" s="16">
        <f>AVERAGE(M75:M77)</f>
        <v>179000</v>
      </c>
      <c r="O75" s="21">
        <f>_xlfn.STDEV.S(K75:K77)</f>
        <v>4059.5566260368878</v>
      </c>
    </row>
    <row r="76" spans="1:15" x14ac:dyDescent="0.2">
      <c r="A76" s="37" t="s">
        <v>106</v>
      </c>
      <c r="B76" s="28">
        <v>158</v>
      </c>
      <c r="C76" s="31">
        <f>B76*400</f>
        <v>63200</v>
      </c>
      <c r="D76" s="1">
        <v>2.5</v>
      </c>
      <c r="E76" s="31">
        <f>C76*D76</f>
        <v>158000</v>
      </c>
      <c r="F76" s="31"/>
      <c r="G76" s="7"/>
      <c r="I76" s="15" t="s">
        <v>107</v>
      </c>
      <c r="J76" s="71">
        <v>181</v>
      </c>
      <c r="K76" s="34">
        <f>J76*400</f>
        <v>72400</v>
      </c>
      <c r="L76" s="1">
        <v>2.5</v>
      </c>
      <c r="M76" s="34">
        <f>K76*L76</f>
        <v>181000</v>
      </c>
      <c r="N76" s="5"/>
      <c r="O76" s="22"/>
    </row>
    <row r="77" spans="1:15" ht="16" thickBot="1" x14ac:dyDescent="0.25">
      <c r="A77" s="38" t="s">
        <v>106</v>
      </c>
      <c r="B77" s="29">
        <v>147</v>
      </c>
      <c r="C77" s="32">
        <f>B77*400</f>
        <v>58800</v>
      </c>
      <c r="D77" s="23">
        <v>2.5</v>
      </c>
      <c r="E77" s="32">
        <f>C77*D77</f>
        <v>147000</v>
      </c>
      <c r="F77" s="32"/>
      <c r="G77" s="25"/>
      <c r="H77" s="39"/>
      <c r="I77" s="26" t="s">
        <v>107</v>
      </c>
      <c r="J77" s="72">
        <v>168</v>
      </c>
      <c r="K77" s="35">
        <f>J77*400</f>
        <v>67200</v>
      </c>
      <c r="L77" s="23">
        <v>2.5</v>
      </c>
      <c r="M77" s="35">
        <f>K77*L77</f>
        <v>168000</v>
      </c>
      <c r="N77" s="24"/>
      <c r="O77" s="27"/>
    </row>
    <row r="78" spans="1:15" x14ac:dyDescent="0.2">
      <c r="A78" s="96" t="s">
        <v>108</v>
      </c>
      <c r="B78" s="96"/>
      <c r="C78" s="96"/>
      <c r="D78" s="96"/>
      <c r="E78" s="96"/>
      <c r="F78" s="96"/>
      <c r="G78" s="96"/>
      <c r="H78" s="96"/>
      <c r="I78" s="73"/>
      <c r="J78" s="73"/>
      <c r="K78" s="73"/>
      <c r="L78" s="73"/>
      <c r="M78" s="73"/>
      <c r="N78" s="73"/>
      <c r="O78" s="73"/>
    </row>
    <row r="79" spans="1:15" x14ac:dyDescent="0.2">
      <c r="A79" s="97" t="s">
        <v>109</v>
      </c>
      <c r="B79" s="97"/>
      <c r="C79" s="97"/>
      <c r="D79" s="97"/>
      <c r="E79" s="97"/>
      <c r="F79" s="97"/>
      <c r="G79" s="97"/>
      <c r="H79" s="97"/>
      <c r="I79" s="97"/>
      <c r="J79" s="97"/>
      <c r="K79" s="97"/>
      <c r="L79" s="97"/>
      <c r="M79" s="97"/>
      <c r="N79" s="97"/>
      <c r="O79" s="97"/>
    </row>
    <row r="80" spans="1:15" x14ac:dyDescent="0.2">
      <c r="A80" s="97"/>
      <c r="B80" s="97"/>
      <c r="C80" s="97"/>
      <c r="D80" s="97"/>
      <c r="E80" s="97"/>
      <c r="F80" s="97"/>
      <c r="G80" s="97"/>
      <c r="H80" s="97"/>
      <c r="I80" s="97"/>
      <c r="J80" s="97"/>
      <c r="K80" s="97"/>
      <c r="L80" s="97"/>
      <c r="M80" s="97"/>
      <c r="N80" s="97"/>
      <c r="O80" s="97"/>
    </row>
    <row r="81" spans="1:15" ht="46.25" customHeight="1" thickBot="1" x14ac:dyDescent="0.25"/>
    <row r="82" spans="1:15" ht="20" thickBot="1" x14ac:dyDescent="0.25">
      <c r="A82" s="77" t="s">
        <v>110</v>
      </c>
      <c r="B82" s="78"/>
      <c r="C82" s="78"/>
      <c r="D82" s="78"/>
      <c r="E82" s="78"/>
      <c r="F82" s="78"/>
      <c r="G82" s="78"/>
      <c r="H82" s="78"/>
      <c r="I82" s="78"/>
      <c r="J82" s="78"/>
      <c r="K82" s="78"/>
      <c r="L82" s="78"/>
      <c r="M82" s="78"/>
      <c r="N82" s="78"/>
      <c r="O82" s="79"/>
    </row>
    <row r="83" spans="1:15" ht="16" x14ac:dyDescent="0.2">
      <c r="A83" s="80" t="s">
        <v>15</v>
      </c>
      <c r="B83" s="81"/>
      <c r="C83" s="81"/>
      <c r="D83" s="81"/>
      <c r="E83" s="81"/>
      <c r="F83" s="81"/>
      <c r="G83" s="82"/>
      <c r="H83" s="18"/>
      <c r="I83" s="83" t="s">
        <v>10</v>
      </c>
      <c r="J83" s="84"/>
      <c r="K83" s="84"/>
      <c r="L83" s="84"/>
      <c r="M83" s="84"/>
      <c r="N83" s="84"/>
      <c r="O83" s="85"/>
    </row>
    <row r="84" spans="1:15" ht="32" x14ac:dyDescent="0.2">
      <c r="A84" s="19" t="s">
        <v>1</v>
      </c>
      <c r="B84" s="10" t="s">
        <v>2</v>
      </c>
      <c r="C84" s="10" t="s">
        <v>3</v>
      </c>
      <c r="D84" s="10" t="s">
        <v>4</v>
      </c>
      <c r="E84" s="10" t="s">
        <v>5</v>
      </c>
      <c r="F84" s="11" t="s">
        <v>6</v>
      </c>
      <c r="G84" s="12" t="s">
        <v>7</v>
      </c>
      <c r="H84" s="1"/>
      <c r="I84" s="9" t="s">
        <v>1</v>
      </c>
      <c r="J84" s="10" t="s">
        <v>2</v>
      </c>
      <c r="K84" s="10" t="s">
        <v>3</v>
      </c>
      <c r="L84" s="10" t="s">
        <v>4</v>
      </c>
      <c r="M84" s="10" t="s">
        <v>5</v>
      </c>
      <c r="N84" s="11" t="s">
        <v>6</v>
      </c>
      <c r="O84" s="20" t="s">
        <v>7</v>
      </c>
    </row>
    <row r="85" spans="1:15" x14ac:dyDescent="0.2">
      <c r="A85" s="40" t="s">
        <v>90</v>
      </c>
      <c r="B85" s="41">
        <v>57</v>
      </c>
      <c r="C85" s="42">
        <f>B85*400</f>
        <v>22800</v>
      </c>
      <c r="D85" s="1">
        <v>2.5</v>
      </c>
      <c r="E85" s="42">
        <f>C85*D85</f>
        <v>57000</v>
      </c>
      <c r="F85" s="43">
        <f>AVERAGE(E85:E87)</f>
        <v>65000</v>
      </c>
      <c r="G85" s="6">
        <f>_xlfn.STDEV.S(E85:E87)</f>
        <v>6928.2032302755088</v>
      </c>
      <c r="H85" s="1"/>
      <c r="I85" s="13" t="s">
        <v>91</v>
      </c>
      <c r="J85" s="17">
        <v>64</v>
      </c>
      <c r="K85" s="33">
        <f>J85*400</f>
        <v>25600</v>
      </c>
      <c r="L85" s="1">
        <v>2.5</v>
      </c>
      <c r="M85" s="33">
        <f>K85*L85</f>
        <v>64000</v>
      </c>
      <c r="N85" s="14">
        <f>AVERAGE(M85:M87)</f>
        <v>63333.333333333336</v>
      </c>
      <c r="O85" s="21">
        <f>_xlfn.STDEV.S(K85:K87)</f>
        <v>230.94010767585033</v>
      </c>
    </row>
    <row r="86" spans="1:15" x14ac:dyDescent="0.2">
      <c r="A86" s="40" t="s">
        <v>90</v>
      </c>
      <c r="B86" s="41">
        <v>69</v>
      </c>
      <c r="C86" s="42">
        <f>B86*400</f>
        <v>27600</v>
      </c>
      <c r="D86" s="1">
        <v>2.5</v>
      </c>
      <c r="E86" s="42">
        <f>C86*D86</f>
        <v>69000</v>
      </c>
      <c r="F86" s="42"/>
      <c r="G86" s="7"/>
      <c r="H86" s="1"/>
      <c r="I86" s="13" t="s">
        <v>91</v>
      </c>
      <c r="J86" s="17">
        <v>63</v>
      </c>
      <c r="K86" s="33">
        <f>J86*400</f>
        <v>25200</v>
      </c>
      <c r="L86" s="1">
        <v>2.5</v>
      </c>
      <c r="M86" s="33">
        <f>K86*L86</f>
        <v>63000</v>
      </c>
      <c r="N86" s="5"/>
      <c r="O86" s="22"/>
    </row>
    <row r="87" spans="1:15" x14ac:dyDescent="0.2">
      <c r="A87" s="40" t="s">
        <v>90</v>
      </c>
      <c r="B87" s="41">
        <v>69</v>
      </c>
      <c r="C87" s="42">
        <f>B87*400</f>
        <v>27600</v>
      </c>
      <c r="D87" s="1">
        <v>2.5</v>
      </c>
      <c r="E87" s="42">
        <f>C87*D87</f>
        <v>69000</v>
      </c>
      <c r="F87" s="42"/>
      <c r="G87" s="7"/>
      <c r="H87" s="8"/>
      <c r="I87" s="13" t="s">
        <v>91</v>
      </c>
      <c r="J87" s="17">
        <v>63</v>
      </c>
      <c r="K87" s="33">
        <f>J87*400</f>
        <v>25200</v>
      </c>
      <c r="L87" s="1">
        <v>2.5</v>
      </c>
      <c r="M87" s="33">
        <f>K87*L87</f>
        <v>63000</v>
      </c>
      <c r="N87" s="5"/>
      <c r="O87" s="22"/>
    </row>
    <row r="88" spans="1:15" ht="16" x14ac:dyDescent="0.2">
      <c r="A88" s="86" t="s">
        <v>11</v>
      </c>
      <c r="B88" s="87"/>
      <c r="C88" s="87"/>
      <c r="D88" s="87"/>
      <c r="E88" s="87"/>
      <c r="F88" s="87"/>
      <c r="G88" s="88"/>
      <c r="I88" s="89" t="s">
        <v>105</v>
      </c>
      <c r="J88" s="90"/>
      <c r="K88" s="90"/>
      <c r="L88" s="90"/>
      <c r="M88" s="90"/>
      <c r="N88" s="90"/>
      <c r="O88" s="91"/>
    </row>
    <row r="89" spans="1:15" ht="32" x14ac:dyDescent="0.2">
      <c r="A89" s="19" t="s">
        <v>1</v>
      </c>
      <c r="B89" s="10" t="s">
        <v>2</v>
      </c>
      <c r="C89" s="10" t="s">
        <v>3</v>
      </c>
      <c r="D89" s="10" t="s">
        <v>4</v>
      </c>
      <c r="E89" s="10" t="s">
        <v>5</v>
      </c>
      <c r="F89" s="11" t="s">
        <v>6</v>
      </c>
      <c r="G89" s="12" t="s">
        <v>7</v>
      </c>
      <c r="I89" s="2" t="s">
        <v>1</v>
      </c>
      <c r="J89" s="3" t="s">
        <v>2</v>
      </c>
      <c r="K89" s="3" t="s">
        <v>3</v>
      </c>
      <c r="L89" s="3" t="s">
        <v>4</v>
      </c>
      <c r="M89" s="3" t="s">
        <v>5</v>
      </c>
      <c r="N89" s="4" t="s">
        <v>6</v>
      </c>
      <c r="O89" s="36" t="s">
        <v>7</v>
      </c>
    </row>
    <row r="90" spans="1:15" x14ac:dyDescent="0.2">
      <c r="A90" s="37" t="s">
        <v>93</v>
      </c>
      <c r="B90" s="28">
        <v>40</v>
      </c>
      <c r="C90" s="31">
        <f>B90*400</f>
        <v>16000</v>
      </c>
      <c r="D90" s="1">
        <v>2.5</v>
      </c>
      <c r="E90" s="31">
        <f>C90*D90</f>
        <v>40000</v>
      </c>
      <c r="F90" s="30">
        <f>AVERAGE(E90:E92)</f>
        <v>44666.666666666664</v>
      </c>
      <c r="G90" s="6">
        <f>_xlfn.STDEV.S(C90:C92)</f>
        <v>2571.6402029314509</v>
      </c>
      <c r="I90" s="15" t="s">
        <v>94</v>
      </c>
      <c r="J90" s="71">
        <v>46</v>
      </c>
      <c r="K90" s="34">
        <f>J90*400</f>
        <v>18400</v>
      </c>
      <c r="L90" s="1">
        <v>2.5</v>
      </c>
      <c r="M90" s="34">
        <f>K90*L90</f>
        <v>46000</v>
      </c>
      <c r="N90" s="16">
        <f>AVERAGE(M90:M92)</f>
        <v>46666.666666666664</v>
      </c>
      <c r="O90" s="21">
        <f>_xlfn.STDEV.S(K90:K92)</f>
        <v>1616.5807537309522</v>
      </c>
    </row>
    <row r="91" spans="1:15" x14ac:dyDescent="0.2">
      <c r="A91" s="37" t="s">
        <v>93</v>
      </c>
      <c r="B91" s="28">
        <v>42</v>
      </c>
      <c r="C91" s="31">
        <f>B91*400</f>
        <v>16800</v>
      </c>
      <c r="D91" s="1">
        <v>2.5</v>
      </c>
      <c r="E91" s="31">
        <f>C91*D91</f>
        <v>42000</v>
      </c>
      <c r="F91" s="31"/>
      <c r="G91" s="7"/>
      <c r="I91" s="15" t="s">
        <v>95</v>
      </c>
      <c r="J91" s="71">
        <v>43</v>
      </c>
      <c r="K91" s="34">
        <f>J91*400</f>
        <v>17200</v>
      </c>
      <c r="L91" s="1">
        <v>2.5</v>
      </c>
      <c r="M91" s="34">
        <f>K91*L91</f>
        <v>43000</v>
      </c>
      <c r="N91" s="5"/>
      <c r="O91" s="22"/>
    </row>
    <row r="92" spans="1:15" ht="16" thickBot="1" x14ac:dyDescent="0.25">
      <c r="A92" s="38" t="s">
        <v>93</v>
      </c>
      <c r="B92" s="29">
        <v>52</v>
      </c>
      <c r="C92" s="32">
        <f>B92*400</f>
        <v>20800</v>
      </c>
      <c r="D92" s="23">
        <v>2.5</v>
      </c>
      <c r="E92" s="32">
        <f>C92*D92</f>
        <v>52000</v>
      </c>
      <c r="F92" s="32"/>
      <c r="G92" s="25"/>
      <c r="H92" s="39"/>
      <c r="I92" s="26" t="s">
        <v>94</v>
      </c>
      <c r="J92" s="72">
        <v>51</v>
      </c>
      <c r="K92" s="35">
        <f>J92*400</f>
        <v>20400</v>
      </c>
      <c r="L92" s="23">
        <v>2.5</v>
      </c>
      <c r="M92" s="35">
        <f>K92*L92</f>
        <v>51000</v>
      </c>
      <c r="N92" s="24"/>
      <c r="O92" s="27"/>
    </row>
    <row r="93" spans="1:15" ht="16" thickBot="1" x14ac:dyDescent="0.25"/>
    <row r="94" spans="1:15" ht="20" thickBot="1" x14ac:dyDescent="0.25">
      <c r="A94" s="77" t="s">
        <v>111</v>
      </c>
      <c r="B94" s="78"/>
      <c r="C94" s="78"/>
      <c r="D94" s="78"/>
      <c r="E94" s="78"/>
      <c r="F94" s="78"/>
      <c r="G94" s="78"/>
      <c r="H94" s="78"/>
      <c r="I94" s="78"/>
      <c r="J94" s="78"/>
      <c r="K94" s="78"/>
      <c r="L94" s="78"/>
      <c r="M94" s="78"/>
      <c r="N94" s="78"/>
      <c r="O94" s="79"/>
    </row>
    <row r="95" spans="1:15" ht="16" x14ac:dyDescent="0.2">
      <c r="A95" s="80" t="s">
        <v>15</v>
      </c>
      <c r="B95" s="81"/>
      <c r="C95" s="81"/>
      <c r="D95" s="81"/>
      <c r="E95" s="81"/>
      <c r="F95" s="81"/>
      <c r="G95" s="82"/>
      <c r="H95" s="18"/>
      <c r="I95" s="83" t="s">
        <v>10</v>
      </c>
      <c r="J95" s="84"/>
      <c r="K95" s="84"/>
      <c r="L95" s="84"/>
      <c r="M95" s="84"/>
      <c r="N95" s="84"/>
      <c r="O95" s="85"/>
    </row>
    <row r="96" spans="1:15" ht="32" x14ac:dyDescent="0.2">
      <c r="A96" s="19" t="s">
        <v>1</v>
      </c>
      <c r="B96" s="10" t="s">
        <v>2</v>
      </c>
      <c r="C96" s="10" t="s">
        <v>3</v>
      </c>
      <c r="D96" s="10" t="s">
        <v>4</v>
      </c>
      <c r="E96" s="10" t="s">
        <v>5</v>
      </c>
      <c r="F96" s="11" t="s">
        <v>6</v>
      </c>
      <c r="G96" s="12" t="s">
        <v>7</v>
      </c>
      <c r="H96" s="1"/>
      <c r="I96" s="9" t="s">
        <v>1</v>
      </c>
      <c r="J96" s="10" t="s">
        <v>2</v>
      </c>
      <c r="K96" s="10" t="s">
        <v>3</v>
      </c>
      <c r="L96" s="10" t="s">
        <v>4</v>
      </c>
      <c r="M96" s="10" t="s">
        <v>5</v>
      </c>
      <c r="N96" s="11" t="s">
        <v>6</v>
      </c>
      <c r="O96" s="20" t="s">
        <v>7</v>
      </c>
    </row>
    <row r="97" spans="1:15" x14ac:dyDescent="0.2">
      <c r="A97" s="40" t="s">
        <v>112</v>
      </c>
      <c r="B97" s="41">
        <v>7870</v>
      </c>
      <c r="C97" s="42">
        <f>B97*400</f>
        <v>3148000</v>
      </c>
      <c r="D97" s="1">
        <v>2.5</v>
      </c>
      <c r="E97" s="42">
        <f>C97*D97</f>
        <v>7870000</v>
      </c>
      <c r="F97" s="43">
        <f>AVERAGE(E97:E99)</f>
        <v>7853000</v>
      </c>
      <c r="G97" s="6">
        <f>_xlfn.STDEV.S(E97:E99)</f>
        <v>66158.89962809236</v>
      </c>
      <c r="H97" s="1"/>
      <c r="I97" s="13" t="s">
        <v>113</v>
      </c>
      <c r="J97" s="17">
        <v>951</v>
      </c>
      <c r="K97" s="33">
        <f>J97*400</f>
        <v>380400</v>
      </c>
      <c r="L97" s="1">
        <v>2.5</v>
      </c>
      <c r="M97" s="33">
        <f>K97*L97</f>
        <v>951000</v>
      </c>
      <c r="N97" s="14">
        <f>AVERAGE(M97:M99)</f>
        <v>921000</v>
      </c>
      <c r="O97" s="21">
        <f>_xlfn.STDEV.S(K97:K99)</f>
        <v>13879.481258317977</v>
      </c>
    </row>
    <row r="98" spans="1:15" ht="33.75" customHeight="1" x14ac:dyDescent="0.2">
      <c r="A98" s="40" t="s">
        <v>112</v>
      </c>
      <c r="B98" s="41">
        <v>7780</v>
      </c>
      <c r="C98" s="42">
        <f>B98*400</f>
        <v>3112000</v>
      </c>
      <c r="D98" s="1">
        <v>2.5</v>
      </c>
      <c r="E98" s="42">
        <f>C98*D98</f>
        <v>7780000</v>
      </c>
      <c r="F98" s="42"/>
      <c r="G98" s="7"/>
      <c r="H98" s="1"/>
      <c r="I98" s="13" t="s">
        <v>113</v>
      </c>
      <c r="J98" s="17">
        <v>883</v>
      </c>
      <c r="K98" s="33">
        <f>J98*400</f>
        <v>353200</v>
      </c>
      <c r="L98" s="1">
        <v>2.5</v>
      </c>
      <c r="M98" s="33">
        <f>K98*L98</f>
        <v>883000</v>
      </c>
      <c r="N98" s="5"/>
      <c r="O98" s="22"/>
    </row>
    <row r="99" spans="1:15" x14ac:dyDescent="0.2">
      <c r="A99" s="40" t="s">
        <v>112</v>
      </c>
      <c r="B99" s="41">
        <v>7909</v>
      </c>
      <c r="C99" s="42">
        <f>B99*400</f>
        <v>3163600</v>
      </c>
      <c r="D99" s="1">
        <v>2.5</v>
      </c>
      <c r="E99" s="42">
        <f>C99*D99</f>
        <v>7909000</v>
      </c>
      <c r="F99" s="42"/>
      <c r="G99" s="7"/>
      <c r="H99" s="8"/>
      <c r="I99" s="13" t="s">
        <v>113</v>
      </c>
      <c r="J99" s="17">
        <v>929</v>
      </c>
      <c r="K99" s="33">
        <f>J99*400</f>
        <v>371600</v>
      </c>
      <c r="L99" s="1">
        <v>2.5</v>
      </c>
      <c r="M99" s="33">
        <f>K99*L99</f>
        <v>929000</v>
      </c>
      <c r="N99" s="5"/>
      <c r="O99" s="22"/>
    </row>
    <row r="100" spans="1:15" ht="16" x14ac:dyDescent="0.2">
      <c r="A100" s="86" t="s">
        <v>11</v>
      </c>
      <c r="B100" s="87"/>
      <c r="C100" s="87"/>
      <c r="D100" s="87"/>
      <c r="E100" s="87"/>
      <c r="F100" s="87"/>
      <c r="G100" s="88"/>
      <c r="I100" s="89" t="s">
        <v>114</v>
      </c>
      <c r="J100" s="90"/>
      <c r="K100" s="90"/>
      <c r="L100" s="90"/>
      <c r="M100" s="90"/>
      <c r="N100" s="90"/>
      <c r="O100" s="91"/>
    </row>
    <row r="101" spans="1:15" ht="32" x14ac:dyDescent="0.2">
      <c r="A101" s="19" t="s">
        <v>1</v>
      </c>
      <c r="B101" s="10" t="s">
        <v>2</v>
      </c>
      <c r="C101" s="10" t="s">
        <v>3</v>
      </c>
      <c r="D101" s="10" t="s">
        <v>4</v>
      </c>
      <c r="E101" s="10" t="s">
        <v>5</v>
      </c>
      <c r="F101" s="11" t="s">
        <v>6</v>
      </c>
      <c r="G101" s="12" t="s">
        <v>7</v>
      </c>
      <c r="I101" s="2" t="s">
        <v>1</v>
      </c>
      <c r="J101" s="3" t="s">
        <v>2</v>
      </c>
      <c r="K101" s="3" t="s">
        <v>3</v>
      </c>
      <c r="L101" s="3" t="s">
        <v>4</v>
      </c>
      <c r="M101" s="3" t="s">
        <v>5</v>
      </c>
      <c r="N101" s="4" t="s">
        <v>6</v>
      </c>
      <c r="O101" s="36" t="s">
        <v>7</v>
      </c>
    </row>
    <row r="102" spans="1:15" x14ac:dyDescent="0.2">
      <c r="A102" s="37" t="s">
        <v>115</v>
      </c>
      <c r="B102" s="28">
        <v>73</v>
      </c>
      <c r="C102" s="31">
        <f>B102*400</f>
        <v>29200</v>
      </c>
      <c r="D102" s="1">
        <v>2.5</v>
      </c>
      <c r="E102" s="31">
        <f>C102*D102</f>
        <v>73000</v>
      </c>
      <c r="F102" s="30">
        <f>AVERAGE(E102:E104)</f>
        <v>78333.333333333328</v>
      </c>
      <c r="G102" s="6">
        <f>_xlfn.STDEV.S(C102:C104)</f>
        <v>2203.0282189144409</v>
      </c>
      <c r="I102" s="15" t="s">
        <v>116</v>
      </c>
      <c r="J102" s="71">
        <v>81</v>
      </c>
      <c r="K102" s="34">
        <f>J102*400</f>
        <v>32400</v>
      </c>
      <c r="L102" s="1">
        <v>2.5</v>
      </c>
      <c r="M102" s="34">
        <f>K102*L102</f>
        <v>81000</v>
      </c>
      <c r="N102" s="16">
        <f>AVERAGE(M102:M104)</f>
        <v>83666.666666666672</v>
      </c>
      <c r="O102" s="21">
        <f>_xlfn.STDEV.S(K102:K104)</f>
        <v>1514.375558880073</v>
      </c>
    </row>
    <row r="103" spans="1:15" ht="15" customHeight="1" x14ac:dyDescent="0.2">
      <c r="A103" s="37" t="s">
        <v>115</v>
      </c>
      <c r="B103" s="28">
        <v>84</v>
      </c>
      <c r="C103" s="31">
        <f>B103*400</f>
        <v>33600</v>
      </c>
      <c r="D103" s="1">
        <v>2.5</v>
      </c>
      <c r="E103" s="31">
        <f>C103*D103</f>
        <v>84000</v>
      </c>
      <c r="F103" s="31"/>
      <c r="G103" s="7"/>
      <c r="I103" s="15" t="s">
        <v>116</v>
      </c>
      <c r="J103" s="71">
        <v>88</v>
      </c>
      <c r="K103" s="34">
        <f>J103*400</f>
        <v>35200</v>
      </c>
      <c r="L103" s="1">
        <v>2.5</v>
      </c>
      <c r="M103" s="34">
        <f>K103*L103</f>
        <v>88000</v>
      </c>
      <c r="N103" s="5"/>
      <c r="O103" s="22"/>
    </row>
    <row r="104" spans="1:15" ht="16" thickBot="1" x14ac:dyDescent="0.25">
      <c r="A104" s="38" t="s">
        <v>115</v>
      </c>
      <c r="B104" s="29">
        <v>78</v>
      </c>
      <c r="C104" s="32">
        <f>B104*400</f>
        <v>31200</v>
      </c>
      <c r="D104" s="23">
        <v>2.5</v>
      </c>
      <c r="E104" s="32">
        <f>C104*D104</f>
        <v>78000</v>
      </c>
      <c r="F104" s="32"/>
      <c r="G104" s="25"/>
      <c r="H104" s="39"/>
      <c r="I104" s="26" t="s">
        <v>116</v>
      </c>
      <c r="J104" s="72">
        <v>82</v>
      </c>
      <c r="K104" s="35">
        <f>J104*400</f>
        <v>32800</v>
      </c>
      <c r="L104" s="23">
        <v>2.5</v>
      </c>
      <c r="M104" s="35">
        <f>K104*L104</f>
        <v>82000</v>
      </c>
      <c r="N104" s="24"/>
      <c r="O104" s="27"/>
    </row>
    <row r="106" spans="1:15" ht="16" thickBot="1" x14ac:dyDescent="0.25"/>
    <row r="107" spans="1:15" ht="20" thickBot="1" x14ac:dyDescent="0.25">
      <c r="A107" s="77" t="s">
        <v>117</v>
      </c>
      <c r="B107" s="78"/>
      <c r="C107" s="78"/>
      <c r="D107" s="78"/>
      <c r="E107" s="78"/>
      <c r="F107" s="78"/>
      <c r="G107" s="78"/>
      <c r="H107" s="78"/>
      <c r="I107" s="78"/>
      <c r="J107" s="78"/>
      <c r="K107" s="78"/>
      <c r="L107" s="78"/>
      <c r="M107" s="78"/>
      <c r="N107" s="78"/>
      <c r="O107" s="79"/>
    </row>
    <row r="108" spans="1:15" ht="16" x14ac:dyDescent="0.2">
      <c r="A108" s="80" t="s">
        <v>15</v>
      </c>
      <c r="B108" s="81"/>
      <c r="C108" s="81"/>
      <c r="D108" s="81"/>
      <c r="E108" s="81"/>
      <c r="F108" s="81"/>
      <c r="G108" s="82"/>
      <c r="H108" s="18"/>
      <c r="I108" s="83" t="s">
        <v>10</v>
      </c>
      <c r="J108" s="84"/>
      <c r="K108" s="84"/>
      <c r="L108" s="84"/>
      <c r="M108" s="84"/>
      <c r="N108" s="84"/>
      <c r="O108" s="85"/>
    </row>
    <row r="109" spans="1:15" ht="32" x14ac:dyDescent="0.2">
      <c r="A109" s="19" t="s">
        <v>1</v>
      </c>
      <c r="B109" s="10" t="s">
        <v>2</v>
      </c>
      <c r="C109" s="10" t="s">
        <v>3</v>
      </c>
      <c r="D109" s="10" t="s">
        <v>4</v>
      </c>
      <c r="E109" s="10" t="s">
        <v>5</v>
      </c>
      <c r="F109" s="11" t="s">
        <v>6</v>
      </c>
      <c r="G109" s="12" t="s">
        <v>7</v>
      </c>
      <c r="H109" s="1"/>
      <c r="I109" s="9" t="s">
        <v>1</v>
      </c>
      <c r="J109" s="10" t="s">
        <v>2</v>
      </c>
      <c r="K109" s="10" t="s">
        <v>3</v>
      </c>
      <c r="L109" s="10" t="s">
        <v>4</v>
      </c>
      <c r="M109" s="10" t="s">
        <v>5</v>
      </c>
      <c r="N109" s="11" t="s">
        <v>6</v>
      </c>
      <c r="O109" s="20" t="s">
        <v>7</v>
      </c>
    </row>
    <row r="110" spans="1:15" x14ac:dyDescent="0.2">
      <c r="A110" s="40" t="s">
        <v>90</v>
      </c>
      <c r="B110" s="41">
        <v>71</v>
      </c>
      <c r="C110" s="42">
        <f>B110*400</f>
        <v>28400</v>
      </c>
      <c r="D110" s="1">
        <v>2.5</v>
      </c>
      <c r="E110" s="42">
        <f>C110*D110</f>
        <v>71000</v>
      </c>
      <c r="F110" s="43">
        <f>AVERAGE(E110:E112)</f>
        <v>68000</v>
      </c>
      <c r="G110" s="6">
        <f>_xlfn.STDEV.S(E110:E112)</f>
        <v>2645.7513110645905</v>
      </c>
      <c r="H110" s="1"/>
      <c r="I110" s="13" t="s">
        <v>91</v>
      </c>
      <c r="J110" s="17">
        <v>49</v>
      </c>
      <c r="K110" s="33">
        <f>J110*400</f>
        <v>19600</v>
      </c>
      <c r="L110" s="1">
        <v>2.5</v>
      </c>
      <c r="M110" s="33">
        <f>K110*L110</f>
        <v>49000</v>
      </c>
      <c r="N110" s="14">
        <f>AVERAGE(M110:M112)</f>
        <v>51333.333333333336</v>
      </c>
      <c r="O110" s="21">
        <f>_xlfn.STDEV.S(K110:K112)</f>
        <v>1006.6445913694332</v>
      </c>
    </row>
    <row r="111" spans="1:15" x14ac:dyDescent="0.2">
      <c r="A111" s="40" t="s">
        <v>90</v>
      </c>
      <c r="B111" s="41">
        <v>67</v>
      </c>
      <c r="C111" s="42">
        <f>B111*400</f>
        <v>26800</v>
      </c>
      <c r="D111" s="1">
        <v>2.5</v>
      </c>
      <c r="E111" s="42">
        <f>C111*D111</f>
        <v>67000</v>
      </c>
      <c r="F111" s="42"/>
      <c r="G111" s="7"/>
      <c r="H111" s="1"/>
      <c r="I111" s="13" t="s">
        <v>91</v>
      </c>
      <c r="J111" s="17">
        <v>54</v>
      </c>
      <c r="K111" s="33">
        <f>J111*400</f>
        <v>21600</v>
      </c>
      <c r="L111" s="1">
        <v>2.5</v>
      </c>
      <c r="M111" s="33">
        <f>K111*L111</f>
        <v>54000</v>
      </c>
      <c r="N111" s="5"/>
      <c r="O111" s="22"/>
    </row>
    <row r="112" spans="1:15" x14ac:dyDescent="0.2">
      <c r="A112" s="40" t="s">
        <v>90</v>
      </c>
      <c r="B112" s="41">
        <v>66</v>
      </c>
      <c r="C112" s="42">
        <f>B112*400</f>
        <v>26400</v>
      </c>
      <c r="D112" s="1">
        <v>2.5</v>
      </c>
      <c r="E112" s="42">
        <f>C112*D112</f>
        <v>66000</v>
      </c>
      <c r="F112" s="42"/>
      <c r="G112" s="7"/>
      <c r="H112" s="8"/>
      <c r="I112" s="13" t="s">
        <v>91</v>
      </c>
      <c r="J112" s="17">
        <v>51</v>
      </c>
      <c r="K112" s="33">
        <f>J112*400</f>
        <v>20400</v>
      </c>
      <c r="L112" s="1">
        <v>2.5</v>
      </c>
      <c r="M112" s="33">
        <f>K112*L112</f>
        <v>51000</v>
      </c>
      <c r="N112" s="5"/>
      <c r="O112" s="22"/>
    </row>
    <row r="113" spans="1:15" ht="16" x14ac:dyDescent="0.2">
      <c r="A113" s="86" t="s">
        <v>11</v>
      </c>
      <c r="B113" s="87"/>
      <c r="C113" s="87"/>
      <c r="D113" s="87"/>
      <c r="E113" s="87"/>
      <c r="F113" s="87"/>
      <c r="G113" s="88"/>
      <c r="I113" s="89" t="s">
        <v>118</v>
      </c>
      <c r="J113" s="90"/>
      <c r="K113" s="90"/>
      <c r="L113" s="90"/>
      <c r="M113" s="90"/>
      <c r="N113" s="90"/>
      <c r="O113" s="91"/>
    </row>
    <row r="114" spans="1:15" ht="15.75" customHeight="1" x14ac:dyDescent="0.2">
      <c r="A114" s="19" t="s">
        <v>1</v>
      </c>
      <c r="B114" s="10" t="s">
        <v>2</v>
      </c>
      <c r="C114" s="10" t="s">
        <v>3</v>
      </c>
      <c r="D114" s="10" t="s">
        <v>4</v>
      </c>
      <c r="E114" s="10" t="s">
        <v>5</v>
      </c>
      <c r="F114" s="11" t="s">
        <v>6</v>
      </c>
      <c r="G114" s="12" t="s">
        <v>7</v>
      </c>
      <c r="I114" s="2" t="s">
        <v>1</v>
      </c>
      <c r="J114" s="3" t="s">
        <v>2</v>
      </c>
      <c r="K114" s="3" t="s">
        <v>3</v>
      </c>
      <c r="L114" s="3" t="s">
        <v>4</v>
      </c>
      <c r="M114" s="3" t="s">
        <v>5</v>
      </c>
      <c r="N114" s="4" t="s">
        <v>6</v>
      </c>
      <c r="O114" s="36" t="s">
        <v>7</v>
      </c>
    </row>
    <row r="115" spans="1:15" x14ac:dyDescent="0.2">
      <c r="A115" s="37" t="s">
        <v>93</v>
      </c>
      <c r="B115" s="28">
        <v>47</v>
      </c>
      <c r="C115" s="31">
        <f>B115*400</f>
        <v>18800</v>
      </c>
      <c r="D115" s="1">
        <v>2.5</v>
      </c>
      <c r="E115" s="31">
        <f>C115*D115</f>
        <v>47000</v>
      </c>
      <c r="F115" s="30">
        <f>AVERAGE(E115:E117)</f>
        <v>50666.666666666664</v>
      </c>
      <c r="G115" s="6">
        <f>_xlfn.STDEV.S(C115:C117)</f>
        <v>1285.8201014657272</v>
      </c>
      <c r="I115" s="15" t="s">
        <v>94</v>
      </c>
      <c r="J115" s="71">
        <v>64</v>
      </c>
      <c r="K115" s="34">
        <f>J115*400</f>
        <v>25600</v>
      </c>
      <c r="L115" s="1">
        <v>2.5</v>
      </c>
      <c r="M115" s="34">
        <f>K115*L115</f>
        <v>64000</v>
      </c>
      <c r="N115" s="16">
        <f>AVERAGE(M115:M117)</f>
        <v>60666.666666666664</v>
      </c>
      <c r="O115" s="21">
        <f>_xlfn.STDEV.S(K115:K117)</f>
        <v>1665.3327995729062</v>
      </c>
    </row>
    <row r="116" spans="1:15" x14ac:dyDescent="0.2">
      <c r="A116" s="37" t="s">
        <v>93</v>
      </c>
      <c r="B116" s="28">
        <v>53</v>
      </c>
      <c r="C116" s="31">
        <f>B116*400</f>
        <v>21200</v>
      </c>
      <c r="D116" s="1">
        <v>2.5</v>
      </c>
      <c r="E116" s="31">
        <f>C116*D116</f>
        <v>53000</v>
      </c>
      <c r="F116" s="31"/>
      <c r="G116" s="7"/>
      <c r="I116" s="15" t="s">
        <v>95</v>
      </c>
      <c r="J116" s="71">
        <v>56</v>
      </c>
      <c r="K116" s="34">
        <f>J116*400</f>
        <v>22400</v>
      </c>
      <c r="L116" s="1">
        <v>2.5</v>
      </c>
      <c r="M116" s="34">
        <f>K116*L116</f>
        <v>56000</v>
      </c>
      <c r="N116" s="5"/>
      <c r="O116" s="22"/>
    </row>
    <row r="117" spans="1:15" ht="16" thickBot="1" x14ac:dyDescent="0.25">
      <c r="A117" s="38" t="s">
        <v>93</v>
      </c>
      <c r="B117" s="29">
        <v>52</v>
      </c>
      <c r="C117" s="32">
        <f>B117*400</f>
        <v>20800</v>
      </c>
      <c r="D117" s="23">
        <v>2.5</v>
      </c>
      <c r="E117" s="32">
        <f>C117*D117</f>
        <v>52000</v>
      </c>
      <c r="F117" s="32"/>
      <c r="G117" s="25"/>
      <c r="H117" s="39"/>
      <c r="I117" s="26" t="s">
        <v>94</v>
      </c>
      <c r="J117" s="72">
        <v>62</v>
      </c>
      <c r="K117" s="35">
        <f>J117*400</f>
        <v>24800</v>
      </c>
      <c r="L117" s="23">
        <v>2.5</v>
      </c>
      <c r="M117" s="35">
        <f>K117*L117</f>
        <v>62000</v>
      </c>
      <c r="N117" s="24"/>
      <c r="O117" s="27"/>
    </row>
    <row r="118" spans="1:15" ht="16" thickBot="1" x14ac:dyDescent="0.25"/>
    <row r="119" spans="1:15" ht="37.5" customHeight="1" thickBot="1" x14ac:dyDescent="0.25">
      <c r="A119" s="77" t="s">
        <v>119</v>
      </c>
      <c r="B119" s="78"/>
      <c r="C119" s="78"/>
      <c r="D119" s="78"/>
      <c r="E119" s="78"/>
      <c r="F119" s="78"/>
      <c r="G119" s="78"/>
      <c r="H119" s="78"/>
      <c r="I119" s="78"/>
      <c r="J119" s="78"/>
      <c r="K119" s="78"/>
      <c r="L119" s="78"/>
      <c r="M119" s="78"/>
      <c r="N119" s="78"/>
      <c r="O119" s="79"/>
    </row>
    <row r="120" spans="1:15" ht="16" x14ac:dyDescent="0.2">
      <c r="A120" s="80" t="s">
        <v>15</v>
      </c>
      <c r="B120" s="81"/>
      <c r="C120" s="81"/>
      <c r="D120" s="81"/>
      <c r="E120" s="81"/>
      <c r="F120" s="81"/>
      <c r="G120" s="82"/>
      <c r="H120" s="18"/>
      <c r="I120" s="83" t="s">
        <v>10</v>
      </c>
      <c r="J120" s="84"/>
      <c r="K120" s="84"/>
      <c r="L120" s="84"/>
      <c r="M120" s="84"/>
      <c r="N120" s="84"/>
      <c r="O120" s="85"/>
    </row>
    <row r="121" spans="1:15" ht="32" x14ac:dyDescent="0.2">
      <c r="A121" s="19" t="s">
        <v>1</v>
      </c>
      <c r="B121" s="10" t="s">
        <v>2</v>
      </c>
      <c r="C121" s="10" t="s">
        <v>3</v>
      </c>
      <c r="D121" s="10" t="s">
        <v>4</v>
      </c>
      <c r="E121" s="10" t="s">
        <v>5</v>
      </c>
      <c r="F121" s="11" t="s">
        <v>6</v>
      </c>
      <c r="G121" s="12" t="s">
        <v>7</v>
      </c>
      <c r="H121" s="1"/>
      <c r="I121" s="9" t="s">
        <v>1</v>
      </c>
      <c r="J121" s="10" t="s">
        <v>2</v>
      </c>
      <c r="K121" s="10" t="s">
        <v>3</v>
      </c>
      <c r="L121" s="10" t="s">
        <v>4</v>
      </c>
      <c r="M121" s="10" t="s">
        <v>5</v>
      </c>
      <c r="N121" s="11" t="s">
        <v>6</v>
      </c>
      <c r="O121" s="20" t="s">
        <v>7</v>
      </c>
    </row>
    <row r="122" spans="1:15" x14ac:dyDescent="0.2">
      <c r="A122" s="40" t="s">
        <v>120</v>
      </c>
      <c r="B122" s="41">
        <v>8255</v>
      </c>
      <c r="C122" s="42">
        <f>B122*400</f>
        <v>3302000</v>
      </c>
      <c r="D122" s="1">
        <v>2.5</v>
      </c>
      <c r="E122" s="42">
        <f>C122*D122</f>
        <v>8255000</v>
      </c>
      <c r="F122" s="43">
        <f>AVERAGE(E122:E124)</f>
        <v>8296666.666666667</v>
      </c>
      <c r="G122" s="6">
        <f>_xlfn.STDEV.S(E122:E124)</f>
        <v>39677.86956646404</v>
      </c>
      <c r="H122" s="1"/>
      <c r="I122" s="13" t="s">
        <v>121</v>
      </c>
      <c r="J122" s="17">
        <v>368</v>
      </c>
      <c r="K122" s="33">
        <f>J122*400</f>
        <v>147200</v>
      </c>
      <c r="L122" s="1">
        <v>2.5</v>
      </c>
      <c r="M122" s="33">
        <f>K122*L122</f>
        <v>368000</v>
      </c>
      <c r="N122" s="14">
        <f>AVERAGE(M122:M124)</f>
        <v>355333.33333333331</v>
      </c>
      <c r="O122" s="21">
        <f>_xlfn.STDEV.S(K122:K124)</f>
        <v>4548.9925624618618</v>
      </c>
    </row>
    <row r="123" spans="1:15" x14ac:dyDescent="0.2">
      <c r="A123" s="40" t="s">
        <v>120</v>
      </c>
      <c r="B123" s="41">
        <v>8334</v>
      </c>
      <c r="C123" s="42">
        <f>B123*400</f>
        <v>3333600</v>
      </c>
      <c r="D123" s="1">
        <v>2.5</v>
      </c>
      <c r="E123" s="42">
        <f>C123*D123</f>
        <v>8334000</v>
      </c>
      <c r="F123" s="42"/>
      <c r="G123" s="7"/>
      <c r="H123" s="1"/>
      <c r="I123" s="13" t="s">
        <v>121</v>
      </c>
      <c r="J123" s="17">
        <v>352</v>
      </c>
      <c r="K123" s="33">
        <f>J123*400</f>
        <v>140800</v>
      </c>
      <c r="L123" s="1">
        <v>2.5</v>
      </c>
      <c r="M123" s="33">
        <f>K123*L123</f>
        <v>352000</v>
      </c>
      <c r="N123" s="5"/>
      <c r="O123" s="22"/>
    </row>
    <row r="124" spans="1:15" x14ac:dyDescent="0.2">
      <c r="A124" s="40" t="s">
        <v>120</v>
      </c>
      <c r="B124" s="41">
        <v>8301</v>
      </c>
      <c r="C124" s="42">
        <f>B124*400</f>
        <v>3320400</v>
      </c>
      <c r="D124" s="1">
        <v>2.5</v>
      </c>
      <c r="E124" s="42">
        <f>C124*D124</f>
        <v>8301000</v>
      </c>
      <c r="F124" s="42"/>
      <c r="G124" s="7"/>
      <c r="H124" s="8"/>
      <c r="I124" s="13" t="s">
        <v>121</v>
      </c>
      <c r="J124" s="17">
        <v>346</v>
      </c>
      <c r="K124" s="33">
        <f>J124*400</f>
        <v>138400</v>
      </c>
      <c r="L124" s="1">
        <v>2.5</v>
      </c>
      <c r="M124" s="33">
        <f>K124*L124</f>
        <v>346000</v>
      </c>
      <c r="N124" s="5"/>
      <c r="O124" s="22"/>
    </row>
    <row r="125" spans="1:15" ht="16" x14ac:dyDescent="0.2">
      <c r="A125" s="86" t="s">
        <v>11</v>
      </c>
      <c r="B125" s="87"/>
      <c r="C125" s="87"/>
      <c r="D125" s="87"/>
      <c r="E125" s="87"/>
      <c r="F125" s="87"/>
      <c r="G125" s="88"/>
      <c r="I125" s="89" t="s">
        <v>118</v>
      </c>
      <c r="J125" s="90"/>
      <c r="K125" s="90"/>
      <c r="L125" s="90"/>
      <c r="M125" s="90"/>
      <c r="N125" s="90"/>
      <c r="O125" s="91"/>
    </row>
    <row r="126" spans="1:15" ht="32" x14ac:dyDescent="0.2">
      <c r="A126" s="19" t="s">
        <v>1</v>
      </c>
      <c r="B126" s="10" t="s">
        <v>2</v>
      </c>
      <c r="C126" s="10" t="s">
        <v>3</v>
      </c>
      <c r="D126" s="10" t="s">
        <v>4</v>
      </c>
      <c r="E126" s="10" t="s">
        <v>5</v>
      </c>
      <c r="F126" s="11" t="s">
        <v>6</v>
      </c>
      <c r="G126" s="12" t="s">
        <v>7</v>
      </c>
      <c r="I126" s="2" t="s">
        <v>1</v>
      </c>
      <c r="J126" s="3" t="s">
        <v>2</v>
      </c>
      <c r="K126" s="3" t="s">
        <v>3</v>
      </c>
      <c r="L126" s="3" t="s">
        <v>4</v>
      </c>
      <c r="M126" s="3" t="s">
        <v>5</v>
      </c>
      <c r="N126" s="4" t="s">
        <v>6</v>
      </c>
      <c r="O126" s="36" t="s">
        <v>7</v>
      </c>
    </row>
    <row r="127" spans="1:15" x14ac:dyDescent="0.2">
      <c r="A127" s="37" t="s">
        <v>122</v>
      </c>
      <c r="B127" s="28">
        <v>48</v>
      </c>
      <c r="C127" s="31">
        <f>B127*400</f>
        <v>19200</v>
      </c>
      <c r="D127" s="1">
        <v>2.5</v>
      </c>
      <c r="E127" s="31">
        <f>C127*D127</f>
        <v>48000</v>
      </c>
      <c r="F127" s="30">
        <f>AVERAGE(E127:E129)</f>
        <v>48000</v>
      </c>
      <c r="G127" s="6">
        <f>_xlfn.STDEV.S(C127:C129)</f>
        <v>2400</v>
      </c>
      <c r="I127" s="15" t="s">
        <v>123</v>
      </c>
      <c r="J127" s="71">
        <v>1107</v>
      </c>
      <c r="K127" s="34">
        <f>J127*400</f>
        <v>442800</v>
      </c>
      <c r="L127" s="1">
        <v>2.5</v>
      </c>
      <c r="M127" s="34">
        <f>K127*L127</f>
        <v>1107000</v>
      </c>
      <c r="N127" s="16">
        <f>AVERAGE(M127:M129)</f>
        <v>1100333.3333333333</v>
      </c>
      <c r="O127" s="21">
        <f>_xlfn.STDEV.S(K127:K129)</f>
        <v>32482.200253882638</v>
      </c>
    </row>
    <row r="128" spans="1:15" x14ac:dyDescent="0.2">
      <c r="A128" s="37" t="s">
        <v>122</v>
      </c>
      <c r="B128" s="28">
        <v>54</v>
      </c>
      <c r="C128" s="31">
        <f>B128*400</f>
        <v>21600</v>
      </c>
      <c r="D128" s="1">
        <v>2.5</v>
      </c>
      <c r="E128" s="31">
        <f>C128*D128</f>
        <v>54000</v>
      </c>
      <c r="F128" s="31"/>
      <c r="G128" s="7"/>
      <c r="I128" s="15" t="s">
        <v>123</v>
      </c>
      <c r="J128" s="71">
        <v>1016</v>
      </c>
      <c r="K128" s="34">
        <f>J128*400</f>
        <v>406400</v>
      </c>
      <c r="L128" s="1">
        <v>2.5</v>
      </c>
      <c r="M128" s="34">
        <f>K128*L128</f>
        <v>1016000</v>
      </c>
      <c r="N128" s="5"/>
      <c r="O128" s="22"/>
    </row>
    <row r="129" spans="1:15" ht="16" thickBot="1" x14ac:dyDescent="0.25">
      <c r="A129" s="38" t="s">
        <v>122</v>
      </c>
      <c r="B129" s="29">
        <v>42</v>
      </c>
      <c r="C129" s="32">
        <f>B129*400</f>
        <v>16800</v>
      </c>
      <c r="D129" s="23">
        <v>2.5</v>
      </c>
      <c r="E129" s="32">
        <f>C129*D129</f>
        <v>42000</v>
      </c>
      <c r="F129" s="32"/>
      <c r="G129" s="25"/>
      <c r="H129" s="39"/>
      <c r="I129" s="26" t="s">
        <v>123</v>
      </c>
      <c r="J129" s="72">
        <v>1178</v>
      </c>
      <c r="K129" s="35">
        <f>J129*400</f>
        <v>471200</v>
      </c>
      <c r="L129" s="23">
        <v>2.5</v>
      </c>
      <c r="M129" s="35">
        <f>K129*L129</f>
        <v>1178000</v>
      </c>
      <c r="N129" s="24"/>
      <c r="O129" s="27"/>
    </row>
    <row r="130" spans="1:15" x14ac:dyDescent="0.2">
      <c r="A130" s="94" t="s">
        <v>124</v>
      </c>
      <c r="B130" s="94"/>
      <c r="C130" s="94"/>
      <c r="D130" s="94"/>
      <c r="E130" s="94"/>
      <c r="F130" s="94"/>
      <c r="G130" s="94"/>
      <c r="H130" s="94"/>
      <c r="I130" s="94"/>
      <c r="J130" s="94"/>
      <c r="K130" s="94"/>
      <c r="L130" s="94"/>
      <c r="M130" s="94"/>
      <c r="N130" s="94"/>
      <c r="O130" s="94"/>
    </row>
    <row r="131" spans="1:15" x14ac:dyDescent="0.2">
      <c r="A131" s="95"/>
      <c r="B131" s="95"/>
      <c r="C131" s="95"/>
      <c r="D131" s="95"/>
      <c r="E131" s="95"/>
      <c r="F131" s="95"/>
      <c r="G131" s="95"/>
      <c r="H131" s="95"/>
      <c r="I131" s="95"/>
      <c r="J131" s="95"/>
      <c r="K131" s="95"/>
      <c r="L131" s="95"/>
      <c r="M131" s="95"/>
      <c r="N131" s="95"/>
      <c r="O131" s="95"/>
    </row>
    <row r="132" spans="1:15" ht="16" thickBot="1" x14ac:dyDescent="0.25"/>
    <row r="133" spans="1:15" ht="20" thickBot="1" x14ac:dyDescent="0.25">
      <c r="A133" s="77" t="s">
        <v>125</v>
      </c>
      <c r="B133" s="78"/>
      <c r="C133" s="78"/>
      <c r="D133" s="78"/>
      <c r="E133" s="78"/>
      <c r="F133" s="78"/>
      <c r="G133" s="78"/>
      <c r="H133" s="78"/>
      <c r="I133" s="78"/>
      <c r="J133" s="78"/>
      <c r="K133" s="78"/>
      <c r="L133" s="78"/>
      <c r="M133" s="78"/>
      <c r="N133" s="78"/>
      <c r="O133" s="79"/>
    </row>
    <row r="134" spans="1:15" ht="16" x14ac:dyDescent="0.2">
      <c r="A134" s="80" t="s">
        <v>15</v>
      </c>
      <c r="B134" s="81"/>
      <c r="C134" s="81"/>
      <c r="D134" s="81"/>
      <c r="E134" s="81"/>
      <c r="F134" s="81"/>
      <c r="G134" s="82"/>
      <c r="H134" s="18"/>
      <c r="I134" s="83" t="s">
        <v>10</v>
      </c>
      <c r="J134" s="84"/>
      <c r="K134" s="84"/>
      <c r="L134" s="84"/>
      <c r="M134" s="84"/>
      <c r="N134" s="84"/>
      <c r="O134" s="85"/>
    </row>
    <row r="135" spans="1:15" ht="32" x14ac:dyDescent="0.2">
      <c r="A135" s="19" t="s">
        <v>1</v>
      </c>
      <c r="B135" s="10" t="s">
        <v>2</v>
      </c>
      <c r="C135" s="10" t="s">
        <v>3</v>
      </c>
      <c r="D135" s="10" t="s">
        <v>4</v>
      </c>
      <c r="E135" s="10" t="s">
        <v>5</v>
      </c>
      <c r="F135" s="11" t="s">
        <v>6</v>
      </c>
      <c r="G135" s="12" t="s">
        <v>7</v>
      </c>
      <c r="H135" s="1"/>
      <c r="I135" s="9" t="s">
        <v>1</v>
      </c>
      <c r="J135" s="10" t="s">
        <v>2</v>
      </c>
      <c r="K135" s="10" t="s">
        <v>3</v>
      </c>
      <c r="L135" s="10" t="s">
        <v>4</v>
      </c>
      <c r="M135" s="10" t="s">
        <v>5</v>
      </c>
      <c r="N135" s="11" t="s">
        <v>6</v>
      </c>
      <c r="O135" s="20" t="s">
        <v>7</v>
      </c>
    </row>
    <row r="136" spans="1:15" ht="30.75" customHeight="1" x14ac:dyDescent="0.2">
      <c r="A136" s="40" t="s">
        <v>90</v>
      </c>
      <c r="B136" s="41">
        <v>55</v>
      </c>
      <c r="C136" s="42">
        <f>B136*400</f>
        <v>22000</v>
      </c>
      <c r="D136" s="1">
        <v>2.5</v>
      </c>
      <c r="E136" s="42">
        <f>C136*D136</f>
        <v>55000</v>
      </c>
      <c r="F136" s="43">
        <f>AVERAGE(E136:E138)</f>
        <v>56666.666666666664</v>
      </c>
      <c r="G136" s="6">
        <f>_xlfn.STDEV.S(E136:E138)</f>
        <v>9609.023536933033</v>
      </c>
      <c r="H136" s="1"/>
      <c r="I136" s="13" t="s">
        <v>91</v>
      </c>
      <c r="J136" s="17">
        <v>49</v>
      </c>
      <c r="K136" s="33">
        <f>J136*400</f>
        <v>19600</v>
      </c>
      <c r="L136" s="1">
        <v>2.5</v>
      </c>
      <c r="M136" s="33">
        <f>K136*L136</f>
        <v>49000</v>
      </c>
      <c r="N136" s="14">
        <f>AVERAGE(M136:M138)</f>
        <v>45333.333333333336</v>
      </c>
      <c r="O136" s="21">
        <f>_xlfn.STDEV.S(K136:K138)</f>
        <v>1285.8201014657272</v>
      </c>
    </row>
    <row r="137" spans="1:15" x14ac:dyDescent="0.2">
      <c r="A137" s="40" t="s">
        <v>90</v>
      </c>
      <c r="B137" s="41">
        <v>48</v>
      </c>
      <c r="C137" s="42">
        <f>B137*400</f>
        <v>19200</v>
      </c>
      <c r="D137" s="1">
        <v>2.5</v>
      </c>
      <c r="E137" s="42">
        <f>C137*D137</f>
        <v>48000</v>
      </c>
      <c r="F137" s="42"/>
      <c r="G137" s="7"/>
      <c r="H137" s="1"/>
      <c r="I137" s="13" t="s">
        <v>91</v>
      </c>
      <c r="J137" s="17">
        <v>43</v>
      </c>
      <c r="K137" s="33">
        <f>J137*400</f>
        <v>17200</v>
      </c>
      <c r="L137" s="1">
        <v>2.5</v>
      </c>
      <c r="M137" s="33">
        <f>K137*L137</f>
        <v>43000</v>
      </c>
      <c r="N137" s="5"/>
      <c r="O137" s="22"/>
    </row>
    <row r="138" spans="1:15" x14ac:dyDescent="0.2">
      <c r="A138" s="40" t="s">
        <v>90</v>
      </c>
      <c r="B138" s="41">
        <v>67</v>
      </c>
      <c r="C138" s="42">
        <f>B138*400</f>
        <v>26800</v>
      </c>
      <c r="D138" s="1">
        <v>2.5</v>
      </c>
      <c r="E138" s="42">
        <f>C138*D138</f>
        <v>67000</v>
      </c>
      <c r="F138" s="42"/>
      <c r="G138" s="7"/>
      <c r="H138" s="8"/>
      <c r="I138" s="13" t="s">
        <v>91</v>
      </c>
      <c r="J138" s="17">
        <v>44</v>
      </c>
      <c r="K138" s="33">
        <f>J138*400</f>
        <v>17600</v>
      </c>
      <c r="L138" s="1">
        <v>2.5</v>
      </c>
      <c r="M138" s="33">
        <f>K138*L138</f>
        <v>44000</v>
      </c>
      <c r="N138" s="5"/>
      <c r="O138" s="22"/>
    </row>
    <row r="139" spans="1:15" ht="16" x14ac:dyDescent="0.2">
      <c r="A139" s="86" t="s">
        <v>11</v>
      </c>
      <c r="B139" s="87"/>
      <c r="C139" s="87"/>
      <c r="D139" s="87"/>
      <c r="E139" s="87"/>
      <c r="F139" s="87"/>
      <c r="G139" s="88"/>
      <c r="I139" s="89" t="s">
        <v>126</v>
      </c>
      <c r="J139" s="90"/>
      <c r="K139" s="90"/>
      <c r="L139" s="90"/>
      <c r="M139" s="90"/>
      <c r="N139" s="90"/>
      <c r="O139" s="91"/>
    </row>
    <row r="140" spans="1:15" ht="32" x14ac:dyDescent="0.2">
      <c r="A140" s="19" t="s">
        <v>1</v>
      </c>
      <c r="B140" s="10" t="s">
        <v>2</v>
      </c>
      <c r="C140" s="10" t="s">
        <v>3</v>
      </c>
      <c r="D140" s="10" t="s">
        <v>4</v>
      </c>
      <c r="E140" s="10" t="s">
        <v>5</v>
      </c>
      <c r="F140" s="11" t="s">
        <v>6</v>
      </c>
      <c r="G140" s="12" t="s">
        <v>7</v>
      </c>
      <c r="I140" s="2" t="s">
        <v>1</v>
      </c>
      <c r="J140" s="3" t="s">
        <v>2</v>
      </c>
      <c r="K140" s="3" t="s">
        <v>3</v>
      </c>
      <c r="L140" s="3" t="s">
        <v>4</v>
      </c>
      <c r="M140" s="3" t="s">
        <v>5</v>
      </c>
      <c r="N140" s="4" t="s">
        <v>6</v>
      </c>
      <c r="O140" s="36" t="s">
        <v>7</v>
      </c>
    </row>
    <row r="141" spans="1:15" ht="15" customHeight="1" x14ac:dyDescent="0.2">
      <c r="A141" s="37" t="s">
        <v>93</v>
      </c>
      <c r="B141" s="74" t="s">
        <v>127</v>
      </c>
      <c r="C141" s="31" t="e">
        <f>B141*400</f>
        <v>#VALUE!</v>
      </c>
      <c r="D141" s="1">
        <v>2.5</v>
      </c>
      <c r="E141" s="31"/>
      <c r="F141" s="31" t="s">
        <v>127</v>
      </c>
      <c r="G141" s="6"/>
      <c r="I141" s="15" t="s">
        <v>94</v>
      </c>
      <c r="J141" s="71">
        <v>58</v>
      </c>
      <c r="K141" s="34">
        <f>J141*400</f>
        <v>23200</v>
      </c>
      <c r="L141" s="1">
        <v>2.5</v>
      </c>
      <c r="M141" s="34">
        <f>K141*L141</f>
        <v>58000</v>
      </c>
      <c r="N141" s="16">
        <f>AVERAGE(M141:M143)</f>
        <v>61000</v>
      </c>
      <c r="O141" s="21">
        <f>_xlfn.STDEV.S(K141:K143)</f>
        <v>1200</v>
      </c>
    </row>
    <row r="142" spans="1:15" x14ac:dyDescent="0.2">
      <c r="A142" s="37" t="s">
        <v>93</v>
      </c>
      <c r="B142" s="28"/>
      <c r="C142" s="31">
        <f>B142*400</f>
        <v>0</v>
      </c>
      <c r="D142" s="1">
        <v>2.5</v>
      </c>
      <c r="E142" s="31"/>
      <c r="F142" s="31"/>
      <c r="G142" s="7"/>
      <c r="I142" s="15" t="s">
        <v>95</v>
      </c>
      <c r="J142" s="71">
        <v>61</v>
      </c>
      <c r="K142" s="34">
        <f>J142*400</f>
        <v>24400</v>
      </c>
      <c r="L142" s="1">
        <v>2.5</v>
      </c>
      <c r="M142" s="34">
        <f>K142*L142</f>
        <v>61000</v>
      </c>
      <c r="N142" s="5"/>
      <c r="O142" s="22"/>
    </row>
    <row r="143" spans="1:15" ht="16" thickBot="1" x14ac:dyDescent="0.25">
      <c r="A143" s="38" t="s">
        <v>93</v>
      </c>
      <c r="B143" s="29"/>
      <c r="C143" s="32">
        <f>B143*400</f>
        <v>0</v>
      </c>
      <c r="D143" s="23">
        <v>2.5</v>
      </c>
      <c r="E143" s="32"/>
      <c r="F143" s="32"/>
      <c r="G143" s="25"/>
      <c r="H143" s="39"/>
      <c r="I143" s="26" t="s">
        <v>94</v>
      </c>
      <c r="J143" s="72">
        <v>64</v>
      </c>
      <c r="K143" s="35">
        <f>J143*400</f>
        <v>25600</v>
      </c>
      <c r="L143" s="23">
        <v>2.5</v>
      </c>
      <c r="M143" s="35">
        <f>K143*L143</f>
        <v>64000</v>
      </c>
      <c r="N143" s="24"/>
      <c r="O143" s="27"/>
    </row>
    <row r="144" spans="1:15" ht="16" thickBot="1" x14ac:dyDescent="0.25">
      <c r="A144" s="92" t="s">
        <v>128</v>
      </c>
      <c r="B144" s="93"/>
      <c r="C144" s="93"/>
      <c r="D144" s="93"/>
    </row>
    <row r="145" spans="1:15" ht="20" thickBot="1" x14ac:dyDescent="0.25">
      <c r="A145" s="77" t="s">
        <v>129</v>
      </c>
      <c r="B145" s="78"/>
      <c r="C145" s="78"/>
      <c r="D145" s="78"/>
      <c r="E145" s="78"/>
      <c r="F145" s="78"/>
      <c r="G145" s="78"/>
      <c r="H145" s="78"/>
      <c r="I145" s="78"/>
      <c r="J145" s="78"/>
      <c r="K145" s="78"/>
      <c r="L145" s="78"/>
      <c r="M145" s="78"/>
      <c r="N145" s="78"/>
      <c r="O145" s="79"/>
    </row>
    <row r="146" spans="1:15" ht="16" x14ac:dyDescent="0.2">
      <c r="A146" s="80" t="s">
        <v>15</v>
      </c>
      <c r="B146" s="81"/>
      <c r="C146" s="81"/>
      <c r="D146" s="81"/>
      <c r="E146" s="81"/>
      <c r="F146" s="81"/>
      <c r="G146" s="82"/>
      <c r="H146" s="18"/>
      <c r="I146" s="83" t="s">
        <v>10</v>
      </c>
      <c r="J146" s="84"/>
      <c r="K146" s="84"/>
      <c r="L146" s="84"/>
      <c r="M146" s="84"/>
      <c r="N146" s="84"/>
      <c r="O146" s="85"/>
    </row>
    <row r="147" spans="1:15" ht="32" x14ac:dyDescent="0.2">
      <c r="A147" s="19" t="s">
        <v>1</v>
      </c>
      <c r="B147" s="10" t="s">
        <v>2</v>
      </c>
      <c r="C147" s="10" t="s">
        <v>3</v>
      </c>
      <c r="D147" s="10" t="s">
        <v>4</v>
      </c>
      <c r="E147" s="10" t="s">
        <v>5</v>
      </c>
      <c r="F147" s="11" t="s">
        <v>6</v>
      </c>
      <c r="G147" s="12" t="s">
        <v>7</v>
      </c>
      <c r="H147" s="1"/>
      <c r="I147" s="9" t="s">
        <v>1</v>
      </c>
      <c r="J147" s="10" t="s">
        <v>2</v>
      </c>
      <c r="K147" s="10" t="s">
        <v>3</v>
      </c>
      <c r="L147" s="10" t="s">
        <v>4</v>
      </c>
      <c r="M147" s="10" t="s">
        <v>5</v>
      </c>
      <c r="N147" s="11" t="s">
        <v>6</v>
      </c>
      <c r="O147" s="20" t="s">
        <v>7</v>
      </c>
    </row>
    <row r="148" spans="1:15" x14ac:dyDescent="0.2">
      <c r="A148" s="40" t="s">
        <v>130</v>
      </c>
      <c r="B148" s="41">
        <v>10180</v>
      </c>
      <c r="C148" s="42">
        <f>B148*400</f>
        <v>4072000</v>
      </c>
      <c r="D148" s="1">
        <v>2.5</v>
      </c>
      <c r="E148" s="42">
        <f>C148*D148</f>
        <v>10180000</v>
      </c>
      <c r="F148" s="43">
        <f>AVERAGE(E148:E150)</f>
        <v>10252333.333333334</v>
      </c>
      <c r="G148" s="6">
        <f>_xlfn.STDEV.S(E148:E150)</f>
        <v>95059.630408146098</v>
      </c>
      <c r="H148" s="1"/>
      <c r="I148" s="13" t="s">
        <v>131</v>
      </c>
      <c r="J148" s="17">
        <v>131</v>
      </c>
      <c r="K148" s="33">
        <f>J148*400</f>
        <v>52400</v>
      </c>
      <c r="L148" s="1">
        <v>2.5</v>
      </c>
      <c r="M148" s="33">
        <f>K148*L148</f>
        <v>131000</v>
      </c>
      <c r="N148" s="14">
        <f>AVERAGE(M148:M150)</f>
        <v>126000</v>
      </c>
      <c r="O148" s="21">
        <f>_xlfn.STDEV.S(K148:K150)</f>
        <v>2497.9991993593594</v>
      </c>
    </row>
    <row r="149" spans="1:15" x14ac:dyDescent="0.2">
      <c r="A149" s="40" t="s">
        <v>130</v>
      </c>
      <c r="B149" s="41">
        <v>10360</v>
      </c>
      <c r="C149" s="42">
        <f>B149*400</f>
        <v>4144000</v>
      </c>
      <c r="D149" s="1">
        <v>2.5</v>
      </c>
      <c r="E149" s="42">
        <f>C149*D149</f>
        <v>10360000</v>
      </c>
      <c r="F149" s="42"/>
      <c r="G149" s="7"/>
      <c r="H149" s="1"/>
      <c r="I149" s="13" t="s">
        <v>131</v>
      </c>
      <c r="J149" s="17">
        <v>128</v>
      </c>
      <c r="K149" s="33">
        <f>J149*400</f>
        <v>51200</v>
      </c>
      <c r="L149" s="1">
        <v>2.5</v>
      </c>
      <c r="M149" s="33">
        <f>K149*L149</f>
        <v>128000</v>
      </c>
      <c r="N149" s="5"/>
      <c r="O149" s="22"/>
    </row>
    <row r="150" spans="1:15" x14ac:dyDescent="0.2">
      <c r="A150" s="40" t="s">
        <v>130</v>
      </c>
      <c r="B150" s="41">
        <v>10217</v>
      </c>
      <c r="C150" s="42">
        <f>B150*400</f>
        <v>4086800</v>
      </c>
      <c r="D150" s="1">
        <v>2.5</v>
      </c>
      <c r="E150" s="42">
        <f>C150*D150</f>
        <v>10217000</v>
      </c>
      <c r="F150" s="42"/>
      <c r="G150" s="7"/>
      <c r="H150" s="8"/>
      <c r="I150" s="13" t="s">
        <v>131</v>
      </c>
      <c r="J150" s="17">
        <v>119</v>
      </c>
      <c r="K150" s="33">
        <f>J150*400</f>
        <v>47600</v>
      </c>
      <c r="L150" s="1">
        <v>2.5</v>
      </c>
      <c r="M150" s="33">
        <f>K150*L150</f>
        <v>119000</v>
      </c>
      <c r="N150" s="5"/>
      <c r="O150" s="22"/>
    </row>
    <row r="151" spans="1:15" ht="16" x14ac:dyDescent="0.2">
      <c r="A151" s="86" t="s">
        <v>11</v>
      </c>
      <c r="B151" s="87"/>
      <c r="C151" s="87"/>
      <c r="D151" s="87"/>
      <c r="E151" s="87"/>
      <c r="F151" s="87"/>
      <c r="G151" s="88"/>
      <c r="I151" s="89" t="s">
        <v>132</v>
      </c>
      <c r="J151" s="90"/>
      <c r="K151" s="90"/>
      <c r="L151" s="90"/>
      <c r="M151" s="90"/>
      <c r="N151" s="90"/>
      <c r="O151" s="91"/>
    </row>
    <row r="152" spans="1:15" ht="32" x14ac:dyDescent="0.2">
      <c r="A152" s="19" t="s">
        <v>1</v>
      </c>
      <c r="B152" s="10" t="s">
        <v>2</v>
      </c>
      <c r="C152" s="10" t="s">
        <v>3</v>
      </c>
      <c r="D152" s="10" t="s">
        <v>4</v>
      </c>
      <c r="E152" s="10" t="s">
        <v>5</v>
      </c>
      <c r="F152" s="11" t="s">
        <v>6</v>
      </c>
      <c r="G152" s="12" t="s">
        <v>7</v>
      </c>
      <c r="I152" s="2" t="s">
        <v>1</v>
      </c>
      <c r="J152" s="3" t="s">
        <v>2</v>
      </c>
      <c r="K152" s="3" t="s">
        <v>3</v>
      </c>
      <c r="L152" s="3" t="s">
        <v>4</v>
      </c>
      <c r="M152" s="3" t="s">
        <v>5</v>
      </c>
      <c r="N152" s="4" t="s">
        <v>6</v>
      </c>
      <c r="O152" s="36" t="s">
        <v>7</v>
      </c>
    </row>
    <row r="153" spans="1:15" x14ac:dyDescent="0.2">
      <c r="A153" s="37" t="s">
        <v>133</v>
      </c>
      <c r="B153" s="28">
        <v>16</v>
      </c>
      <c r="C153" s="31">
        <f>B153*400</f>
        <v>6400</v>
      </c>
      <c r="D153" s="1">
        <v>2.5</v>
      </c>
      <c r="E153" s="31">
        <f>C153*D153</f>
        <v>16000</v>
      </c>
      <c r="F153" s="30">
        <f>AVERAGE(E153:E155)</f>
        <v>16333.333333333334</v>
      </c>
      <c r="G153" s="6">
        <f>_xlfn.STDEV.S(C153:C155)</f>
        <v>611.0100926607787</v>
      </c>
      <c r="I153" s="15" t="s">
        <v>134</v>
      </c>
      <c r="J153" s="71">
        <v>1142</v>
      </c>
      <c r="K153" s="34">
        <f>J153*400</f>
        <v>456800</v>
      </c>
      <c r="L153" s="1">
        <v>2.5</v>
      </c>
      <c r="M153" s="34">
        <f>K153*L153</f>
        <v>1142000</v>
      </c>
      <c r="N153" s="16">
        <f>AVERAGE(M153:M155)</f>
        <v>1166000</v>
      </c>
      <c r="O153" s="21">
        <f>_xlfn.STDEV.S(K153:K155)</f>
        <v>8352.2452071284406</v>
      </c>
    </row>
    <row r="154" spans="1:15" x14ac:dyDescent="0.2">
      <c r="A154" s="37" t="s">
        <v>133</v>
      </c>
      <c r="B154" s="28">
        <v>18</v>
      </c>
      <c r="C154" s="31">
        <f>B154*400</f>
        <v>7200</v>
      </c>
      <c r="D154" s="1">
        <v>2.5</v>
      </c>
      <c r="E154" s="31">
        <f>C154*D154</f>
        <v>18000</v>
      </c>
      <c r="F154" s="31"/>
      <c r="G154" s="7"/>
      <c r="I154" s="15" t="s">
        <v>134</v>
      </c>
      <c r="J154" s="71">
        <v>1176</v>
      </c>
      <c r="K154" s="34">
        <f>J154*400</f>
        <v>470400</v>
      </c>
      <c r="L154" s="1">
        <v>2.5</v>
      </c>
      <c r="M154" s="34">
        <f>K154*L154</f>
        <v>1176000</v>
      </c>
      <c r="N154" s="5"/>
      <c r="O154" s="22"/>
    </row>
    <row r="155" spans="1:15" ht="34.5" customHeight="1" thickBot="1" x14ac:dyDescent="0.25">
      <c r="A155" s="38" t="s">
        <v>133</v>
      </c>
      <c r="B155" s="29">
        <v>15</v>
      </c>
      <c r="C155" s="32">
        <f>B155*400</f>
        <v>6000</v>
      </c>
      <c r="D155" s="23">
        <v>2.5</v>
      </c>
      <c r="E155" s="32">
        <f>C155*D155</f>
        <v>15000</v>
      </c>
      <c r="F155" s="32"/>
      <c r="G155" s="25"/>
      <c r="H155" s="39"/>
      <c r="I155" s="26" t="s">
        <v>134</v>
      </c>
      <c r="J155" s="72">
        <v>1180</v>
      </c>
      <c r="K155" s="35">
        <f>J155*400</f>
        <v>472000</v>
      </c>
      <c r="L155" s="23">
        <v>2.5</v>
      </c>
      <c r="M155" s="35">
        <f>K155*L155</f>
        <v>1180000</v>
      </c>
      <c r="N155" s="24"/>
      <c r="O155" s="27"/>
    </row>
    <row r="156" spans="1:15" x14ac:dyDescent="0.2">
      <c r="A156" s="116" t="s">
        <v>135</v>
      </c>
      <c r="B156" s="94"/>
      <c r="C156" s="94"/>
      <c r="D156" s="94"/>
      <c r="E156" s="94"/>
      <c r="F156" s="94"/>
      <c r="G156" s="94"/>
      <c r="H156" s="94"/>
      <c r="I156" s="94"/>
      <c r="J156" s="94"/>
      <c r="K156" s="94"/>
      <c r="L156" s="94"/>
      <c r="M156" s="94"/>
      <c r="N156" s="94"/>
      <c r="O156" s="94"/>
    </row>
    <row r="157" spans="1:15" x14ac:dyDescent="0.2">
      <c r="A157" s="95"/>
      <c r="B157" s="95"/>
      <c r="C157" s="95"/>
      <c r="D157" s="95"/>
      <c r="E157" s="95"/>
      <c r="F157" s="95"/>
      <c r="G157" s="95"/>
      <c r="H157" s="95"/>
      <c r="I157" s="95"/>
      <c r="J157" s="95"/>
      <c r="K157" s="95"/>
      <c r="L157" s="95"/>
      <c r="M157" s="95"/>
      <c r="N157" s="95"/>
      <c r="O157" s="95"/>
    </row>
    <row r="160" spans="1:15" ht="16" thickBot="1" x14ac:dyDescent="0.25"/>
    <row r="161" spans="1:15" ht="20" thickBot="1" x14ac:dyDescent="0.25">
      <c r="A161" s="77" t="s">
        <v>136</v>
      </c>
      <c r="B161" s="78"/>
      <c r="C161" s="78"/>
      <c r="D161" s="78"/>
      <c r="E161" s="78"/>
      <c r="F161" s="78"/>
      <c r="G161" s="78"/>
      <c r="H161" s="78"/>
      <c r="I161" s="78"/>
      <c r="J161" s="78"/>
      <c r="K161" s="78"/>
      <c r="L161" s="78"/>
      <c r="M161" s="78"/>
      <c r="N161" s="78"/>
      <c r="O161" s="79"/>
    </row>
    <row r="162" spans="1:15" ht="16" x14ac:dyDescent="0.2">
      <c r="A162" s="80" t="s">
        <v>15</v>
      </c>
      <c r="B162" s="81"/>
      <c r="C162" s="81"/>
      <c r="D162" s="81"/>
      <c r="E162" s="81"/>
      <c r="F162" s="81"/>
      <c r="G162" s="82"/>
      <c r="H162" s="18"/>
      <c r="I162" s="83" t="s">
        <v>10</v>
      </c>
      <c r="J162" s="84"/>
      <c r="K162" s="84"/>
      <c r="L162" s="84"/>
      <c r="M162" s="84"/>
      <c r="N162" s="84"/>
      <c r="O162" s="85"/>
    </row>
    <row r="163" spans="1:15" ht="32" x14ac:dyDescent="0.2">
      <c r="A163" s="19" t="s">
        <v>1</v>
      </c>
      <c r="B163" s="10" t="s">
        <v>2</v>
      </c>
      <c r="C163" s="10" t="s">
        <v>3</v>
      </c>
      <c r="D163" s="10" t="s">
        <v>4</v>
      </c>
      <c r="E163" s="10" t="s">
        <v>5</v>
      </c>
      <c r="F163" s="11" t="s">
        <v>6</v>
      </c>
      <c r="G163" s="12" t="s">
        <v>7</v>
      </c>
      <c r="H163" s="1"/>
      <c r="I163" s="9" t="s">
        <v>1</v>
      </c>
      <c r="J163" s="10" t="s">
        <v>2</v>
      </c>
      <c r="K163" s="10" t="s">
        <v>3</v>
      </c>
      <c r="L163" s="10" t="s">
        <v>4</v>
      </c>
      <c r="M163" s="10" t="s">
        <v>5</v>
      </c>
      <c r="N163" s="11" t="s">
        <v>6</v>
      </c>
      <c r="O163" s="20" t="s">
        <v>7</v>
      </c>
    </row>
    <row r="164" spans="1:15" x14ac:dyDescent="0.2">
      <c r="A164" s="40" t="s">
        <v>90</v>
      </c>
      <c r="B164" s="41">
        <v>44</v>
      </c>
      <c r="C164" s="42">
        <f>B164*400</f>
        <v>17600</v>
      </c>
      <c r="D164" s="1">
        <v>2.5</v>
      </c>
      <c r="E164" s="42">
        <f>C164*D164</f>
        <v>44000</v>
      </c>
      <c r="F164" s="43">
        <f>AVERAGE(E164:E166)</f>
        <v>53000</v>
      </c>
      <c r="G164" s="6">
        <f>_xlfn.STDEV.S(E164:E166)</f>
        <v>7937.2539331937714</v>
      </c>
      <c r="H164" s="1"/>
      <c r="I164" s="13" t="s">
        <v>91</v>
      </c>
      <c r="J164" s="17">
        <v>49</v>
      </c>
      <c r="K164" s="33">
        <f>J164*400</f>
        <v>19600</v>
      </c>
      <c r="L164" s="1">
        <v>2.5</v>
      </c>
      <c r="M164" s="33">
        <f>K164*L164</f>
        <v>49000</v>
      </c>
      <c r="N164" s="14">
        <f>AVERAGE(M164:M166)</f>
        <v>37000</v>
      </c>
      <c r="O164" s="21">
        <f>_xlfn.STDEV.S(K164:K166)</f>
        <v>4176.1226035642203</v>
      </c>
    </row>
    <row r="165" spans="1:15" x14ac:dyDescent="0.2">
      <c r="A165" s="40" t="s">
        <v>90</v>
      </c>
      <c r="B165" s="41">
        <v>59</v>
      </c>
      <c r="C165" s="42">
        <f>B165*400</f>
        <v>23600</v>
      </c>
      <c r="D165" s="1">
        <v>2.5</v>
      </c>
      <c r="E165" s="42">
        <f>C165*D165</f>
        <v>59000</v>
      </c>
      <c r="F165" s="42"/>
      <c r="G165" s="7"/>
      <c r="H165" s="1"/>
      <c r="I165" s="13" t="s">
        <v>91</v>
      </c>
      <c r="J165" s="17">
        <v>30</v>
      </c>
      <c r="K165" s="33">
        <f>J165*400</f>
        <v>12000</v>
      </c>
      <c r="L165" s="1">
        <v>2.5</v>
      </c>
      <c r="M165" s="33">
        <f>K165*L165</f>
        <v>30000</v>
      </c>
      <c r="N165" s="5"/>
      <c r="O165" s="22"/>
    </row>
    <row r="166" spans="1:15" x14ac:dyDescent="0.2">
      <c r="A166" s="40" t="s">
        <v>90</v>
      </c>
      <c r="B166" s="41">
        <v>56</v>
      </c>
      <c r="C166" s="42">
        <f>B166*400</f>
        <v>22400</v>
      </c>
      <c r="D166" s="1">
        <v>2.5</v>
      </c>
      <c r="E166" s="42">
        <f>C166*D166</f>
        <v>56000</v>
      </c>
      <c r="F166" s="42"/>
      <c r="G166" s="7"/>
      <c r="H166" s="8"/>
      <c r="I166" s="13" t="s">
        <v>91</v>
      </c>
      <c r="J166" s="17">
        <v>32</v>
      </c>
      <c r="K166" s="33">
        <f>J166*400</f>
        <v>12800</v>
      </c>
      <c r="L166" s="1">
        <v>2.5</v>
      </c>
      <c r="M166" s="33">
        <f>K166*L166</f>
        <v>32000</v>
      </c>
      <c r="N166" s="5"/>
      <c r="O166" s="22"/>
    </row>
    <row r="167" spans="1:15" ht="16" x14ac:dyDescent="0.2">
      <c r="A167" s="86" t="s">
        <v>11</v>
      </c>
      <c r="B167" s="87"/>
      <c r="C167" s="87"/>
      <c r="D167" s="87"/>
      <c r="E167" s="87"/>
      <c r="F167" s="87"/>
      <c r="G167" s="88"/>
      <c r="I167" s="89" t="s">
        <v>137</v>
      </c>
      <c r="J167" s="90"/>
      <c r="K167" s="90"/>
      <c r="L167" s="90"/>
      <c r="M167" s="90"/>
      <c r="N167" s="90"/>
      <c r="O167" s="91"/>
    </row>
    <row r="168" spans="1:15" ht="32" x14ac:dyDescent="0.2">
      <c r="A168" s="19" t="s">
        <v>1</v>
      </c>
      <c r="B168" s="10" t="s">
        <v>2</v>
      </c>
      <c r="C168" s="10" t="s">
        <v>3</v>
      </c>
      <c r="D168" s="10" t="s">
        <v>4</v>
      </c>
      <c r="E168" s="10" t="s">
        <v>5</v>
      </c>
      <c r="F168" s="11" t="s">
        <v>6</v>
      </c>
      <c r="G168" s="12" t="s">
        <v>7</v>
      </c>
      <c r="I168" s="2" t="s">
        <v>1</v>
      </c>
      <c r="J168" s="3" t="s">
        <v>2</v>
      </c>
      <c r="K168" s="3" t="s">
        <v>3</v>
      </c>
      <c r="L168" s="3" t="s">
        <v>4</v>
      </c>
      <c r="M168" s="3" t="s">
        <v>5</v>
      </c>
      <c r="N168" s="4" t="s">
        <v>6</v>
      </c>
      <c r="O168" s="36" t="s">
        <v>7</v>
      </c>
    </row>
    <row r="169" spans="1:15" x14ac:dyDescent="0.2">
      <c r="A169" s="37" t="s">
        <v>93</v>
      </c>
      <c r="B169" s="74" t="s">
        <v>127</v>
      </c>
      <c r="C169" s="31"/>
      <c r="D169" s="1">
        <v>2.5</v>
      </c>
      <c r="E169" s="31"/>
      <c r="F169" s="31" t="s">
        <v>127</v>
      </c>
      <c r="G169" s="6"/>
      <c r="I169" s="15" t="s">
        <v>94</v>
      </c>
      <c r="J169" s="71">
        <v>42</v>
      </c>
      <c r="K169" s="34">
        <f>J169*400</f>
        <v>16800</v>
      </c>
      <c r="L169" s="1">
        <v>2.5</v>
      </c>
      <c r="M169" s="34">
        <f>K169*L169</f>
        <v>42000</v>
      </c>
      <c r="N169" s="16">
        <f>AVERAGE(M169:M171)</f>
        <v>49000</v>
      </c>
      <c r="O169" s="21">
        <f>_xlfn.STDEV.S(K169:K171)</f>
        <v>3019.9337741083</v>
      </c>
    </row>
    <row r="170" spans="1:15" x14ac:dyDescent="0.2">
      <c r="A170" s="37" t="s">
        <v>93</v>
      </c>
      <c r="B170" s="28"/>
      <c r="C170" s="31"/>
      <c r="D170" s="1">
        <v>2.5</v>
      </c>
      <c r="E170" s="31"/>
      <c r="F170" s="31"/>
      <c r="G170" s="7"/>
      <c r="I170" s="15" t="s">
        <v>95</v>
      </c>
      <c r="J170" s="71">
        <v>57</v>
      </c>
      <c r="K170" s="34">
        <f>J170*400</f>
        <v>22800</v>
      </c>
      <c r="L170" s="1">
        <v>2.5</v>
      </c>
      <c r="M170" s="34">
        <f>K170*L170</f>
        <v>57000</v>
      </c>
      <c r="N170" s="5"/>
      <c r="O170" s="22"/>
    </row>
    <row r="171" spans="1:15" ht="16" thickBot="1" x14ac:dyDescent="0.25">
      <c r="A171" s="38" t="s">
        <v>93</v>
      </c>
      <c r="B171" s="29"/>
      <c r="C171" s="32"/>
      <c r="D171" s="23">
        <v>2.5</v>
      </c>
      <c r="E171" s="32"/>
      <c r="F171" s="32"/>
      <c r="G171" s="25"/>
      <c r="H171" s="39"/>
      <c r="I171" s="26" t="s">
        <v>94</v>
      </c>
      <c r="J171" s="72">
        <v>48</v>
      </c>
      <c r="K171" s="35">
        <f>J171*400</f>
        <v>19200</v>
      </c>
      <c r="L171" s="23">
        <v>2.5</v>
      </c>
      <c r="M171" s="35">
        <f>K171*L171</f>
        <v>48000</v>
      </c>
      <c r="N171" s="24"/>
      <c r="O171" s="27"/>
    </row>
    <row r="172" spans="1:15" x14ac:dyDescent="0.2">
      <c r="A172" s="92" t="s">
        <v>138</v>
      </c>
      <c r="B172" s="93"/>
      <c r="C172" s="93"/>
      <c r="D172" s="93"/>
    </row>
    <row r="173" spans="1:15" ht="16" thickBot="1" x14ac:dyDescent="0.25"/>
    <row r="174" spans="1:15" ht="20" thickBot="1" x14ac:dyDescent="0.25">
      <c r="A174" s="77" t="s">
        <v>140</v>
      </c>
      <c r="B174" s="78"/>
      <c r="C174" s="78"/>
      <c r="D174" s="78"/>
      <c r="E174" s="78"/>
      <c r="F174" s="78"/>
      <c r="G174" s="78"/>
      <c r="H174" s="78"/>
      <c r="I174" s="78"/>
      <c r="J174" s="78"/>
      <c r="K174" s="78"/>
      <c r="L174" s="78"/>
      <c r="M174" s="78"/>
      <c r="N174" s="78"/>
      <c r="O174" s="79"/>
    </row>
    <row r="175" spans="1:15" ht="16" x14ac:dyDescent="0.2">
      <c r="A175" s="80" t="s">
        <v>15</v>
      </c>
      <c r="B175" s="81"/>
      <c r="C175" s="81"/>
      <c r="D175" s="81"/>
      <c r="E175" s="81"/>
      <c r="F175" s="81"/>
      <c r="G175" s="82"/>
      <c r="H175" s="18"/>
      <c r="I175" s="83" t="s">
        <v>10</v>
      </c>
      <c r="J175" s="84"/>
      <c r="K175" s="84"/>
      <c r="L175" s="84"/>
      <c r="M175" s="84"/>
      <c r="N175" s="84"/>
      <c r="O175" s="85"/>
    </row>
    <row r="176" spans="1:15" ht="32" x14ac:dyDescent="0.2">
      <c r="A176" s="19" t="s">
        <v>1</v>
      </c>
      <c r="B176" s="10" t="s">
        <v>2</v>
      </c>
      <c r="C176" s="10" t="s">
        <v>3</v>
      </c>
      <c r="D176" s="10" t="s">
        <v>4</v>
      </c>
      <c r="E176" s="10" t="s">
        <v>5</v>
      </c>
      <c r="F176" s="11" t="s">
        <v>6</v>
      </c>
      <c r="G176" s="12" t="s">
        <v>7</v>
      </c>
      <c r="H176" s="1"/>
      <c r="I176" s="9" t="s">
        <v>1</v>
      </c>
      <c r="J176" s="10" t="s">
        <v>2</v>
      </c>
      <c r="K176" s="10" t="s">
        <v>3</v>
      </c>
      <c r="L176" s="10" t="s">
        <v>4</v>
      </c>
      <c r="M176" s="10" t="s">
        <v>5</v>
      </c>
      <c r="N176" s="11" t="s">
        <v>6</v>
      </c>
      <c r="O176" s="20" t="s">
        <v>7</v>
      </c>
    </row>
    <row r="177" spans="1:15" x14ac:dyDescent="0.2">
      <c r="A177" s="40" t="s">
        <v>90</v>
      </c>
      <c r="B177" s="41">
        <v>6869</v>
      </c>
      <c r="C177" s="42">
        <f>B177*400</f>
        <v>2747600</v>
      </c>
      <c r="D177" s="1">
        <v>2.5</v>
      </c>
      <c r="E177" s="42">
        <f>C177*D177</f>
        <v>6869000</v>
      </c>
      <c r="F177" s="43">
        <f>AVERAGE(E177:E179)</f>
        <v>7153000</v>
      </c>
      <c r="G177" s="6">
        <f>_xlfn.STDEV.S(E177:E179)</f>
        <v>387160.17357161106</v>
      </c>
      <c r="H177" s="1"/>
      <c r="I177" s="13" t="s">
        <v>91</v>
      </c>
      <c r="J177" s="17">
        <v>1048</v>
      </c>
      <c r="K177" s="33">
        <f>J177*400</f>
        <v>419200</v>
      </c>
      <c r="L177" s="1">
        <v>2.5</v>
      </c>
      <c r="M177" s="33">
        <f>K177*L177</f>
        <v>1048000</v>
      </c>
      <c r="N177" s="14">
        <f>AVERAGE(M177:M179)</f>
        <v>1067666.6666666667</v>
      </c>
      <c r="O177" s="21">
        <f>_xlfn.STDEV.S(K177:K179)</f>
        <v>14323.872846871174</v>
      </c>
    </row>
    <row r="178" spans="1:15" x14ac:dyDescent="0.2">
      <c r="A178" s="40" t="s">
        <v>90</v>
      </c>
      <c r="B178" s="41">
        <v>7594</v>
      </c>
      <c r="C178" s="42">
        <f>B178*400</f>
        <v>3037600</v>
      </c>
      <c r="D178" s="1">
        <v>2.5</v>
      </c>
      <c r="E178" s="42">
        <f>C178*D178</f>
        <v>7594000</v>
      </c>
      <c r="F178" s="42"/>
      <c r="G178" s="7"/>
      <c r="H178" s="1"/>
      <c r="I178" s="13" t="s">
        <v>91</v>
      </c>
      <c r="J178" s="17">
        <v>1046</v>
      </c>
      <c r="K178" s="33">
        <f>J178*400</f>
        <v>418400</v>
      </c>
      <c r="L178" s="1">
        <v>2.5</v>
      </c>
      <c r="M178" s="33">
        <f>K178*L178</f>
        <v>1046000</v>
      </c>
      <c r="N178" s="5"/>
      <c r="O178" s="22"/>
    </row>
    <row r="179" spans="1:15" x14ac:dyDescent="0.2">
      <c r="A179" s="40" t="s">
        <v>90</v>
      </c>
      <c r="B179" s="41">
        <v>6996</v>
      </c>
      <c r="C179" s="42">
        <f>B179*400</f>
        <v>2798400</v>
      </c>
      <c r="D179" s="1">
        <v>2.5</v>
      </c>
      <c r="E179" s="42">
        <f>C179*D179</f>
        <v>6996000</v>
      </c>
      <c r="F179" s="42"/>
      <c r="G179" s="7"/>
      <c r="H179" s="8"/>
      <c r="I179" s="13" t="s">
        <v>91</v>
      </c>
      <c r="J179" s="17">
        <v>1109</v>
      </c>
      <c r="K179" s="33">
        <f>J179*400</f>
        <v>443600</v>
      </c>
      <c r="L179" s="1">
        <v>2.5</v>
      </c>
      <c r="M179" s="33">
        <f>K179*L179</f>
        <v>1109000</v>
      </c>
      <c r="N179" s="5"/>
      <c r="O179" s="22"/>
    </row>
    <row r="180" spans="1:15" ht="16" x14ac:dyDescent="0.2">
      <c r="A180" s="86" t="s">
        <v>11</v>
      </c>
      <c r="B180" s="87"/>
      <c r="C180" s="87"/>
      <c r="D180" s="87"/>
      <c r="E180" s="87"/>
      <c r="F180" s="87"/>
      <c r="G180" s="88"/>
      <c r="I180" s="89" t="s">
        <v>137</v>
      </c>
      <c r="J180" s="90"/>
      <c r="K180" s="90"/>
      <c r="L180" s="90"/>
      <c r="M180" s="90"/>
      <c r="N180" s="90"/>
      <c r="O180" s="91"/>
    </row>
    <row r="181" spans="1:15" ht="32" x14ac:dyDescent="0.2">
      <c r="A181" s="19" t="s">
        <v>1</v>
      </c>
      <c r="B181" s="10" t="s">
        <v>2</v>
      </c>
      <c r="C181" s="10" t="s">
        <v>3</v>
      </c>
      <c r="D181" s="10" t="s">
        <v>4</v>
      </c>
      <c r="E181" s="10" t="s">
        <v>5</v>
      </c>
      <c r="F181" s="11" t="s">
        <v>6</v>
      </c>
      <c r="G181" s="12" t="s">
        <v>7</v>
      </c>
      <c r="I181" s="2" t="s">
        <v>1</v>
      </c>
      <c r="J181" s="3" t="s">
        <v>2</v>
      </c>
      <c r="K181" s="3" t="s">
        <v>3</v>
      </c>
      <c r="L181" s="3" t="s">
        <v>4</v>
      </c>
      <c r="M181" s="3" t="s">
        <v>5</v>
      </c>
      <c r="N181" s="4" t="s">
        <v>6</v>
      </c>
      <c r="O181" s="36" t="s">
        <v>7</v>
      </c>
    </row>
    <row r="182" spans="1:15" x14ac:dyDescent="0.2">
      <c r="A182" s="37" t="s">
        <v>93</v>
      </c>
      <c r="B182" s="28">
        <v>56</v>
      </c>
      <c r="C182" s="31">
        <f>B182*400</f>
        <v>22400</v>
      </c>
      <c r="D182" s="1">
        <v>2.5</v>
      </c>
      <c r="E182" s="31">
        <f>C182*D182</f>
        <v>56000</v>
      </c>
      <c r="F182" s="30">
        <f>AVERAGE(E182:E184)</f>
        <v>50333.333333333336</v>
      </c>
      <c r="G182" s="6">
        <f>_xlfn.STDEV.S(C182:C184)</f>
        <v>2948.445918332804</v>
      </c>
      <c r="I182" s="15" t="s">
        <v>141</v>
      </c>
      <c r="J182" s="71">
        <v>3837</v>
      </c>
      <c r="K182" s="34">
        <f>J182*400</f>
        <v>1534800</v>
      </c>
      <c r="L182" s="1">
        <v>2.5</v>
      </c>
      <c r="M182" s="34">
        <f>K182*L182</f>
        <v>3837000</v>
      </c>
      <c r="N182" s="16">
        <f>AVERAGE(M182:M184)</f>
        <v>3633333.3333333335</v>
      </c>
      <c r="O182" s="21">
        <f>_xlfn.STDEV.S(K182:K184)</f>
        <v>74587.219638040755</v>
      </c>
    </row>
    <row r="183" spans="1:15" x14ac:dyDescent="0.2">
      <c r="A183" s="37" t="s">
        <v>93</v>
      </c>
      <c r="B183" s="28">
        <v>53</v>
      </c>
      <c r="C183" s="31">
        <f>B183*400</f>
        <v>21200</v>
      </c>
      <c r="D183" s="1">
        <v>2.5</v>
      </c>
      <c r="E183" s="31">
        <f>C183*D183</f>
        <v>53000</v>
      </c>
      <c r="F183" s="31"/>
      <c r="G183" s="7"/>
      <c r="I183" s="15" t="s">
        <v>141</v>
      </c>
      <c r="J183" s="71">
        <v>3592</v>
      </c>
      <c r="K183" s="34">
        <f>J183*400</f>
        <v>1436800</v>
      </c>
      <c r="L183" s="1">
        <v>2.5</v>
      </c>
      <c r="M183" s="34">
        <f>K183*L183</f>
        <v>3592000</v>
      </c>
      <c r="N183" s="5"/>
      <c r="O183" s="22"/>
    </row>
    <row r="184" spans="1:15" ht="16" thickBot="1" x14ac:dyDescent="0.25">
      <c r="A184" s="38" t="s">
        <v>93</v>
      </c>
      <c r="B184" s="29">
        <v>42</v>
      </c>
      <c r="C184" s="32">
        <f>B184*400</f>
        <v>16800</v>
      </c>
      <c r="D184" s="23">
        <v>2.5</v>
      </c>
      <c r="E184" s="32">
        <f>C184*D184</f>
        <v>42000</v>
      </c>
      <c r="F184" s="32"/>
      <c r="G184" s="25"/>
      <c r="H184" s="39"/>
      <c r="I184" s="26" t="s">
        <v>141</v>
      </c>
      <c r="J184" s="72">
        <v>3471</v>
      </c>
      <c r="K184" s="35">
        <f>J184*400</f>
        <v>1388400</v>
      </c>
      <c r="L184" s="23">
        <v>2.5</v>
      </c>
      <c r="M184" s="35">
        <f>K184*L184</f>
        <v>3471000</v>
      </c>
      <c r="N184" s="24"/>
      <c r="O184" s="27"/>
    </row>
    <row r="185" spans="1:15" x14ac:dyDescent="0.2">
      <c r="A185" s="75" t="s">
        <v>142</v>
      </c>
      <c r="B185" s="76"/>
      <c r="C185" s="76"/>
    </row>
  </sheetData>
  <mergeCells count="78">
    <mergeCell ref="A172:D172"/>
    <mergeCell ref="A156:O157"/>
    <mergeCell ref="A161:O161"/>
    <mergeCell ref="A162:G162"/>
    <mergeCell ref="I162:O162"/>
    <mergeCell ref="A167:G167"/>
    <mergeCell ref="I167:O167"/>
    <mergeCell ref="A145:O145"/>
    <mergeCell ref="A146:G146"/>
    <mergeCell ref="I146:O146"/>
    <mergeCell ref="A151:G151"/>
    <mergeCell ref="I151:O151"/>
    <mergeCell ref="A94:O94"/>
    <mergeCell ref="A95:G95"/>
    <mergeCell ref="I95:O95"/>
    <mergeCell ref="A100:G100"/>
    <mergeCell ref="I100:O100"/>
    <mergeCell ref="A82:O82"/>
    <mergeCell ref="A83:G83"/>
    <mergeCell ref="I83:O83"/>
    <mergeCell ref="A88:G88"/>
    <mergeCell ref="I88:O88"/>
    <mergeCell ref="A43:O43"/>
    <mergeCell ref="A44:G44"/>
    <mergeCell ref="I44:O44"/>
    <mergeCell ref="A49:G49"/>
    <mergeCell ref="I49:O49"/>
    <mergeCell ref="A31:O31"/>
    <mergeCell ref="A32:G32"/>
    <mergeCell ref="I32:O32"/>
    <mergeCell ref="A37:G37"/>
    <mergeCell ref="I37:O37"/>
    <mergeCell ref="A10:G10"/>
    <mergeCell ref="A25:G25"/>
    <mergeCell ref="I25:O25"/>
    <mergeCell ref="A19:O19"/>
    <mergeCell ref="A20:G20"/>
    <mergeCell ref="I20:O20"/>
    <mergeCell ref="A9:G9"/>
    <mergeCell ref="A3:I4"/>
    <mergeCell ref="A6:I7"/>
    <mergeCell ref="A5:B5"/>
    <mergeCell ref="B1:H1"/>
    <mergeCell ref="A2:G2"/>
    <mergeCell ref="A55:O55"/>
    <mergeCell ref="A56:G56"/>
    <mergeCell ref="I56:O56"/>
    <mergeCell ref="A61:G61"/>
    <mergeCell ref="I61:O61"/>
    <mergeCell ref="A78:H78"/>
    <mergeCell ref="A79:O80"/>
    <mergeCell ref="A67:O67"/>
    <mergeCell ref="A68:G68"/>
    <mergeCell ref="I68:O68"/>
    <mergeCell ref="A73:G73"/>
    <mergeCell ref="I73:O73"/>
    <mergeCell ref="A107:O107"/>
    <mergeCell ref="A108:G108"/>
    <mergeCell ref="I108:O108"/>
    <mergeCell ref="A113:G113"/>
    <mergeCell ref="I113:O113"/>
    <mergeCell ref="A119:O119"/>
    <mergeCell ref="A120:G120"/>
    <mergeCell ref="I120:O120"/>
    <mergeCell ref="A125:G125"/>
    <mergeCell ref="I125:O125"/>
    <mergeCell ref="A144:D144"/>
    <mergeCell ref="A130:O131"/>
    <mergeCell ref="A133:O133"/>
    <mergeCell ref="A134:G134"/>
    <mergeCell ref="I134:O134"/>
    <mergeCell ref="A139:G139"/>
    <mergeCell ref="I139:O139"/>
    <mergeCell ref="A174:O174"/>
    <mergeCell ref="A175:G175"/>
    <mergeCell ref="I175:O175"/>
    <mergeCell ref="A180:G180"/>
    <mergeCell ref="I180:O180"/>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02"/>
  <sheetViews>
    <sheetView tabSelected="1" topLeftCell="A275" zoomScale="72" zoomScaleNormal="72" workbookViewId="0">
      <selection activeCell="D193" sqref="D193"/>
    </sheetView>
  </sheetViews>
  <sheetFormatPr baseColWidth="10" defaultRowHeight="15" x14ac:dyDescent="0.2"/>
  <cols>
    <col min="1" max="1" width="87.6640625" style="1" customWidth="1"/>
    <col min="2" max="2" width="61.5" style="1" customWidth="1"/>
    <col min="3" max="3" width="9.1640625" style="1" customWidth="1"/>
    <col min="4" max="4" width="67.1640625" style="1" customWidth="1"/>
    <col min="5" max="5" width="80.6640625" style="1" customWidth="1"/>
    <col min="6" max="256" width="8.83203125" style="1" customWidth="1"/>
    <col min="257" max="16384" width="10.83203125" style="1"/>
  </cols>
  <sheetData>
    <row r="1" spans="1:21" ht="21" x14ac:dyDescent="0.25">
      <c r="A1" s="46" t="s">
        <v>29</v>
      </c>
      <c r="B1" s="47"/>
    </row>
    <row r="2" spans="1:21" ht="21" x14ac:dyDescent="0.25">
      <c r="A2" s="48" t="s">
        <v>1</v>
      </c>
      <c r="B2" s="49"/>
    </row>
    <row r="3" spans="1:21" ht="21" x14ac:dyDescent="0.25">
      <c r="A3" s="48" t="s">
        <v>8</v>
      </c>
      <c r="B3" s="50">
        <f>Sheet1!E12</f>
        <v>61000</v>
      </c>
    </row>
    <row r="4" spans="1:21" ht="21" x14ac:dyDescent="0.25">
      <c r="A4" s="48" t="s">
        <v>9</v>
      </c>
      <c r="B4" s="50">
        <f>Sheet1!E13</f>
        <v>60000</v>
      </c>
    </row>
    <row r="5" spans="1:21" ht="21" x14ac:dyDescent="0.25">
      <c r="A5" s="48" t="s">
        <v>70</v>
      </c>
      <c r="B5" s="50">
        <f>Sheet1!E14</f>
        <v>72000</v>
      </c>
    </row>
    <row r="6" spans="1:21" ht="21" x14ac:dyDescent="0.25">
      <c r="A6" s="48" t="s">
        <v>71</v>
      </c>
      <c r="B6" s="50">
        <f>Sheet1!E15</f>
        <v>86000</v>
      </c>
    </row>
    <row r="7" spans="1:21" ht="21" x14ac:dyDescent="0.25">
      <c r="A7" s="48" t="s">
        <v>72</v>
      </c>
      <c r="B7" s="50">
        <f>Sheet1!E16</f>
        <v>65000</v>
      </c>
    </row>
    <row r="8" spans="1:21" ht="21" x14ac:dyDescent="0.25">
      <c r="A8" s="48" t="s">
        <v>73</v>
      </c>
      <c r="B8" s="50">
        <f>Sheet1!E17</f>
        <v>81000</v>
      </c>
      <c r="D8" s="70"/>
      <c r="E8" s="70"/>
    </row>
    <row r="9" spans="1:21" ht="22" thickBot="1" x14ac:dyDescent="0.3">
      <c r="A9" s="56"/>
      <c r="B9" s="52">
        <f>AVERAGE(B3:B8)</f>
        <v>70833.333333333328</v>
      </c>
    </row>
    <row r="10" spans="1:21" ht="21" x14ac:dyDescent="0.25">
      <c r="A10" s="53"/>
      <c r="B10" s="53"/>
    </row>
    <row r="11" spans="1:21" ht="21" x14ac:dyDescent="0.25">
      <c r="A11" s="53"/>
      <c r="B11" s="53"/>
    </row>
    <row r="12" spans="1:21" ht="22" thickBot="1" x14ac:dyDescent="0.3">
      <c r="A12" s="53"/>
      <c r="B12" s="53"/>
      <c r="C12" s="53"/>
      <c r="F12" s="53"/>
      <c r="G12" s="53"/>
      <c r="H12" s="53"/>
      <c r="I12" s="53"/>
      <c r="J12" s="53"/>
      <c r="K12" s="53"/>
      <c r="L12" s="53"/>
      <c r="M12" s="53"/>
      <c r="N12" s="53"/>
      <c r="O12" s="53"/>
      <c r="P12" s="53"/>
      <c r="Q12" s="53"/>
      <c r="R12" s="53"/>
      <c r="S12" s="53"/>
      <c r="T12" s="53"/>
      <c r="U12" s="53"/>
    </row>
    <row r="13" spans="1:21" ht="21" x14ac:dyDescent="0.25">
      <c r="A13" s="46" t="s">
        <v>30</v>
      </c>
      <c r="B13" s="54"/>
      <c r="C13" s="53"/>
      <c r="D13" s="53" t="s">
        <v>30</v>
      </c>
      <c r="E13" s="53"/>
      <c r="F13" s="53"/>
      <c r="G13" s="53"/>
      <c r="H13" s="53"/>
      <c r="I13" s="53"/>
      <c r="J13" s="53"/>
      <c r="K13" s="53"/>
      <c r="L13" s="53"/>
      <c r="M13" s="53"/>
      <c r="N13" s="53"/>
      <c r="O13" s="53"/>
      <c r="P13" s="53"/>
      <c r="Q13" s="53"/>
      <c r="R13" s="53"/>
      <c r="S13" s="53"/>
      <c r="T13" s="53"/>
      <c r="U13" s="53"/>
    </row>
    <row r="14" spans="1:21" ht="21" x14ac:dyDescent="0.25">
      <c r="A14" s="48" t="s">
        <v>74</v>
      </c>
      <c r="B14" s="50" t="s">
        <v>31</v>
      </c>
      <c r="C14" s="53"/>
      <c r="D14" s="53" t="s">
        <v>74</v>
      </c>
      <c r="E14" s="53" t="s">
        <v>31</v>
      </c>
      <c r="F14" s="53"/>
      <c r="G14" s="53"/>
      <c r="H14" s="53"/>
      <c r="I14" s="53"/>
      <c r="J14" s="53"/>
      <c r="K14" s="53"/>
      <c r="L14" s="53"/>
      <c r="M14" s="53"/>
      <c r="N14" s="53"/>
      <c r="O14" s="53"/>
      <c r="P14" s="53"/>
      <c r="Q14" s="53"/>
      <c r="R14" s="53"/>
      <c r="S14" s="53"/>
      <c r="T14" s="53"/>
      <c r="U14" s="53"/>
    </row>
    <row r="15" spans="1:21" ht="21" x14ac:dyDescent="0.25">
      <c r="A15" s="48">
        <f>Sheet1!E22</f>
        <v>2560000</v>
      </c>
      <c r="B15" s="50">
        <f>Sheet1!M22</f>
        <v>1223000</v>
      </c>
      <c r="C15" s="53"/>
      <c r="D15" s="53">
        <f>A15/B9</f>
        <v>36.141176470588235</v>
      </c>
      <c r="E15" s="53">
        <f>B15/B9</f>
        <v>17.265882352941176</v>
      </c>
      <c r="F15" s="53"/>
      <c r="G15" s="53"/>
      <c r="H15" s="53"/>
      <c r="I15" s="53"/>
      <c r="J15" s="53"/>
      <c r="K15" s="53"/>
      <c r="L15" s="53"/>
      <c r="M15" s="53"/>
      <c r="N15" s="53"/>
      <c r="O15" s="53"/>
      <c r="P15" s="53"/>
      <c r="Q15" s="53"/>
      <c r="R15" s="53"/>
      <c r="S15" s="53"/>
      <c r="T15" s="53"/>
      <c r="U15" s="53"/>
    </row>
    <row r="16" spans="1:21" ht="21" x14ac:dyDescent="0.25">
      <c r="A16" s="48">
        <f>Sheet1!E23</f>
        <v>2462000</v>
      </c>
      <c r="B16" s="50">
        <f>Sheet1!M23</f>
        <v>1217000</v>
      </c>
      <c r="C16" s="53"/>
      <c r="D16" s="53">
        <f>A16/B9</f>
        <v>34.75764705882353</v>
      </c>
      <c r="E16" s="53">
        <f>B16/B9</f>
        <v>17.181176470588237</v>
      </c>
      <c r="F16" s="53"/>
      <c r="G16" s="53"/>
      <c r="H16" s="53"/>
      <c r="I16" s="53"/>
      <c r="J16" s="53"/>
      <c r="K16" s="53"/>
      <c r="L16" s="53"/>
      <c r="M16" s="53"/>
      <c r="N16" s="53"/>
      <c r="O16" s="53"/>
      <c r="P16" s="53"/>
      <c r="Q16" s="53"/>
      <c r="R16" s="53"/>
      <c r="S16" s="53"/>
      <c r="T16" s="53"/>
      <c r="U16" s="53"/>
    </row>
    <row r="17" spans="1:21" ht="21" x14ac:dyDescent="0.25">
      <c r="A17" s="48">
        <f>Sheet1!E24</f>
        <v>2483000</v>
      </c>
      <c r="B17" s="50">
        <f>Sheet1!M24</f>
        <v>1282000</v>
      </c>
      <c r="C17" s="53"/>
      <c r="D17" s="53">
        <f>A17/B9</f>
        <v>35.054117647058824</v>
      </c>
      <c r="E17" s="53">
        <f>B17/B9</f>
        <v>18.098823529411767</v>
      </c>
      <c r="F17" s="53"/>
      <c r="G17" s="53"/>
      <c r="H17" s="53"/>
      <c r="I17" s="53"/>
      <c r="J17" s="53"/>
      <c r="K17" s="53"/>
      <c r="L17" s="53"/>
      <c r="M17" s="53"/>
      <c r="N17" s="53"/>
      <c r="O17" s="53"/>
      <c r="P17" s="53"/>
      <c r="Q17" s="53"/>
      <c r="R17" s="53"/>
      <c r="S17" s="53"/>
      <c r="T17" s="53"/>
      <c r="U17" s="53"/>
    </row>
    <row r="18" spans="1:21" ht="21" x14ac:dyDescent="0.25">
      <c r="A18" s="48"/>
      <c r="B18" s="50"/>
      <c r="C18" s="53"/>
      <c r="D18" s="55">
        <f>AVERAGE(D15:D17)</f>
        <v>35.317647058823532</v>
      </c>
      <c r="E18" s="55">
        <f>AVERAGE(E15:E17)</f>
        <v>17.515294117647063</v>
      </c>
      <c r="F18" s="53"/>
      <c r="G18" s="53"/>
      <c r="H18" s="53"/>
      <c r="I18" s="53"/>
      <c r="J18" s="53"/>
      <c r="K18" s="53"/>
      <c r="L18" s="53"/>
      <c r="M18" s="53"/>
      <c r="N18" s="53"/>
      <c r="O18" s="53"/>
      <c r="P18" s="53"/>
      <c r="Q18" s="53"/>
      <c r="R18" s="53"/>
      <c r="S18" s="53"/>
      <c r="T18" s="53"/>
      <c r="U18" s="53"/>
    </row>
    <row r="19" spans="1:21" ht="21" customHeight="1" x14ac:dyDescent="0.25">
      <c r="A19" s="53" t="s">
        <v>11</v>
      </c>
      <c r="B19" s="50" t="s">
        <v>75</v>
      </c>
      <c r="C19" s="53"/>
      <c r="D19" s="53" t="s">
        <v>11</v>
      </c>
      <c r="E19" s="69" t="s">
        <v>75</v>
      </c>
      <c r="F19" s="53"/>
      <c r="G19" s="53"/>
      <c r="H19" s="53"/>
      <c r="I19" s="53"/>
      <c r="J19" s="53"/>
      <c r="K19" s="53"/>
      <c r="L19" s="53"/>
      <c r="M19" s="53"/>
      <c r="N19" s="53"/>
      <c r="O19" s="53"/>
      <c r="P19" s="53"/>
      <c r="Q19" s="53"/>
      <c r="R19" s="53"/>
      <c r="S19" s="53"/>
      <c r="T19" s="53"/>
      <c r="U19" s="53"/>
    </row>
    <row r="20" spans="1:21" ht="21" x14ac:dyDescent="0.25">
      <c r="A20" s="53">
        <f>Sheet1!E27</f>
        <v>233000</v>
      </c>
      <c r="B20" s="50">
        <f>Sheet1!M27</f>
        <v>2413000</v>
      </c>
      <c r="C20" s="53"/>
      <c r="D20" s="53">
        <f>A20/B9</f>
        <v>3.2894117647058825</v>
      </c>
      <c r="E20" s="53">
        <f>B20/B9</f>
        <v>34.06588235294118</v>
      </c>
      <c r="F20" s="53"/>
      <c r="G20" s="53"/>
      <c r="H20" s="53"/>
      <c r="I20" s="53"/>
      <c r="J20" s="53"/>
      <c r="K20" s="53"/>
      <c r="L20" s="53"/>
      <c r="M20" s="53"/>
      <c r="N20" s="53"/>
      <c r="O20" s="53"/>
      <c r="P20" s="53"/>
      <c r="Q20" s="53"/>
      <c r="R20" s="53"/>
      <c r="S20" s="53"/>
      <c r="T20" s="53"/>
      <c r="U20" s="53"/>
    </row>
    <row r="21" spans="1:21" ht="21" x14ac:dyDescent="0.25">
      <c r="A21" s="53">
        <f>Sheet1!E28</f>
        <v>225000</v>
      </c>
      <c r="B21" s="50">
        <f>Sheet1!M28</f>
        <v>2325000</v>
      </c>
      <c r="C21" s="53"/>
      <c r="D21" s="53">
        <f>A21/B9</f>
        <v>3.1764705882352944</v>
      </c>
      <c r="E21" s="53">
        <f>B21/B9</f>
        <v>32.82352941176471</v>
      </c>
      <c r="F21" s="53"/>
      <c r="G21" s="53"/>
      <c r="H21" s="53"/>
      <c r="I21" s="53"/>
      <c r="J21" s="53"/>
      <c r="K21" s="53"/>
      <c r="L21" s="53"/>
      <c r="M21" s="53"/>
      <c r="N21" s="53"/>
      <c r="O21" s="53"/>
      <c r="P21" s="53"/>
      <c r="Q21" s="53"/>
      <c r="R21" s="53"/>
      <c r="S21" s="53"/>
      <c r="T21" s="53"/>
      <c r="U21" s="53"/>
    </row>
    <row r="22" spans="1:21" ht="22" thickBot="1" x14ac:dyDescent="0.3">
      <c r="A22" s="56">
        <f>Sheet1!E29</f>
        <v>300000</v>
      </c>
      <c r="B22" s="52">
        <f>Sheet1!M29</f>
        <v>2484000</v>
      </c>
      <c r="C22" s="53"/>
      <c r="D22" s="53">
        <f>A22/B9</f>
        <v>4.2352941176470589</v>
      </c>
      <c r="E22" s="53">
        <f>B22/B9</f>
        <v>35.068235294117649</v>
      </c>
      <c r="F22" s="53"/>
      <c r="G22" s="53"/>
      <c r="H22" s="53"/>
      <c r="I22" s="53"/>
      <c r="J22" s="53"/>
      <c r="K22" s="53"/>
      <c r="L22" s="53"/>
      <c r="M22" s="53"/>
      <c r="N22" s="53"/>
      <c r="O22" s="53"/>
      <c r="P22" s="53"/>
      <c r="Q22" s="53"/>
      <c r="R22" s="53"/>
      <c r="S22" s="53"/>
      <c r="T22" s="53"/>
      <c r="U22" s="53"/>
    </row>
    <row r="23" spans="1:21" ht="21" x14ac:dyDescent="0.25">
      <c r="B23" s="53"/>
      <c r="C23"/>
      <c r="D23" s="55">
        <f>AVERAGE(D20:D22)</f>
        <v>3.5670588235294125</v>
      </c>
      <c r="E23" s="55">
        <f>AVERAGE(E20:E22)</f>
        <v>33.985882352941182</v>
      </c>
      <c r="F23"/>
      <c r="G23" s="53"/>
      <c r="H23" s="53"/>
      <c r="I23" s="53"/>
      <c r="J23" s="53"/>
      <c r="K23" s="53"/>
      <c r="L23" s="53"/>
      <c r="M23" s="53"/>
      <c r="N23" s="53"/>
      <c r="O23" s="53"/>
      <c r="P23" s="53"/>
      <c r="Q23" s="53"/>
      <c r="R23" s="53"/>
      <c r="S23" s="53"/>
      <c r="T23" s="53"/>
      <c r="U23" s="53"/>
    </row>
    <row r="24" spans="1:21" ht="21" x14ac:dyDescent="0.25">
      <c r="A24" s="53"/>
      <c r="C24" s="53"/>
      <c r="D24" s="53"/>
      <c r="E24" s="53"/>
      <c r="F24" s="53"/>
      <c r="G24" s="53"/>
      <c r="H24" s="53"/>
      <c r="I24" s="53"/>
      <c r="J24" s="53"/>
      <c r="K24" s="53"/>
      <c r="L24" s="53"/>
      <c r="M24" s="53"/>
      <c r="N24" s="53"/>
      <c r="O24" s="53"/>
      <c r="P24" s="53"/>
      <c r="Q24" s="53"/>
      <c r="R24" s="53"/>
      <c r="S24" s="53"/>
      <c r="T24" s="53"/>
      <c r="U24" s="53"/>
    </row>
    <row r="25" spans="1:21" ht="22" thickBot="1" x14ac:dyDescent="0.3">
      <c r="A25" s="53"/>
      <c r="B25" s="53"/>
      <c r="C25" s="53"/>
      <c r="D25" s="55"/>
      <c r="E25" s="55"/>
      <c r="F25" s="53"/>
      <c r="G25" s="53"/>
      <c r="H25" s="53"/>
      <c r="I25" s="53"/>
      <c r="J25" s="53"/>
      <c r="K25" s="53"/>
      <c r="L25" s="53"/>
      <c r="M25" s="53"/>
      <c r="N25" s="53"/>
      <c r="O25" s="53"/>
      <c r="P25" s="53"/>
      <c r="Q25" s="53"/>
      <c r="R25" s="53"/>
      <c r="S25" s="53"/>
      <c r="T25" s="53"/>
      <c r="U25" s="53"/>
    </row>
    <row r="26" spans="1:21" ht="21" x14ac:dyDescent="0.25">
      <c r="A26" s="46" t="s">
        <v>32</v>
      </c>
      <c r="B26" s="54"/>
      <c r="C26" s="53"/>
      <c r="D26" s="53"/>
      <c r="E26" s="53"/>
      <c r="F26" s="53"/>
      <c r="G26" s="53"/>
      <c r="H26" s="53"/>
      <c r="I26" s="53"/>
      <c r="J26" s="53"/>
      <c r="K26" s="53"/>
      <c r="L26" s="53"/>
      <c r="M26" s="53"/>
      <c r="N26" s="53"/>
      <c r="O26" s="53"/>
      <c r="P26" s="53"/>
      <c r="Q26" s="53"/>
      <c r="R26" s="53"/>
      <c r="S26" s="53"/>
      <c r="T26" s="53"/>
      <c r="U26" s="53"/>
    </row>
    <row r="27" spans="1:21" ht="21" x14ac:dyDescent="0.25">
      <c r="A27" s="48" t="s">
        <v>74</v>
      </c>
      <c r="B27" s="50" t="s">
        <v>31</v>
      </c>
      <c r="C27" s="53"/>
      <c r="D27" s="53"/>
      <c r="E27" s="53"/>
      <c r="F27" s="53"/>
      <c r="G27" s="53"/>
      <c r="H27" s="53"/>
      <c r="I27" s="53"/>
      <c r="J27" s="53"/>
      <c r="K27" s="53"/>
      <c r="L27" s="53"/>
      <c r="M27" s="53"/>
      <c r="N27" s="53"/>
      <c r="O27" s="53"/>
      <c r="P27" s="53"/>
      <c r="Q27" s="53"/>
      <c r="R27" s="53"/>
      <c r="S27" s="53"/>
      <c r="T27" s="53"/>
      <c r="U27" s="53"/>
    </row>
    <row r="28" spans="1:21" ht="21" x14ac:dyDescent="0.25">
      <c r="A28" s="48">
        <f>Sheet1!E34</f>
        <v>55000</v>
      </c>
      <c r="B28" s="50">
        <f>Sheet1!M34</f>
        <v>62000</v>
      </c>
      <c r="C28" s="53"/>
      <c r="D28" s="53"/>
      <c r="E28" s="53"/>
      <c r="F28" s="53"/>
      <c r="G28" s="53"/>
      <c r="H28" s="53"/>
      <c r="I28" s="53"/>
      <c r="J28" s="53"/>
      <c r="K28" s="53"/>
      <c r="L28" s="53"/>
      <c r="M28" s="53"/>
      <c r="N28" s="53"/>
      <c r="O28" s="53"/>
      <c r="P28" s="53"/>
      <c r="Q28" s="53"/>
      <c r="R28" s="53"/>
      <c r="S28" s="53"/>
      <c r="T28" s="53"/>
      <c r="U28" s="53"/>
    </row>
    <row r="29" spans="1:21" ht="21" x14ac:dyDescent="0.25">
      <c r="A29" s="48">
        <f>Sheet1!E35</f>
        <v>75000</v>
      </c>
      <c r="B29" s="50">
        <f>Sheet1!M35</f>
        <v>56000</v>
      </c>
      <c r="C29" s="53"/>
      <c r="D29" s="53"/>
      <c r="E29" s="53"/>
      <c r="F29" s="53"/>
      <c r="G29" s="53"/>
      <c r="H29" s="53"/>
      <c r="I29" s="53"/>
      <c r="J29" s="53"/>
      <c r="K29" s="53"/>
      <c r="L29" s="53"/>
      <c r="M29" s="53"/>
      <c r="N29" s="53"/>
      <c r="O29" s="53"/>
      <c r="P29" s="53"/>
      <c r="Q29" s="53"/>
      <c r="R29" s="53"/>
      <c r="S29" s="53"/>
      <c r="T29" s="53"/>
      <c r="U29" s="53"/>
    </row>
    <row r="30" spans="1:21" ht="21" x14ac:dyDescent="0.25">
      <c r="A30" s="48">
        <f>Sheet1!E36</f>
        <v>70000</v>
      </c>
      <c r="B30" s="50">
        <f>Sheet1!M36</f>
        <v>60000</v>
      </c>
      <c r="C30" s="53"/>
      <c r="D30" s="53"/>
      <c r="E30" s="53"/>
      <c r="F30" s="53"/>
      <c r="G30" s="53"/>
      <c r="H30" s="53"/>
      <c r="I30" s="53"/>
      <c r="J30" s="53"/>
      <c r="K30" s="53"/>
      <c r="L30" s="53"/>
      <c r="M30" s="53"/>
      <c r="N30" s="53"/>
      <c r="O30" s="53"/>
      <c r="P30" s="53"/>
      <c r="Q30" s="53"/>
      <c r="R30" s="53"/>
      <c r="S30" s="53"/>
      <c r="T30" s="53"/>
      <c r="U30" s="53"/>
    </row>
    <row r="31" spans="1:21" ht="21" x14ac:dyDescent="0.25">
      <c r="A31" s="48">
        <f>AVERAGE(A28:A30)</f>
        <v>66666.666666666672</v>
      </c>
      <c r="B31" s="50">
        <f>AVERAGE(B28:B30)</f>
        <v>59333.333333333336</v>
      </c>
      <c r="C31" s="53"/>
      <c r="D31" s="53"/>
      <c r="E31" s="53"/>
      <c r="F31" s="53"/>
      <c r="G31" s="53"/>
      <c r="H31" s="53"/>
      <c r="I31" s="53"/>
      <c r="J31" s="53"/>
      <c r="K31" s="53"/>
      <c r="L31" s="53"/>
      <c r="M31" s="53"/>
      <c r="N31" s="53"/>
      <c r="O31" s="53"/>
      <c r="P31" s="53"/>
      <c r="Q31" s="53"/>
      <c r="R31" s="53"/>
      <c r="S31" s="53"/>
      <c r="T31" s="53"/>
      <c r="U31" s="53"/>
    </row>
    <row r="32" spans="1:21" ht="21" x14ac:dyDescent="0.25">
      <c r="A32" s="58"/>
      <c r="B32" s="49"/>
      <c r="C32" s="53"/>
      <c r="D32" s="53"/>
      <c r="E32" s="53"/>
      <c r="F32" s="53"/>
      <c r="G32" s="53"/>
      <c r="H32" s="53"/>
      <c r="I32" s="53"/>
      <c r="J32" s="53"/>
      <c r="K32" s="53"/>
      <c r="L32" s="53"/>
      <c r="M32" s="53"/>
      <c r="N32" s="53"/>
      <c r="O32" s="53"/>
      <c r="P32" s="53"/>
      <c r="Q32" s="53"/>
      <c r="R32" s="53"/>
      <c r="S32" s="53"/>
      <c r="T32" s="53"/>
      <c r="U32" s="53"/>
    </row>
    <row r="33" spans="1:21" ht="21" x14ac:dyDescent="0.25">
      <c r="A33" s="53" t="s">
        <v>11</v>
      </c>
      <c r="B33" s="50" t="s">
        <v>76</v>
      </c>
      <c r="C33" s="53"/>
      <c r="D33" s="53"/>
      <c r="E33" s="53"/>
      <c r="F33" s="53"/>
      <c r="G33" s="53"/>
      <c r="H33" s="53"/>
      <c r="I33" s="53"/>
      <c r="J33" s="53"/>
      <c r="K33" s="53"/>
      <c r="L33" s="53"/>
      <c r="M33" s="53"/>
      <c r="N33" s="53"/>
      <c r="O33" s="53"/>
      <c r="P33" s="53"/>
      <c r="Q33" s="53"/>
      <c r="R33" s="53"/>
      <c r="S33" s="53"/>
      <c r="T33" s="53"/>
      <c r="U33" s="53"/>
    </row>
    <row r="34" spans="1:21" ht="21" x14ac:dyDescent="0.25">
      <c r="A34" s="53">
        <f>Sheet1!E39</f>
        <v>37000</v>
      </c>
      <c r="B34" s="50">
        <f>Sheet1!M39</f>
        <v>63000</v>
      </c>
      <c r="C34" s="53"/>
      <c r="D34" s="53"/>
      <c r="E34" s="53"/>
      <c r="F34" s="53"/>
      <c r="G34" s="53"/>
      <c r="H34" s="53"/>
      <c r="I34" s="53"/>
      <c r="J34" s="53"/>
      <c r="K34" s="53"/>
      <c r="L34" s="53"/>
      <c r="M34" s="53"/>
      <c r="N34" s="53"/>
      <c r="O34" s="53"/>
      <c r="P34" s="53"/>
      <c r="Q34" s="53"/>
      <c r="R34" s="53"/>
      <c r="S34" s="53"/>
      <c r="T34" s="53"/>
      <c r="U34" s="53"/>
    </row>
    <row r="35" spans="1:21" ht="21" x14ac:dyDescent="0.25">
      <c r="A35" s="53">
        <f>Sheet1!E40</f>
        <v>35000</v>
      </c>
      <c r="B35" s="50">
        <f>Sheet1!M40</f>
        <v>76000</v>
      </c>
      <c r="C35" s="53"/>
      <c r="D35" s="53"/>
      <c r="E35" s="53"/>
      <c r="F35" s="53"/>
      <c r="G35" s="53"/>
      <c r="H35" s="53"/>
      <c r="I35" s="53"/>
      <c r="J35" s="53"/>
      <c r="K35" s="53"/>
      <c r="L35" s="53"/>
      <c r="M35" s="53"/>
      <c r="N35" s="53"/>
      <c r="O35" s="53"/>
      <c r="P35" s="53"/>
      <c r="Q35" s="53"/>
      <c r="R35" s="53"/>
      <c r="S35" s="53"/>
      <c r="T35" s="53"/>
      <c r="U35" s="53"/>
    </row>
    <row r="36" spans="1:21" ht="21" x14ac:dyDescent="0.25">
      <c r="A36" s="53">
        <f>Sheet1!E41</f>
        <v>42000</v>
      </c>
      <c r="B36" s="50">
        <f>Sheet1!M41</f>
        <v>69000</v>
      </c>
      <c r="C36" s="53"/>
      <c r="D36" s="53"/>
      <c r="E36" s="53"/>
      <c r="F36" s="53"/>
      <c r="G36" s="53"/>
      <c r="H36" s="53"/>
      <c r="I36" s="53"/>
      <c r="J36" s="53"/>
      <c r="K36" s="53"/>
      <c r="L36" s="53"/>
      <c r="M36" s="53"/>
      <c r="N36" s="53"/>
      <c r="O36" s="53"/>
      <c r="P36" s="53"/>
      <c r="Q36" s="53"/>
      <c r="R36" s="53"/>
      <c r="S36" s="53"/>
      <c r="T36" s="53"/>
      <c r="U36" s="53"/>
    </row>
    <row r="37" spans="1:21" ht="22" thickBot="1" x14ac:dyDescent="0.3">
      <c r="A37" s="56">
        <f>AVERAGE(A34:A36)</f>
        <v>38000</v>
      </c>
      <c r="B37" s="52">
        <f>AVERAGE(B34:B36)</f>
        <v>69333.333333333328</v>
      </c>
      <c r="C37" s="53"/>
      <c r="D37" s="53"/>
      <c r="E37" s="53"/>
      <c r="F37" s="53"/>
      <c r="G37" s="53"/>
      <c r="H37" s="53"/>
      <c r="I37" s="53"/>
      <c r="J37" s="53"/>
      <c r="K37" s="53"/>
      <c r="L37" s="53"/>
      <c r="M37" s="53"/>
      <c r="N37" s="53"/>
      <c r="O37" s="53"/>
      <c r="P37" s="53"/>
      <c r="Q37" s="53"/>
      <c r="R37" s="53"/>
      <c r="S37" s="53"/>
      <c r="T37" s="53"/>
      <c r="U37" s="53"/>
    </row>
    <row r="38" spans="1:21" ht="21" x14ac:dyDescent="0.25">
      <c r="A38" s="53"/>
      <c r="B38" s="57"/>
      <c r="C38" s="53"/>
      <c r="D38" s="53"/>
      <c r="E38" s="53"/>
      <c r="F38" s="53"/>
      <c r="G38" s="53"/>
      <c r="H38" s="53"/>
      <c r="I38" s="53"/>
      <c r="J38" s="53"/>
      <c r="K38" s="53"/>
      <c r="L38" s="53"/>
      <c r="M38" s="53"/>
      <c r="N38" s="53"/>
      <c r="O38" s="53"/>
      <c r="P38" s="53"/>
      <c r="Q38" s="53"/>
      <c r="R38" s="53"/>
      <c r="S38" s="53"/>
      <c r="T38" s="53"/>
      <c r="U38" s="53"/>
    </row>
    <row r="39" spans="1:21" ht="20" customHeight="1" x14ac:dyDescent="0.25">
      <c r="A39" s="53"/>
      <c r="B39" s="53"/>
      <c r="C39" s="53"/>
      <c r="D39" s="53"/>
      <c r="E39" s="53"/>
      <c r="F39" s="53"/>
      <c r="G39" s="53"/>
      <c r="H39" s="53"/>
      <c r="I39" s="53"/>
      <c r="J39" s="53"/>
      <c r="K39" s="53"/>
      <c r="L39" s="53"/>
      <c r="M39" s="53"/>
      <c r="N39" s="53"/>
      <c r="O39" s="53"/>
      <c r="P39" s="53"/>
      <c r="Q39" s="53"/>
      <c r="R39" s="53"/>
      <c r="S39" s="53"/>
      <c r="T39" s="53"/>
      <c r="U39" s="53"/>
    </row>
    <row r="40" spans="1:21" ht="22" thickBot="1" x14ac:dyDescent="0.3">
      <c r="A40" s="53"/>
      <c r="B40" s="53"/>
      <c r="C40" s="53"/>
      <c r="D40" s="53"/>
      <c r="E40" s="53"/>
      <c r="F40" s="53"/>
      <c r="G40" s="53"/>
      <c r="H40" s="53"/>
      <c r="I40" s="53"/>
      <c r="J40" s="53"/>
      <c r="K40" s="53"/>
      <c r="L40" s="53"/>
      <c r="M40" s="53"/>
      <c r="N40" s="53"/>
      <c r="O40" s="53"/>
      <c r="P40" s="53"/>
      <c r="Q40" s="53"/>
      <c r="R40" s="53"/>
      <c r="S40" s="53"/>
      <c r="T40" s="53"/>
      <c r="U40" s="53"/>
    </row>
    <row r="41" spans="1:21" ht="21" x14ac:dyDescent="0.25">
      <c r="A41" s="46" t="s">
        <v>33</v>
      </c>
      <c r="B41" s="54"/>
      <c r="C41" s="53"/>
      <c r="D41" s="53" t="s">
        <v>33</v>
      </c>
      <c r="E41" s="53"/>
      <c r="F41" s="53"/>
      <c r="G41" s="53"/>
      <c r="H41" s="53"/>
      <c r="I41" s="53"/>
      <c r="J41" s="53"/>
      <c r="K41" s="53"/>
      <c r="L41" s="53"/>
      <c r="M41" s="53"/>
      <c r="N41" s="53"/>
      <c r="O41" s="53"/>
      <c r="P41" s="53"/>
      <c r="Q41" s="53"/>
      <c r="R41" s="53"/>
      <c r="S41" s="53"/>
      <c r="T41" s="53"/>
      <c r="U41" s="53"/>
    </row>
    <row r="42" spans="1:21" ht="21" x14ac:dyDescent="0.25">
      <c r="A42" s="48" t="s">
        <v>85</v>
      </c>
      <c r="B42" s="50" t="s">
        <v>31</v>
      </c>
      <c r="C42" s="53"/>
      <c r="D42" s="53" t="s">
        <v>78</v>
      </c>
      <c r="E42" s="53" t="s">
        <v>31</v>
      </c>
      <c r="F42" s="53"/>
      <c r="G42" s="53"/>
      <c r="H42" s="53"/>
      <c r="I42" s="53"/>
      <c r="J42" s="53"/>
      <c r="K42" s="53"/>
      <c r="L42" s="53"/>
      <c r="M42" s="53"/>
      <c r="N42" s="53"/>
      <c r="O42" s="53"/>
      <c r="P42" s="53"/>
      <c r="Q42" s="53"/>
      <c r="R42" s="53"/>
      <c r="S42" s="53"/>
      <c r="T42" s="53"/>
      <c r="U42" s="53"/>
    </row>
    <row r="43" spans="1:21" ht="21" x14ac:dyDescent="0.25">
      <c r="A43" s="48">
        <f>Sheet1!E46</f>
        <v>2876000</v>
      </c>
      <c r="B43" s="50">
        <f>Sheet1!M46</f>
        <v>1437000</v>
      </c>
      <c r="C43" s="53"/>
      <c r="D43" s="53">
        <f>A43/A31</f>
        <v>43.139999999999993</v>
      </c>
      <c r="E43" s="53">
        <f>B43/B31</f>
        <v>24.219101123595504</v>
      </c>
      <c r="F43" s="53"/>
      <c r="G43" s="53"/>
      <c r="H43" s="53"/>
      <c r="I43" s="53"/>
      <c r="J43" s="53"/>
      <c r="K43" s="53"/>
      <c r="L43" s="53"/>
      <c r="M43" s="53"/>
      <c r="N43" s="53"/>
      <c r="O43" s="53"/>
      <c r="P43" s="53"/>
      <c r="Q43" s="53"/>
      <c r="R43" s="53"/>
      <c r="S43" s="53"/>
      <c r="T43" s="53"/>
      <c r="U43" s="53"/>
    </row>
    <row r="44" spans="1:21" ht="21" x14ac:dyDescent="0.25">
      <c r="A44" s="48">
        <f>Sheet1!E47</f>
        <v>2863000</v>
      </c>
      <c r="B44" s="50">
        <f>Sheet1!M47</f>
        <v>1529000</v>
      </c>
      <c r="C44" s="53"/>
      <c r="D44" s="53">
        <f>A44/A31</f>
        <v>42.945</v>
      </c>
      <c r="E44" s="53">
        <f>B44/B31</f>
        <v>25.769662921348313</v>
      </c>
      <c r="F44" s="53"/>
      <c r="G44" s="53"/>
      <c r="H44" s="53"/>
      <c r="I44" s="53"/>
      <c r="J44" s="53"/>
      <c r="K44" s="53"/>
      <c r="L44" s="53"/>
      <c r="M44" s="53"/>
      <c r="N44" s="53"/>
      <c r="O44" s="53"/>
      <c r="P44" s="53"/>
      <c r="Q44" s="53"/>
      <c r="R44" s="53"/>
      <c r="S44" s="53"/>
      <c r="T44" s="53"/>
      <c r="U44" s="53"/>
    </row>
    <row r="45" spans="1:21" ht="21" x14ac:dyDescent="0.25">
      <c r="A45" s="48">
        <f>Sheet1!E48</f>
        <v>3016000</v>
      </c>
      <c r="B45" s="50">
        <f>Sheet1!M48</f>
        <v>1649000</v>
      </c>
      <c r="C45" s="53"/>
      <c r="D45" s="53">
        <f>A45/A31</f>
        <v>45.239999999999995</v>
      </c>
      <c r="E45" s="53">
        <f>B45/B31</f>
        <v>27.792134831460672</v>
      </c>
      <c r="F45" s="53"/>
      <c r="G45" s="53"/>
      <c r="H45" s="53"/>
      <c r="I45" s="53"/>
      <c r="J45" s="53"/>
      <c r="K45" s="53"/>
      <c r="L45" s="53"/>
      <c r="M45" s="53"/>
      <c r="N45" s="53"/>
      <c r="O45" s="53"/>
      <c r="P45" s="53"/>
      <c r="Q45" s="53"/>
      <c r="R45" s="53"/>
      <c r="S45" s="53"/>
      <c r="T45" s="53"/>
      <c r="U45" s="53"/>
    </row>
    <row r="46" spans="1:21" ht="21" x14ac:dyDescent="0.25">
      <c r="A46" s="58"/>
      <c r="B46" s="50"/>
      <c r="C46" s="53"/>
      <c r="D46" s="55">
        <f>AVERAGE(D43:D45)</f>
        <v>43.774999999999999</v>
      </c>
      <c r="E46" s="55">
        <f>AVERAGE(E43:E45)</f>
        <v>25.926966292134832</v>
      </c>
      <c r="F46" s="53"/>
      <c r="G46" s="53"/>
      <c r="H46" s="53"/>
      <c r="I46" s="53"/>
      <c r="J46" s="53"/>
      <c r="K46" s="53"/>
      <c r="L46" s="53"/>
      <c r="M46" s="53"/>
      <c r="N46" s="53"/>
      <c r="O46" s="53"/>
      <c r="P46" s="53"/>
      <c r="Q46" s="53"/>
      <c r="R46" s="53"/>
      <c r="S46" s="53"/>
      <c r="T46" s="53"/>
      <c r="U46" s="53"/>
    </row>
    <row r="47" spans="1:21" ht="21" customHeight="1" x14ac:dyDescent="0.25">
      <c r="A47" s="53" t="s">
        <v>11</v>
      </c>
      <c r="B47" s="50" t="s">
        <v>82</v>
      </c>
      <c r="C47" s="53"/>
      <c r="D47" s="53" t="s">
        <v>11</v>
      </c>
      <c r="E47" s="53" t="s">
        <v>79</v>
      </c>
      <c r="F47" s="53"/>
      <c r="G47" s="53"/>
      <c r="H47" s="53"/>
      <c r="I47" s="53"/>
      <c r="J47" s="53"/>
      <c r="K47" s="53"/>
      <c r="L47" s="53"/>
      <c r="M47" s="53"/>
      <c r="N47" s="53"/>
      <c r="O47" s="53"/>
      <c r="P47" s="53"/>
      <c r="Q47" s="53"/>
      <c r="R47" s="53"/>
      <c r="S47" s="53"/>
      <c r="T47" s="53"/>
      <c r="U47" s="53"/>
    </row>
    <row r="48" spans="1:21" ht="21" x14ac:dyDescent="0.25">
      <c r="A48" s="53">
        <f>Sheet1!E51</f>
        <v>211000</v>
      </c>
      <c r="B48" s="50">
        <f>Sheet1!M51</f>
        <v>243000</v>
      </c>
      <c r="C48" s="53"/>
      <c r="D48" s="53">
        <f>A48/A37</f>
        <v>5.5526315789473681</v>
      </c>
      <c r="E48" s="53">
        <f>B48/B37</f>
        <v>3.5048076923076925</v>
      </c>
      <c r="F48" s="53"/>
      <c r="G48" s="53"/>
      <c r="H48" s="53"/>
      <c r="I48" s="53"/>
      <c r="J48" s="53"/>
      <c r="K48" s="53"/>
      <c r="L48" s="53"/>
      <c r="M48" s="53"/>
      <c r="N48" s="53"/>
      <c r="O48" s="53"/>
      <c r="P48" s="53"/>
      <c r="Q48" s="53"/>
      <c r="R48" s="53"/>
      <c r="S48" s="53"/>
      <c r="T48" s="53"/>
      <c r="U48" s="53"/>
    </row>
    <row r="49" spans="1:21" ht="21" x14ac:dyDescent="0.25">
      <c r="A49" s="53">
        <f>Sheet1!E52</f>
        <v>263000</v>
      </c>
      <c r="B49" s="50">
        <f>Sheet1!M52</f>
        <v>233000</v>
      </c>
      <c r="C49" s="53"/>
      <c r="D49" s="53">
        <f>A49/A37</f>
        <v>6.9210526315789478</v>
      </c>
      <c r="E49" s="53">
        <f>B49/B37</f>
        <v>3.3605769230769234</v>
      </c>
      <c r="F49" s="53"/>
      <c r="G49" s="53"/>
      <c r="H49" s="53"/>
      <c r="I49" s="53"/>
      <c r="J49" s="53"/>
      <c r="K49" s="53"/>
      <c r="L49" s="53"/>
      <c r="M49" s="53"/>
      <c r="N49" s="53"/>
      <c r="O49" s="53"/>
      <c r="P49" s="53"/>
      <c r="Q49" s="53"/>
      <c r="R49" s="53"/>
      <c r="S49" s="53"/>
      <c r="T49" s="53"/>
      <c r="U49" s="53"/>
    </row>
    <row r="50" spans="1:21" ht="22" thickBot="1" x14ac:dyDescent="0.3">
      <c r="A50" s="56">
        <f>Sheet1!E53</f>
        <v>249000</v>
      </c>
      <c r="B50" s="52">
        <f>Sheet1!M53</f>
        <v>229000</v>
      </c>
      <c r="C50" s="53"/>
      <c r="D50" s="53">
        <f>A50/A37</f>
        <v>6.5526315789473681</v>
      </c>
      <c r="E50" s="53">
        <f>B50/B37</f>
        <v>3.3028846153846154</v>
      </c>
      <c r="F50" s="53"/>
      <c r="G50" s="53"/>
      <c r="H50" s="53"/>
      <c r="I50" s="53"/>
      <c r="J50" s="53"/>
      <c r="K50" s="53"/>
      <c r="L50" s="53"/>
      <c r="M50" s="53"/>
      <c r="N50" s="53"/>
      <c r="O50" s="53"/>
      <c r="P50" s="53"/>
      <c r="Q50" s="53"/>
      <c r="R50" s="53"/>
      <c r="S50" s="53"/>
      <c r="T50" s="53"/>
      <c r="U50" s="53"/>
    </row>
    <row r="51" spans="1:21" ht="21" x14ac:dyDescent="0.25">
      <c r="A51" s="53"/>
      <c r="B51" s="53"/>
      <c r="C51" s="53"/>
      <c r="D51" s="53">
        <f>AVERAGE(D48:D50)</f>
        <v>6.3421052631578947</v>
      </c>
      <c r="E51" s="53">
        <f>AVERAGE(E48:E50)</f>
        <v>3.3894230769230771</v>
      </c>
      <c r="F51" s="53"/>
      <c r="G51" s="53"/>
      <c r="H51" s="53"/>
      <c r="I51" s="53"/>
      <c r="J51" s="53"/>
      <c r="K51" s="53"/>
      <c r="L51" s="53"/>
      <c r="M51" s="53"/>
      <c r="N51" s="53"/>
      <c r="O51" s="53"/>
      <c r="P51" s="53"/>
      <c r="Q51" s="53"/>
      <c r="R51" s="53"/>
      <c r="S51" s="53"/>
      <c r="T51" s="53"/>
      <c r="U51" s="53"/>
    </row>
    <row r="52" spans="1:21" ht="21" x14ac:dyDescent="0.25">
      <c r="A52" s="53"/>
      <c r="B52" s="53"/>
      <c r="C52" s="53"/>
      <c r="D52" s="53"/>
      <c r="F52" s="53"/>
      <c r="G52" s="53"/>
      <c r="H52" s="53"/>
      <c r="I52" s="53"/>
      <c r="J52" s="53"/>
      <c r="K52" s="53"/>
      <c r="L52" s="53"/>
      <c r="M52" s="53"/>
      <c r="N52" s="53"/>
      <c r="O52" s="53"/>
      <c r="P52" s="53"/>
      <c r="Q52" s="53"/>
      <c r="R52" s="53"/>
      <c r="S52" s="53"/>
      <c r="T52" s="53"/>
      <c r="U52" s="53"/>
    </row>
    <row r="53" spans="1:21" ht="22" thickBot="1" x14ac:dyDescent="0.3">
      <c r="A53" s="51"/>
      <c r="B53" s="56"/>
      <c r="C53" s="53"/>
      <c r="D53" s="55"/>
      <c r="E53" s="55"/>
      <c r="F53" s="53"/>
      <c r="G53" s="53"/>
      <c r="H53" s="53"/>
      <c r="I53" s="53"/>
      <c r="J53" s="53"/>
      <c r="K53" s="53"/>
      <c r="L53" s="53"/>
      <c r="M53" s="53"/>
      <c r="N53" s="53"/>
      <c r="O53" s="53"/>
      <c r="P53" s="53"/>
      <c r="Q53" s="53"/>
      <c r="R53" s="53"/>
      <c r="S53" s="53"/>
      <c r="T53" s="53"/>
      <c r="U53" s="53"/>
    </row>
    <row r="54" spans="1:21" ht="21" x14ac:dyDescent="0.25">
      <c r="A54" s="46" t="s">
        <v>35</v>
      </c>
      <c r="B54" s="54"/>
      <c r="C54" s="53"/>
      <c r="D54" s="53"/>
      <c r="E54" s="53"/>
      <c r="F54" s="53"/>
      <c r="G54" s="53"/>
      <c r="H54" s="53"/>
      <c r="I54" s="53"/>
      <c r="J54" s="53"/>
      <c r="K54" s="53"/>
      <c r="L54" s="53"/>
      <c r="M54" s="53"/>
      <c r="N54" s="53"/>
      <c r="O54" s="53"/>
      <c r="P54" s="53"/>
      <c r="Q54" s="53"/>
      <c r="R54" s="53"/>
      <c r="S54" s="53"/>
      <c r="T54" s="53"/>
      <c r="U54" s="53"/>
    </row>
    <row r="55" spans="1:21" ht="21" x14ac:dyDescent="0.25">
      <c r="A55" s="48" t="s">
        <v>74</v>
      </c>
      <c r="B55" s="50" t="s">
        <v>31</v>
      </c>
      <c r="C55" s="53"/>
      <c r="D55" s="53"/>
      <c r="E55" s="53"/>
      <c r="F55" s="53"/>
      <c r="G55" s="53"/>
      <c r="H55" s="53"/>
      <c r="I55" s="53"/>
      <c r="J55" s="53"/>
      <c r="K55" s="53"/>
      <c r="L55" s="53"/>
      <c r="M55" s="53"/>
      <c r="N55" s="53"/>
      <c r="O55" s="53"/>
      <c r="P55" s="53"/>
      <c r="Q55" s="53"/>
      <c r="R55" s="53"/>
      <c r="S55" s="53"/>
      <c r="T55" s="53"/>
      <c r="U55" s="53"/>
    </row>
    <row r="56" spans="1:21" ht="21" x14ac:dyDescent="0.25">
      <c r="A56" s="48">
        <f>Sheet1!E58</f>
        <v>69000</v>
      </c>
      <c r="B56" s="50">
        <f>Sheet1!M58</f>
        <v>57000</v>
      </c>
      <c r="C56" s="53"/>
      <c r="D56" s="53"/>
      <c r="E56" s="53"/>
      <c r="F56" s="53"/>
      <c r="G56" s="53"/>
      <c r="H56" s="53"/>
      <c r="I56" s="53"/>
      <c r="J56" s="53"/>
      <c r="K56" s="53"/>
      <c r="L56" s="53"/>
      <c r="M56" s="53"/>
      <c r="N56" s="53"/>
      <c r="O56" s="53"/>
      <c r="P56" s="53"/>
      <c r="Q56" s="53"/>
      <c r="R56" s="53"/>
      <c r="S56" s="53"/>
      <c r="T56" s="53"/>
      <c r="U56" s="53"/>
    </row>
    <row r="57" spans="1:21" ht="21" x14ac:dyDescent="0.25">
      <c r="A57" s="48">
        <f>Sheet1!E59</f>
        <v>62000</v>
      </c>
      <c r="B57" s="50">
        <f>Sheet1!M59</f>
        <v>64000</v>
      </c>
      <c r="C57" s="53"/>
      <c r="D57" s="53"/>
      <c r="E57" s="53"/>
      <c r="F57" s="53"/>
      <c r="G57" s="53"/>
      <c r="H57" s="53"/>
      <c r="I57" s="53"/>
      <c r="J57" s="53"/>
      <c r="K57" s="53"/>
      <c r="L57" s="53"/>
      <c r="M57" s="53"/>
      <c r="N57" s="53"/>
      <c r="O57" s="53"/>
      <c r="P57" s="53"/>
      <c r="Q57" s="53"/>
      <c r="R57" s="53"/>
      <c r="S57" s="53"/>
      <c r="T57" s="53"/>
      <c r="U57" s="53"/>
    </row>
    <row r="58" spans="1:21" ht="21" x14ac:dyDescent="0.25">
      <c r="A58" s="48">
        <f>Sheet1!E60</f>
        <v>63000</v>
      </c>
      <c r="B58" s="50">
        <f>Sheet1!M60</f>
        <v>61000</v>
      </c>
      <c r="C58" s="53"/>
      <c r="D58" s="53"/>
      <c r="E58" s="53"/>
      <c r="F58" s="53"/>
      <c r="G58" s="53"/>
      <c r="H58" s="53"/>
      <c r="I58" s="53"/>
      <c r="J58" s="53"/>
      <c r="K58" s="53"/>
      <c r="L58" s="53"/>
      <c r="M58" s="53"/>
      <c r="N58" s="53"/>
      <c r="O58" s="53"/>
      <c r="P58" s="53"/>
      <c r="Q58" s="53"/>
      <c r="R58" s="53"/>
      <c r="S58" s="53"/>
      <c r="T58" s="53"/>
      <c r="U58" s="53"/>
    </row>
    <row r="59" spans="1:21" ht="21" x14ac:dyDescent="0.25">
      <c r="A59" s="48">
        <f>AVERAGE(A56:A58)</f>
        <v>64666.666666666664</v>
      </c>
      <c r="B59" s="50">
        <f>AVERAGE(B56:B58)</f>
        <v>60666.666666666664</v>
      </c>
      <c r="C59" s="53"/>
      <c r="D59" s="53"/>
      <c r="E59" s="53"/>
      <c r="F59" s="53"/>
      <c r="G59" s="53"/>
      <c r="H59" s="53"/>
      <c r="I59" s="53"/>
      <c r="J59" s="53"/>
      <c r="K59" s="53"/>
      <c r="L59" s="53"/>
      <c r="M59" s="53"/>
      <c r="N59" s="53"/>
      <c r="O59" s="53"/>
      <c r="P59" s="53"/>
      <c r="Q59" s="53"/>
      <c r="R59" s="53"/>
      <c r="S59" s="53"/>
      <c r="T59" s="53"/>
      <c r="U59" s="53"/>
    </row>
    <row r="60" spans="1:21" ht="21" x14ac:dyDescent="0.25">
      <c r="A60" s="48"/>
      <c r="B60" s="50"/>
      <c r="C60" s="53"/>
      <c r="D60" s="53"/>
      <c r="E60" s="53"/>
      <c r="F60" s="53"/>
      <c r="G60" s="53"/>
      <c r="H60" s="53"/>
      <c r="I60" s="53"/>
      <c r="J60" s="53"/>
      <c r="K60" s="53"/>
      <c r="L60" s="53"/>
      <c r="M60" s="53"/>
      <c r="N60" s="53"/>
      <c r="O60" s="53"/>
      <c r="P60" s="53"/>
      <c r="Q60" s="53"/>
      <c r="R60" s="53"/>
      <c r="S60" s="53"/>
      <c r="T60" s="53"/>
      <c r="U60" s="53"/>
    </row>
    <row r="61" spans="1:21" ht="21" x14ac:dyDescent="0.25">
      <c r="A61" s="53" t="s">
        <v>11</v>
      </c>
      <c r="B61" s="50" t="s">
        <v>83</v>
      </c>
      <c r="C61" s="53"/>
      <c r="D61" s="53"/>
      <c r="E61" s="53"/>
      <c r="F61" s="53"/>
      <c r="G61" s="53"/>
      <c r="H61" s="53"/>
      <c r="I61" s="53"/>
      <c r="J61" s="53"/>
      <c r="K61" s="53"/>
      <c r="L61" s="53"/>
      <c r="M61" s="53"/>
      <c r="N61" s="53"/>
      <c r="O61" s="53"/>
      <c r="P61" s="53"/>
      <c r="Q61" s="53"/>
      <c r="R61" s="53"/>
      <c r="S61" s="53"/>
      <c r="T61" s="53"/>
      <c r="U61" s="53"/>
    </row>
    <row r="62" spans="1:21" ht="21" x14ac:dyDescent="0.25">
      <c r="A62" s="53">
        <f>Sheet1!E63</f>
        <v>45000</v>
      </c>
      <c r="B62" s="50">
        <f>Sheet1!M63</f>
        <v>65000</v>
      </c>
      <c r="C62" s="53"/>
      <c r="D62" s="53"/>
      <c r="E62" s="53"/>
      <c r="F62" s="53"/>
      <c r="G62" s="53"/>
      <c r="H62" s="53"/>
      <c r="I62" s="53"/>
      <c r="J62" s="53"/>
      <c r="K62" s="53"/>
      <c r="L62" s="53"/>
      <c r="M62" s="53"/>
      <c r="N62" s="53"/>
      <c r="O62" s="53"/>
      <c r="P62" s="53"/>
      <c r="Q62" s="53"/>
      <c r="R62" s="53"/>
      <c r="S62" s="53"/>
      <c r="T62" s="53"/>
      <c r="U62" s="53"/>
    </row>
    <row r="63" spans="1:21" ht="21" x14ac:dyDescent="0.25">
      <c r="A63" s="53">
        <f>Sheet1!E64</f>
        <v>37000</v>
      </c>
      <c r="B63" s="50">
        <f>Sheet1!M64</f>
        <v>55000</v>
      </c>
      <c r="C63" s="53"/>
      <c r="D63" s="53"/>
      <c r="E63" s="53"/>
      <c r="F63" s="53"/>
      <c r="G63" s="53"/>
      <c r="H63" s="53"/>
      <c r="I63" s="53"/>
      <c r="J63" s="53"/>
      <c r="K63" s="53"/>
      <c r="L63" s="53"/>
      <c r="M63" s="53"/>
      <c r="N63" s="53"/>
      <c r="O63" s="53"/>
      <c r="P63" s="53"/>
      <c r="Q63" s="53"/>
      <c r="R63" s="53"/>
      <c r="S63" s="53"/>
      <c r="T63" s="53"/>
      <c r="U63" s="53"/>
    </row>
    <row r="64" spans="1:21" ht="21" x14ac:dyDescent="0.25">
      <c r="A64" s="53">
        <f>Sheet1!E65</f>
        <v>50000</v>
      </c>
      <c r="B64" s="50">
        <f>Sheet1!M65</f>
        <v>69000</v>
      </c>
      <c r="C64" s="53"/>
      <c r="D64" s="53"/>
      <c r="E64" s="53"/>
      <c r="F64" s="53"/>
      <c r="G64" s="53"/>
      <c r="H64" s="53"/>
      <c r="I64" s="53"/>
      <c r="J64" s="53"/>
      <c r="K64" s="53"/>
      <c r="L64" s="53"/>
      <c r="M64" s="53"/>
      <c r="N64" s="53"/>
      <c r="O64" s="53"/>
      <c r="P64" s="53"/>
      <c r="Q64" s="53"/>
      <c r="R64" s="53"/>
      <c r="S64" s="53"/>
      <c r="T64" s="53"/>
      <c r="U64" s="53"/>
    </row>
    <row r="65" spans="1:21" ht="22" thickBot="1" x14ac:dyDescent="0.3">
      <c r="A65" s="56">
        <f>AVERAGE(A62:A64)</f>
        <v>44000</v>
      </c>
      <c r="B65" s="52">
        <f>AVERAGE(B62:B64)</f>
        <v>63000</v>
      </c>
      <c r="C65" s="53"/>
      <c r="D65" s="53"/>
      <c r="E65" s="53"/>
      <c r="F65" s="53"/>
      <c r="G65" s="53"/>
      <c r="H65" s="53"/>
      <c r="I65" s="53"/>
      <c r="J65" s="53"/>
      <c r="K65" s="53"/>
      <c r="L65" s="53"/>
      <c r="M65" s="53"/>
      <c r="N65" s="53"/>
      <c r="O65" s="53"/>
      <c r="P65" s="53"/>
      <c r="Q65" s="53"/>
      <c r="R65" s="53"/>
      <c r="S65" s="53"/>
      <c r="T65" s="53"/>
      <c r="U65" s="53"/>
    </row>
    <row r="66" spans="1:21" ht="21" x14ac:dyDescent="0.25">
      <c r="A66" s="53"/>
      <c r="B66" s="53"/>
      <c r="C66" s="53"/>
      <c r="D66" s="53"/>
      <c r="E66" s="53"/>
      <c r="F66" s="53"/>
      <c r="G66" s="53"/>
      <c r="H66" s="53"/>
      <c r="I66" s="53"/>
      <c r="J66" s="53"/>
      <c r="K66" s="53"/>
      <c r="L66" s="53"/>
      <c r="M66" s="53"/>
      <c r="N66" s="53"/>
      <c r="O66" s="53"/>
      <c r="P66" s="53"/>
      <c r="Q66" s="53"/>
      <c r="R66" s="53"/>
      <c r="S66" s="53"/>
      <c r="T66" s="53"/>
      <c r="U66" s="53"/>
    </row>
    <row r="67" spans="1:21" ht="21" x14ac:dyDescent="0.25">
      <c r="A67" s="53"/>
      <c r="B67" s="53"/>
      <c r="C67" s="53"/>
      <c r="D67" s="53"/>
      <c r="E67" s="53"/>
      <c r="F67" s="53"/>
      <c r="G67" s="53"/>
      <c r="H67" s="53"/>
      <c r="I67" s="53"/>
      <c r="J67" s="53"/>
      <c r="K67" s="53"/>
      <c r="L67" s="53"/>
      <c r="M67" s="53"/>
      <c r="N67" s="53"/>
      <c r="O67" s="53"/>
      <c r="P67" s="53"/>
      <c r="Q67" s="53"/>
      <c r="R67" s="53"/>
      <c r="S67" s="53"/>
      <c r="T67" s="53"/>
      <c r="U67" s="53"/>
    </row>
    <row r="68" spans="1:21" ht="22" thickBot="1" x14ac:dyDescent="0.3">
      <c r="A68" s="53"/>
      <c r="B68" s="53"/>
      <c r="C68" s="53"/>
      <c r="F68" s="53"/>
      <c r="G68" s="53"/>
      <c r="H68" s="53"/>
      <c r="I68" s="53"/>
      <c r="J68" s="53"/>
      <c r="K68" s="53"/>
      <c r="L68" s="53"/>
      <c r="M68" s="53"/>
      <c r="N68" s="53"/>
      <c r="O68" s="53"/>
      <c r="P68" s="53"/>
      <c r="Q68" s="53"/>
      <c r="R68" s="53"/>
      <c r="S68" s="53"/>
      <c r="T68" s="53"/>
      <c r="U68" s="53"/>
    </row>
    <row r="69" spans="1:21" ht="21" customHeight="1" x14ac:dyDescent="0.25">
      <c r="A69" s="46" t="s">
        <v>36</v>
      </c>
      <c r="B69" s="54"/>
      <c r="C69" s="53"/>
      <c r="D69" s="53" t="s">
        <v>36</v>
      </c>
      <c r="E69" s="53"/>
      <c r="F69" s="53"/>
      <c r="G69" s="53"/>
      <c r="H69" s="53"/>
      <c r="I69" s="53"/>
      <c r="J69" s="53"/>
      <c r="K69" s="53"/>
      <c r="L69" s="53"/>
      <c r="M69" s="53"/>
      <c r="N69" s="53"/>
      <c r="O69" s="53"/>
      <c r="P69" s="53"/>
      <c r="Q69" s="53"/>
      <c r="R69" s="53"/>
      <c r="S69" s="53"/>
      <c r="T69" s="53"/>
      <c r="U69" s="53"/>
    </row>
    <row r="70" spans="1:21" ht="21" customHeight="1" x14ac:dyDescent="0.25">
      <c r="A70" s="48" t="s">
        <v>85</v>
      </c>
      <c r="B70" s="50" t="s">
        <v>10</v>
      </c>
      <c r="C70" s="53"/>
      <c r="D70" s="53" t="s">
        <v>80</v>
      </c>
      <c r="E70" s="53" t="s">
        <v>31</v>
      </c>
      <c r="F70" s="53"/>
      <c r="G70" s="53"/>
      <c r="H70" s="53"/>
      <c r="I70" s="53"/>
      <c r="J70" s="53"/>
      <c r="K70" s="53"/>
      <c r="L70" s="53"/>
      <c r="M70" s="53"/>
      <c r="N70" s="53"/>
      <c r="O70" s="53"/>
      <c r="P70" s="53"/>
      <c r="Q70" s="53"/>
      <c r="R70" s="53"/>
      <c r="S70" s="53"/>
      <c r="T70" s="53"/>
      <c r="U70" s="53"/>
    </row>
    <row r="71" spans="1:21" ht="21" x14ac:dyDescent="0.25">
      <c r="A71" s="48">
        <f>Sheet1!E70</f>
        <v>8431000</v>
      </c>
      <c r="B71" s="50">
        <f>Sheet1!M70</f>
        <v>738000</v>
      </c>
      <c r="C71" s="53"/>
      <c r="D71" s="53">
        <f>A71/A59</f>
        <v>130.37628865979383</v>
      </c>
      <c r="E71" s="53">
        <f>B71/B59</f>
        <v>12.164835164835166</v>
      </c>
      <c r="F71" s="53"/>
      <c r="G71" s="53"/>
      <c r="H71" s="53"/>
      <c r="I71" s="53"/>
      <c r="J71" s="53"/>
      <c r="K71" s="53"/>
      <c r="L71" s="53"/>
      <c r="M71" s="53"/>
      <c r="N71" s="53"/>
      <c r="O71" s="53"/>
      <c r="P71" s="53"/>
      <c r="Q71" s="53"/>
      <c r="R71" s="53"/>
      <c r="S71" s="53"/>
      <c r="T71" s="53"/>
      <c r="U71" s="53"/>
    </row>
    <row r="72" spans="1:21" ht="21" x14ac:dyDescent="0.25">
      <c r="A72" s="48">
        <f>Sheet1!E71</f>
        <v>7446000</v>
      </c>
      <c r="B72" s="50">
        <f>Sheet1!M71</f>
        <v>704000</v>
      </c>
      <c r="D72" s="53">
        <f>A72/A59</f>
        <v>115.14432989690722</v>
      </c>
      <c r="E72" s="53">
        <f>B72/B59</f>
        <v>11.604395604395604</v>
      </c>
    </row>
    <row r="73" spans="1:21" ht="21" x14ac:dyDescent="0.25">
      <c r="A73" s="48">
        <f>Sheet1!E72</f>
        <v>8167000</v>
      </c>
      <c r="B73" s="50">
        <f>Sheet1!M72</f>
        <v>693000</v>
      </c>
      <c r="D73" s="53">
        <f>A73/A59</f>
        <v>126.29381443298969</v>
      </c>
      <c r="E73" s="53">
        <f>B73/B59</f>
        <v>11.423076923076923</v>
      </c>
    </row>
    <row r="74" spans="1:21" ht="16" customHeight="1" x14ac:dyDescent="0.25">
      <c r="A74" s="48"/>
      <c r="B74" s="50"/>
      <c r="C74" s="53"/>
      <c r="D74" s="53">
        <f>AVERAGE(D71:D73)</f>
        <v>123.9381443298969</v>
      </c>
      <c r="E74" s="53">
        <f>AVERAGE(E71:E73)</f>
        <v>11.730769230769232</v>
      </c>
      <c r="F74" s="53"/>
      <c r="G74" s="53"/>
    </row>
    <row r="75" spans="1:21" ht="19" customHeight="1" x14ac:dyDescent="0.25">
      <c r="A75" s="53" t="s">
        <v>11</v>
      </c>
      <c r="B75" s="50" t="s">
        <v>84</v>
      </c>
      <c r="C75" s="59"/>
      <c r="D75" s="53" t="s">
        <v>11</v>
      </c>
      <c r="E75" s="53" t="s">
        <v>79</v>
      </c>
      <c r="F75" s="59"/>
      <c r="G75" s="59"/>
      <c r="H75" s="59"/>
    </row>
    <row r="76" spans="1:21" ht="21" x14ac:dyDescent="0.25">
      <c r="A76" s="59">
        <f>Sheet1!E75</f>
        <v>158000</v>
      </c>
      <c r="B76" s="61">
        <f>Sheet1!M75</f>
        <v>188000</v>
      </c>
      <c r="D76" s="59">
        <f>A76/A65</f>
        <v>3.5909090909090908</v>
      </c>
      <c r="E76" s="59">
        <f>B76/B65</f>
        <v>2.9841269841269842</v>
      </c>
    </row>
    <row r="77" spans="1:21" ht="21" x14ac:dyDescent="0.25">
      <c r="A77" s="59">
        <f>Sheet1!E76</f>
        <v>158000</v>
      </c>
      <c r="B77" s="61">
        <f>Sheet1!M76</f>
        <v>181000</v>
      </c>
      <c r="D77" s="59">
        <f>A77/A65</f>
        <v>3.5909090909090908</v>
      </c>
      <c r="E77" s="59">
        <f>B77/B65</f>
        <v>2.873015873015873</v>
      </c>
    </row>
    <row r="78" spans="1:21" ht="22" thickBot="1" x14ac:dyDescent="0.3">
      <c r="A78" s="62">
        <f>Sheet1!E77</f>
        <v>147000</v>
      </c>
      <c r="B78" s="63">
        <f>Sheet1!M77</f>
        <v>168000</v>
      </c>
      <c r="D78" s="59">
        <f>A78/A65</f>
        <v>3.3409090909090908</v>
      </c>
      <c r="E78" s="59">
        <f>B78/B65</f>
        <v>2.6666666666666665</v>
      </c>
    </row>
    <row r="79" spans="1:21" ht="21" x14ac:dyDescent="0.25">
      <c r="A79" s="59"/>
      <c r="D79" s="59"/>
    </row>
    <row r="80" spans="1:21" ht="21" x14ac:dyDescent="0.25">
      <c r="A80" s="59"/>
      <c r="B80" s="59"/>
      <c r="D80" s="59"/>
    </row>
    <row r="81" spans="1:15" ht="22" thickBot="1" x14ac:dyDescent="0.3">
      <c r="D81" s="59"/>
    </row>
    <row r="82" spans="1:15" ht="21" x14ac:dyDescent="0.25">
      <c r="A82" s="46" t="s">
        <v>37</v>
      </c>
      <c r="B82" s="64"/>
      <c r="C82" s="59"/>
      <c r="D82" s="59"/>
      <c r="E82" s="59"/>
      <c r="F82" s="59"/>
      <c r="G82" s="59"/>
      <c r="H82" s="59"/>
      <c r="I82" s="59"/>
      <c r="J82" s="59"/>
      <c r="K82" s="59"/>
      <c r="L82" s="59"/>
      <c r="M82" s="59"/>
      <c r="N82" s="59"/>
      <c r="O82" s="59"/>
    </row>
    <row r="83" spans="1:15" ht="30" customHeight="1" x14ac:dyDescent="0.25">
      <c r="A83" s="60" t="s">
        <v>85</v>
      </c>
      <c r="B83" s="61" t="s">
        <v>10</v>
      </c>
      <c r="C83" s="59"/>
      <c r="D83" s="59"/>
      <c r="E83" s="59"/>
      <c r="F83" s="59"/>
      <c r="G83" s="59"/>
    </row>
    <row r="84" spans="1:15" ht="21" x14ac:dyDescent="0.25">
      <c r="A84" s="60">
        <f>Sheet1!E85</f>
        <v>57000</v>
      </c>
      <c r="B84" s="61">
        <f>Sheet1!M85</f>
        <v>64000</v>
      </c>
    </row>
    <row r="85" spans="1:15" ht="21" x14ac:dyDescent="0.25">
      <c r="A85" s="60">
        <f>Sheet1!E86</f>
        <v>69000</v>
      </c>
      <c r="B85" s="61">
        <f>Sheet1!M86</f>
        <v>63000</v>
      </c>
    </row>
    <row r="86" spans="1:15" ht="21" x14ac:dyDescent="0.25">
      <c r="A86" s="60">
        <f>Sheet1!E87</f>
        <v>69000</v>
      </c>
      <c r="B86" s="61">
        <f>Sheet1!M87</f>
        <v>63000</v>
      </c>
    </row>
    <row r="87" spans="1:15" ht="21" x14ac:dyDescent="0.25">
      <c r="A87" s="60">
        <f>AVERAGE(A84:A86)</f>
        <v>65000</v>
      </c>
      <c r="B87" s="61">
        <f>AVERAGE(B84:B86)</f>
        <v>63333.333333333336</v>
      </c>
    </row>
    <row r="88" spans="1:15" ht="21" x14ac:dyDescent="0.25">
      <c r="A88" s="60"/>
      <c r="B88" s="49"/>
    </row>
    <row r="89" spans="1:15" ht="19" customHeight="1" x14ac:dyDescent="0.25">
      <c r="A89" s="53" t="s">
        <v>11</v>
      </c>
      <c r="B89" s="50" t="s">
        <v>87</v>
      </c>
      <c r="C89" s="59"/>
      <c r="D89" s="59"/>
      <c r="E89" s="59"/>
      <c r="F89" s="59"/>
      <c r="G89" s="59"/>
      <c r="H89" s="59"/>
    </row>
    <row r="90" spans="1:15" ht="21" x14ac:dyDescent="0.25">
      <c r="A90" s="59">
        <f>Sheet1!E90</f>
        <v>40000</v>
      </c>
      <c r="B90" s="50">
        <f>Sheet1!M90</f>
        <v>46000</v>
      </c>
    </row>
    <row r="91" spans="1:15" ht="21" x14ac:dyDescent="0.25">
      <c r="A91" s="59">
        <f>Sheet1!E91</f>
        <v>42000</v>
      </c>
      <c r="B91" s="50">
        <f>Sheet1!M91</f>
        <v>43000</v>
      </c>
    </row>
    <row r="92" spans="1:15" ht="21" x14ac:dyDescent="0.25">
      <c r="A92" s="59">
        <f>Sheet1!E92</f>
        <v>52000</v>
      </c>
      <c r="B92" s="50">
        <f>Sheet1!M92</f>
        <v>51000</v>
      </c>
    </row>
    <row r="93" spans="1:15" ht="22" thickBot="1" x14ac:dyDescent="0.3">
      <c r="A93" s="62">
        <f>AVERAGE(A90:A92)</f>
        <v>44666.666666666664</v>
      </c>
      <c r="B93" s="63">
        <f>AVERAGE(B90:B92)</f>
        <v>46666.666666666664</v>
      </c>
    </row>
    <row r="94" spans="1:15" ht="21" x14ac:dyDescent="0.25">
      <c r="A94" s="59"/>
      <c r="B94" s="59"/>
    </row>
    <row r="95" spans="1:15" ht="21" x14ac:dyDescent="0.25">
      <c r="A95" s="59"/>
      <c r="B95" s="59"/>
    </row>
    <row r="96" spans="1:15" ht="16" thickBot="1" x14ac:dyDescent="0.25"/>
    <row r="97" spans="1:5" ht="21" x14ac:dyDescent="0.25">
      <c r="A97" s="46" t="s">
        <v>38</v>
      </c>
      <c r="B97" s="47"/>
      <c r="D97" s="53" t="s">
        <v>38</v>
      </c>
    </row>
    <row r="98" spans="1:5" ht="21" x14ac:dyDescent="0.25">
      <c r="A98" s="53" t="s">
        <v>85</v>
      </c>
      <c r="B98" s="50" t="s">
        <v>10</v>
      </c>
      <c r="D98" s="53" t="s">
        <v>77</v>
      </c>
      <c r="E98" s="53" t="s">
        <v>10</v>
      </c>
    </row>
    <row r="99" spans="1:5" ht="21" x14ac:dyDescent="0.25">
      <c r="A99" s="48">
        <f>Sheet1!E97</f>
        <v>7870000</v>
      </c>
      <c r="B99" s="50">
        <f>Sheet1!M97</f>
        <v>951000</v>
      </c>
      <c r="C99" s="53"/>
      <c r="D99" s="53">
        <f>A99/A87</f>
        <v>121.07692307692308</v>
      </c>
      <c r="E99" s="53">
        <f>B99/B87</f>
        <v>15.01578947368421</v>
      </c>
    </row>
    <row r="100" spans="1:5" ht="21" x14ac:dyDescent="0.25">
      <c r="A100" s="48">
        <f>Sheet1!E98</f>
        <v>7780000</v>
      </c>
      <c r="B100" s="50">
        <f>Sheet1!M98</f>
        <v>883000</v>
      </c>
      <c r="D100" s="53">
        <f>A100/A87</f>
        <v>119.69230769230769</v>
      </c>
      <c r="E100" s="53">
        <f>B100/B87</f>
        <v>13.942105263157893</v>
      </c>
    </row>
    <row r="101" spans="1:5" ht="21" x14ac:dyDescent="0.25">
      <c r="A101" s="48">
        <f>Sheet1!E99</f>
        <v>7909000</v>
      </c>
      <c r="B101" s="50">
        <f>Sheet1!M99</f>
        <v>929000</v>
      </c>
      <c r="D101" s="53">
        <f>A101/A87</f>
        <v>121.67692307692307</v>
      </c>
      <c r="E101" s="53">
        <f>B101/B87</f>
        <v>14.668421052631578</v>
      </c>
    </row>
    <row r="102" spans="1:5" ht="45" customHeight="1" x14ac:dyDescent="0.25">
      <c r="A102" s="58"/>
      <c r="B102" s="49"/>
      <c r="D102" s="55">
        <f>AVERAGE(D99:D101)</f>
        <v>120.81538461538462</v>
      </c>
      <c r="E102" s="55">
        <f>AVERAGE(E99:E101)</f>
        <v>14.542105263157893</v>
      </c>
    </row>
    <row r="103" spans="1:5" ht="26" customHeight="1" x14ac:dyDescent="0.25">
      <c r="A103" s="53" t="s">
        <v>11</v>
      </c>
      <c r="B103" s="50" t="s">
        <v>84</v>
      </c>
      <c r="D103" s="53" t="s">
        <v>11</v>
      </c>
      <c r="E103" s="59" t="s">
        <v>81</v>
      </c>
    </row>
    <row r="104" spans="1:5" ht="21" x14ac:dyDescent="0.25">
      <c r="A104" s="53">
        <f>Sheet1!E102</f>
        <v>73000</v>
      </c>
      <c r="B104" s="61">
        <f>Sheet1!M102</f>
        <v>81000</v>
      </c>
      <c r="D104" s="59">
        <f>A104/A93</f>
        <v>1.6343283582089554</v>
      </c>
      <c r="E104" s="59">
        <f>B104/B93</f>
        <v>1.7357142857142858</v>
      </c>
    </row>
    <row r="105" spans="1:5" ht="21" x14ac:dyDescent="0.25">
      <c r="A105" s="53">
        <f>Sheet1!E103</f>
        <v>84000</v>
      </c>
      <c r="B105" s="61">
        <f>Sheet1!M103</f>
        <v>88000</v>
      </c>
      <c r="D105" s="59">
        <f>A105/A93</f>
        <v>1.8805970149253732</v>
      </c>
      <c r="E105" s="59">
        <f>B105/B93</f>
        <v>1.8857142857142859</v>
      </c>
    </row>
    <row r="106" spans="1:5" ht="22" thickBot="1" x14ac:dyDescent="0.3">
      <c r="A106" s="56">
        <f>Sheet1!E104</f>
        <v>78000</v>
      </c>
      <c r="B106" s="63">
        <f>Sheet1!M104</f>
        <v>82000</v>
      </c>
      <c r="D106" s="59">
        <f>A106/A93</f>
        <v>1.7462686567164181</v>
      </c>
      <c r="E106" s="59">
        <f>B106/B93</f>
        <v>1.7571428571428573</v>
      </c>
    </row>
    <row r="107" spans="1:5" ht="21" x14ac:dyDescent="0.25">
      <c r="D107" s="55"/>
      <c r="E107" s="66">
        <f>AVERAGE(E104:E106)</f>
        <v>1.7928571428571429</v>
      </c>
    </row>
    <row r="108" spans="1:5" ht="21" x14ac:dyDescent="0.25">
      <c r="A108" s="59"/>
      <c r="D108" s="53"/>
    </row>
    <row r="109" spans="1:5" ht="22" thickBot="1" x14ac:dyDescent="0.3">
      <c r="D109" s="55"/>
    </row>
    <row r="110" spans="1:5" ht="21" x14ac:dyDescent="0.25">
      <c r="A110" s="46" t="s">
        <v>39</v>
      </c>
      <c r="B110" s="47"/>
    </row>
    <row r="111" spans="1:5" ht="22" x14ac:dyDescent="0.25">
      <c r="A111" s="60" t="s">
        <v>85</v>
      </c>
      <c r="B111" s="50" t="s">
        <v>10</v>
      </c>
    </row>
    <row r="112" spans="1:5" ht="21" x14ac:dyDescent="0.25">
      <c r="A112" s="60">
        <f>Sheet1!E110</f>
        <v>71000</v>
      </c>
      <c r="B112" s="61">
        <f>Sheet1!M110</f>
        <v>49000</v>
      </c>
    </row>
    <row r="113" spans="1:5" ht="21" x14ac:dyDescent="0.25">
      <c r="A113" s="60">
        <f>Sheet1!E111</f>
        <v>67000</v>
      </c>
      <c r="B113" s="61">
        <f>Sheet1!M111</f>
        <v>54000</v>
      </c>
    </row>
    <row r="114" spans="1:5" ht="21" x14ac:dyDescent="0.25">
      <c r="A114" s="60">
        <f>Sheet1!E112</f>
        <v>66000</v>
      </c>
      <c r="B114" s="61">
        <f>Sheet1!M112</f>
        <v>51000</v>
      </c>
    </row>
    <row r="115" spans="1:5" ht="21" x14ac:dyDescent="0.25">
      <c r="A115" s="60">
        <f>AVERAGE(A112:A114)</f>
        <v>68000</v>
      </c>
      <c r="B115" s="61">
        <f>AVERAGE(B112:B114)</f>
        <v>51333.333333333336</v>
      </c>
    </row>
    <row r="116" spans="1:5" ht="21" x14ac:dyDescent="0.25">
      <c r="A116" s="59"/>
      <c r="B116" s="61"/>
    </row>
    <row r="117" spans="1:5" ht="21" x14ac:dyDescent="0.25">
      <c r="A117" s="53" t="s">
        <v>11</v>
      </c>
      <c r="B117" s="50" t="s">
        <v>87</v>
      </c>
    </row>
    <row r="118" spans="1:5" ht="21" x14ac:dyDescent="0.25">
      <c r="A118" s="59">
        <f>Sheet1!E115</f>
        <v>47000</v>
      </c>
      <c r="B118" s="61">
        <f>Sheet1!M115</f>
        <v>64000</v>
      </c>
    </row>
    <row r="119" spans="1:5" ht="21" x14ac:dyDescent="0.25">
      <c r="A119" s="59">
        <f>Sheet1!E116</f>
        <v>53000</v>
      </c>
      <c r="B119" s="61">
        <f>Sheet1!M116</f>
        <v>56000</v>
      </c>
    </row>
    <row r="120" spans="1:5" ht="21" x14ac:dyDescent="0.25">
      <c r="A120" s="59">
        <f>Sheet1!E117</f>
        <v>52000</v>
      </c>
      <c r="B120" s="61">
        <f>Sheet1!M117</f>
        <v>62000</v>
      </c>
    </row>
    <row r="121" spans="1:5" ht="22" thickBot="1" x14ac:dyDescent="0.3">
      <c r="A121" s="62">
        <f>AVERAGE(A118:A120)</f>
        <v>50666.666666666664</v>
      </c>
      <c r="B121" s="63">
        <f>AVERAGE(B118:B120)</f>
        <v>60666.666666666664</v>
      </c>
    </row>
    <row r="122" spans="1:5" ht="21" x14ac:dyDescent="0.25">
      <c r="A122" s="59"/>
      <c r="B122" s="59"/>
    </row>
    <row r="123" spans="1:5" ht="21" x14ac:dyDescent="0.25">
      <c r="A123" s="59"/>
    </row>
    <row r="124" spans="1:5" ht="16" thickBot="1" x14ac:dyDescent="0.25"/>
    <row r="125" spans="1:5" ht="21" x14ac:dyDescent="0.25">
      <c r="A125" s="46" t="s">
        <v>40</v>
      </c>
      <c r="B125" s="47"/>
      <c r="D125" s="53" t="s">
        <v>40</v>
      </c>
    </row>
    <row r="126" spans="1:5" ht="22" x14ac:dyDescent="0.25">
      <c r="A126" s="60" t="s">
        <v>85</v>
      </c>
      <c r="B126" s="50" t="s">
        <v>10</v>
      </c>
      <c r="D126" s="53" t="s">
        <v>77</v>
      </c>
      <c r="E126" s="53" t="s">
        <v>10</v>
      </c>
    </row>
    <row r="127" spans="1:5" ht="21" x14ac:dyDescent="0.25">
      <c r="A127" s="60">
        <f>Sheet1!E122</f>
        <v>8255000</v>
      </c>
      <c r="B127" s="50">
        <f>Sheet1!M122</f>
        <v>368000</v>
      </c>
      <c r="D127" s="53">
        <f>A127/A115</f>
        <v>121.39705882352941</v>
      </c>
      <c r="E127" s="53">
        <f>B127/B115</f>
        <v>7.1688311688311686</v>
      </c>
    </row>
    <row r="128" spans="1:5" ht="21" x14ac:dyDescent="0.25">
      <c r="A128" s="60">
        <f>Sheet1!E123</f>
        <v>8334000</v>
      </c>
      <c r="B128" s="50">
        <f>Sheet1!M123</f>
        <v>352000</v>
      </c>
      <c r="D128" s="53">
        <f>A128/A115</f>
        <v>122.55882352941177</v>
      </c>
      <c r="E128" s="53">
        <f>B128/B115</f>
        <v>6.8571428571428568</v>
      </c>
    </row>
    <row r="129" spans="1:5" ht="21" x14ac:dyDescent="0.25">
      <c r="A129" s="60">
        <f>Sheet1!E124</f>
        <v>8301000</v>
      </c>
      <c r="B129" s="50">
        <f>Sheet1!M124</f>
        <v>346000</v>
      </c>
      <c r="D129" s="53">
        <f>A129/A115</f>
        <v>122.07352941176471</v>
      </c>
      <c r="E129" s="53">
        <f>B129/B115</f>
        <v>6.7402597402597397</v>
      </c>
    </row>
    <row r="130" spans="1:5" ht="21" x14ac:dyDescent="0.25">
      <c r="A130" s="60"/>
      <c r="B130" s="50"/>
      <c r="D130" s="55">
        <f>AVERAGE(D127:D129)</f>
        <v>122.00980392156862</v>
      </c>
      <c r="E130" s="55">
        <f>AVERAGE(E127:E129)</f>
        <v>6.9220779220779223</v>
      </c>
    </row>
    <row r="131" spans="1:5" ht="21" x14ac:dyDescent="0.25">
      <c r="A131" s="53" t="s">
        <v>11</v>
      </c>
      <c r="B131" s="50" t="s">
        <v>139</v>
      </c>
      <c r="D131" s="53" t="s">
        <v>11</v>
      </c>
      <c r="E131" s="50" t="s">
        <v>86</v>
      </c>
    </row>
    <row r="132" spans="1:5" ht="21" x14ac:dyDescent="0.25">
      <c r="A132" s="59">
        <f>Sheet1!E127</f>
        <v>48000</v>
      </c>
      <c r="B132" s="61">
        <f>Sheet1!M127</f>
        <v>1107000</v>
      </c>
      <c r="D132" s="53">
        <f>A132/A121</f>
        <v>0.94736842105263164</v>
      </c>
      <c r="E132" s="53">
        <f>B132/B121</f>
        <v>18.247252747252748</v>
      </c>
    </row>
    <row r="133" spans="1:5" ht="21" x14ac:dyDescent="0.25">
      <c r="A133" s="59">
        <f>Sheet1!E128</f>
        <v>54000</v>
      </c>
      <c r="B133" s="61">
        <f>Sheet1!M128</f>
        <v>1016000</v>
      </c>
      <c r="D133" s="53">
        <f>A133/A121</f>
        <v>1.0657894736842106</v>
      </c>
      <c r="E133" s="53">
        <f>B133/B121</f>
        <v>16.747252747252748</v>
      </c>
    </row>
    <row r="134" spans="1:5" ht="22" thickBot="1" x14ac:dyDescent="0.3">
      <c r="A134" s="62">
        <f>Sheet1!E129</f>
        <v>42000</v>
      </c>
      <c r="B134" s="63">
        <f>Sheet1!M129</f>
        <v>1178000</v>
      </c>
      <c r="D134" s="53">
        <f>A134/A121</f>
        <v>0.82894736842105265</v>
      </c>
      <c r="E134" s="53">
        <f>B134/B121</f>
        <v>19.41758241758242</v>
      </c>
    </row>
    <row r="135" spans="1:5" ht="21" x14ac:dyDescent="0.25">
      <c r="A135" s="59"/>
      <c r="B135" s="53"/>
      <c r="D135" s="55">
        <f>AVERAGE(D132:D134)</f>
        <v>0.94736842105263175</v>
      </c>
      <c r="E135" s="53">
        <f>AVERAGE(E132:E134)</f>
        <v>18.137362637362639</v>
      </c>
    </row>
    <row r="136" spans="1:5" ht="21" x14ac:dyDescent="0.25">
      <c r="A136" s="59"/>
      <c r="D136" s="59"/>
      <c r="E136" s="59"/>
    </row>
    <row r="137" spans="1:5" ht="22" thickBot="1" x14ac:dyDescent="0.3">
      <c r="A137" s="60"/>
      <c r="D137" s="66"/>
      <c r="E137" s="66"/>
    </row>
    <row r="138" spans="1:5" ht="21" x14ac:dyDescent="0.25">
      <c r="A138" s="46" t="s">
        <v>41</v>
      </c>
      <c r="B138" s="47"/>
    </row>
    <row r="139" spans="1:5" ht="22" x14ac:dyDescent="0.25">
      <c r="A139" s="60" t="s">
        <v>85</v>
      </c>
      <c r="B139" s="50" t="s">
        <v>10</v>
      </c>
    </row>
    <row r="140" spans="1:5" ht="21" x14ac:dyDescent="0.25">
      <c r="A140" s="60">
        <f>Sheet1!E136</f>
        <v>55000</v>
      </c>
      <c r="B140" s="50">
        <f>Sheet1!M136</f>
        <v>49000</v>
      </c>
    </row>
    <row r="141" spans="1:5" ht="21" x14ac:dyDescent="0.25">
      <c r="A141" s="60">
        <f>Sheet1!E137</f>
        <v>48000</v>
      </c>
      <c r="B141" s="50">
        <f>Sheet1!M137</f>
        <v>43000</v>
      </c>
    </row>
    <row r="142" spans="1:5" ht="21" x14ac:dyDescent="0.25">
      <c r="A142" s="60">
        <f>Sheet1!E138</f>
        <v>67000</v>
      </c>
      <c r="B142" s="50">
        <f>Sheet1!M138</f>
        <v>44000</v>
      </c>
    </row>
    <row r="143" spans="1:5" ht="21" x14ac:dyDescent="0.25">
      <c r="A143" s="60">
        <f>AVERAGE(A140:A142)</f>
        <v>56666.666666666664</v>
      </c>
      <c r="B143" s="50">
        <f>AVERAGE(B140:B142)</f>
        <v>45333.333333333336</v>
      </c>
    </row>
    <row r="144" spans="1:5" ht="21" x14ac:dyDescent="0.25">
      <c r="A144" s="60"/>
      <c r="B144" s="49"/>
    </row>
    <row r="145" spans="1:5" ht="21" x14ac:dyDescent="0.25">
      <c r="A145" s="53" t="s">
        <v>11</v>
      </c>
      <c r="B145" s="50" t="s">
        <v>88</v>
      </c>
    </row>
    <row r="146" spans="1:5" ht="21" x14ac:dyDescent="0.25">
      <c r="A146" s="60">
        <f>Sheet1!E127</f>
        <v>48000</v>
      </c>
      <c r="B146" s="61">
        <f>Sheet1!M141</f>
        <v>58000</v>
      </c>
    </row>
    <row r="147" spans="1:5" ht="21" x14ac:dyDescent="0.25">
      <c r="A147" s="60">
        <f>Sheet1!E128</f>
        <v>54000</v>
      </c>
      <c r="B147" s="61">
        <f>Sheet1!M142</f>
        <v>61000</v>
      </c>
    </row>
    <row r="148" spans="1:5" ht="21" x14ac:dyDescent="0.25">
      <c r="A148" s="60">
        <f>Sheet1!E129</f>
        <v>42000</v>
      </c>
      <c r="B148" s="61">
        <f>Sheet1!M143</f>
        <v>64000</v>
      </c>
    </row>
    <row r="149" spans="1:5" ht="22" thickBot="1" x14ac:dyDescent="0.3">
      <c r="A149" s="65">
        <f>AVERAGE(A146:A148)</f>
        <v>48000</v>
      </c>
      <c r="B149" s="63">
        <f>AVERAGE(B146:B148)</f>
        <v>61000</v>
      </c>
    </row>
    <row r="150" spans="1:5" ht="16" thickBot="1" x14ac:dyDescent="0.25"/>
    <row r="151" spans="1:5" ht="21" x14ac:dyDescent="0.25">
      <c r="A151" s="67" t="s">
        <v>42</v>
      </c>
      <c r="B151" s="68"/>
      <c r="D151" s="53" t="s">
        <v>43</v>
      </c>
    </row>
    <row r="152" spans="1:5" ht="22" x14ac:dyDescent="0.25">
      <c r="A152" s="60" t="s">
        <v>85</v>
      </c>
      <c r="B152" s="50" t="s">
        <v>10</v>
      </c>
      <c r="D152" s="59" t="s">
        <v>34</v>
      </c>
      <c r="E152" s="53" t="s">
        <v>10</v>
      </c>
    </row>
    <row r="153" spans="1:5" ht="21" x14ac:dyDescent="0.25">
      <c r="A153" s="60">
        <f>Sheet1!E148</f>
        <v>10180000</v>
      </c>
      <c r="B153" s="61">
        <f>Sheet1!M148</f>
        <v>131000</v>
      </c>
      <c r="D153" s="59">
        <f>A153/A143</f>
        <v>179.64705882352942</v>
      </c>
      <c r="E153" s="59">
        <f>B153/B143</f>
        <v>2.8897058823529411</v>
      </c>
    </row>
    <row r="154" spans="1:5" ht="21" x14ac:dyDescent="0.25">
      <c r="A154" s="60">
        <f>Sheet1!E149</f>
        <v>10360000</v>
      </c>
      <c r="B154" s="61">
        <f>Sheet1!M149</f>
        <v>128000</v>
      </c>
      <c r="D154" s="59">
        <f>A154/A143</f>
        <v>182.82352941176472</v>
      </c>
      <c r="E154" s="59">
        <f>B154/B143</f>
        <v>2.8235294117647056</v>
      </c>
    </row>
    <row r="155" spans="1:5" ht="21" x14ac:dyDescent="0.25">
      <c r="A155" s="60">
        <f>Sheet1!E150</f>
        <v>10217000</v>
      </c>
      <c r="B155" s="61">
        <f>Sheet1!M150</f>
        <v>119000</v>
      </c>
      <c r="D155" s="59">
        <f>A155/A143</f>
        <v>180.3</v>
      </c>
      <c r="E155" s="59">
        <f>B155/B143</f>
        <v>2.625</v>
      </c>
    </row>
    <row r="156" spans="1:5" ht="21" x14ac:dyDescent="0.25">
      <c r="A156" s="60"/>
      <c r="B156" s="61"/>
      <c r="D156" s="59">
        <f>AVERAGE(D153:D155)</f>
        <v>180.92352941176469</v>
      </c>
      <c r="E156" s="59">
        <f>AVERAGE(E153:E155)</f>
        <v>2.7794117647058822</v>
      </c>
    </row>
    <row r="157" spans="1:5" ht="30" customHeight="1" x14ac:dyDescent="0.25">
      <c r="A157" s="53" t="s">
        <v>11</v>
      </c>
      <c r="B157" s="50" t="s">
        <v>88</v>
      </c>
      <c r="D157" s="53" t="s">
        <v>11</v>
      </c>
      <c r="E157" s="53" t="s">
        <v>88</v>
      </c>
    </row>
    <row r="158" spans="1:5" ht="21" x14ac:dyDescent="0.25">
      <c r="A158" s="60">
        <f>Sheet1!E153</f>
        <v>16000</v>
      </c>
      <c r="B158" s="61">
        <f>Sheet1!M153</f>
        <v>1142000</v>
      </c>
      <c r="D158" s="59">
        <f>A158/A149</f>
        <v>0.33333333333333331</v>
      </c>
      <c r="E158" s="59">
        <f>B158/B149</f>
        <v>18.721311475409838</v>
      </c>
    </row>
    <row r="159" spans="1:5" ht="21" x14ac:dyDescent="0.25">
      <c r="A159" s="60">
        <f>Sheet1!E154</f>
        <v>18000</v>
      </c>
      <c r="B159" s="61">
        <f>Sheet1!M154</f>
        <v>1176000</v>
      </c>
      <c r="D159" s="59">
        <f>A159/A149</f>
        <v>0.375</v>
      </c>
      <c r="E159" s="59">
        <f>B159/B149</f>
        <v>19.278688524590162</v>
      </c>
    </row>
    <row r="160" spans="1:5" ht="22" thickBot="1" x14ac:dyDescent="0.3">
      <c r="A160" s="62">
        <f>Sheet1!E155</f>
        <v>15000</v>
      </c>
      <c r="B160" s="63">
        <f>Sheet1!M155</f>
        <v>1180000</v>
      </c>
      <c r="D160" s="59">
        <f>A160/A149</f>
        <v>0.3125</v>
      </c>
      <c r="E160" s="59">
        <f>B160/B149</f>
        <v>19.344262295081968</v>
      </c>
    </row>
    <row r="161" spans="1:5" ht="22" thickBot="1" x14ac:dyDescent="0.3">
      <c r="D161" s="59">
        <f>AVERAGE(D158:D160)</f>
        <v>0.34027777777777773</v>
      </c>
      <c r="E161" s="59">
        <f>AVERAGE(E158:E160)</f>
        <v>19.114754098360656</v>
      </c>
    </row>
    <row r="162" spans="1:5" ht="21" x14ac:dyDescent="0.25">
      <c r="A162" s="46" t="s">
        <v>44</v>
      </c>
      <c r="B162" s="47"/>
    </row>
    <row r="163" spans="1:5" ht="22" x14ac:dyDescent="0.25">
      <c r="A163" s="60" t="s">
        <v>85</v>
      </c>
      <c r="B163" s="50" t="s">
        <v>10</v>
      </c>
    </row>
    <row r="164" spans="1:5" ht="21" x14ac:dyDescent="0.25">
      <c r="A164" s="60">
        <f>Sheet1!E164</f>
        <v>44000</v>
      </c>
      <c r="B164" s="50">
        <f>Sheet1!M164</f>
        <v>49000</v>
      </c>
    </row>
    <row r="165" spans="1:5" ht="21" x14ac:dyDescent="0.25">
      <c r="A165" s="60">
        <f>Sheet1!E165</f>
        <v>59000</v>
      </c>
      <c r="B165" s="50">
        <f>Sheet1!M165</f>
        <v>30000</v>
      </c>
    </row>
    <row r="166" spans="1:5" ht="21" x14ac:dyDescent="0.25">
      <c r="A166" s="60">
        <f>Sheet1!E166</f>
        <v>56000</v>
      </c>
      <c r="B166" s="50">
        <f>Sheet1!M166</f>
        <v>32000</v>
      </c>
    </row>
    <row r="167" spans="1:5" ht="21" x14ac:dyDescent="0.25">
      <c r="A167" s="60">
        <f>AVERAGE(A164:A166)</f>
        <v>53000</v>
      </c>
      <c r="B167" s="50">
        <f>AVERAGE(B164:B166)</f>
        <v>37000</v>
      </c>
    </row>
    <row r="168" spans="1:5" ht="21" x14ac:dyDescent="0.25">
      <c r="A168" s="60"/>
      <c r="B168" s="49"/>
    </row>
    <row r="169" spans="1:5" ht="21" x14ac:dyDescent="0.25">
      <c r="A169" s="53" t="s">
        <v>11</v>
      </c>
      <c r="B169" s="50" t="s">
        <v>139</v>
      </c>
    </row>
    <row r="170" spans="1:5" ht="21" x14ac:dyDescent="0.25">
      <c r="A170" s="60">
        <f>Sheet1!E153</f>
        <v>16000</v>
      </c>
      <c r="B170" s="61">
        <f>Sheet1!M169</f>
        <v>42000</v>
      </c>
    </row>
    <row r="171" spans="1:5" ht="21" x14ac:dyDescent="0.25">
      <c r="A171" s="60">
        <f>Sheet1!E154</f>
        <v>18000</v>
      </c>
      <c r="B171" s="61">
        <f>Sheet1!M170</f>
        <v>57000</v>
      </c>
    </row>
    <row r="172" spans="1:5" ht="21" x14ac:dyDescent="0.25">
      <c r="A172" s="60">
        <f>Sheet1!E155</f>
        <v>15000</v>
      </c>
      <c r="B172" s="61">
        <f>Sheet1!M171</f>
        <v>48000</v>
      </c>
    </row>
    <row r="173" spans="1:5" ht="22" thickBot="1" x14ac:dyDescent="0.3">
      <c r="A173" s="65">
        <f>AVERAGE(A170:A172)</f>
        <v>16333.333333333334</v>
      </c>
      <c r="B173" s="63">
        <f>AVERAGE(B170:B172)</f>
        <v>49000</v>
      </c>
    </row>
    <row r="174" spans="1:5" ht="16" thickBot="1" x14ac:dyDescent="0.25"/>
    <row r="175" spans="1:5" ht="21" x14ac:dyDescent="0.25">
      <c r="A175" s="46" t="s">
        <v>45</v>
      </c>
      <c r="B175" s="68"/>
      <c r="D175" s="53" t="s">
        <v>46</v>
      </c>
    </row>
    <row r="176" spans="1:5" ht="22" x14ac:dyDescent="0.25">
      <c r="A176" s="60" t="s">
        <v>85</v>
      </c>
      <c r="B176" s="50" t="s">
        <v>10</v>
      </c>
      <c r="D176" s="53" t="s">
        <v>34</v>
      </c>
      <c r="E176" s="59" t="s">
        <v>10</v>
      </c>
    </row>
    <row r="177" spans="1:5" ht="21" x14ac:dyDescent="0.25">
      <c r="A177" s="59">
        <f>Sheet1!E177</f>
        <v>6869000</v>
      </c>
      <c r="B177" s="50">
        <f>Sheet1!M177</f>
        <v>1048000</v>
      </c>
      <c r="D177" s="59">
        <f>A177/A167</f>
        <v>129.60377358490567</v>
      </c>
      <c r="E177" s="59">
        <f>B177/B167</f>
        <v>28.324324324324323</v>
      </c>
    </row>
    <row r="178" spans="1:5" ht="21" x14ac:dyDescent="0.25">
      <c r="A178" s="59">
        <f>Sheet1!E178</f>
        <v>7594000</v>
      </c>
      <c r="B178" s="50">
        <f>Sheet1!M178</f>
        <v>1046000</v>
      </c>
      <c r="D178" s="59">
        <f>A178/A167</f>
        <v>143.28301886792454</v>
      </c>
      <c r="E178" s="59">
        <f>B178/B167</f>
        <v>28.27027027027027</v>
      </c>
    </row>
    <row r="179" spans="1:5" ht="21" x14ac:dyDescent="0.25">
      <c r="A179" s="59">
        <f>Sheet1!E179</f>
        <v>6996000</v>
      </c>
      <c r="B179" s="50">
        <f>Sheet1!M179</f>
        <v>1109000</v>
      </c>
      <c r="D179" s="59">
        <f>A179/A167</f>
        <v>132</v>
      </c>
      <c r="E179" s="59">
        <f>B179/B167</f>
        <v>29.972972972972972</v>
      </c>
    </row>
    <row r="180" spans="1:5" ht="21" x14ac:dyDescent="0.25">
      <c r="A180" s="60"/>
      <c r="B180" s="50"/>
      <c r="D180" s="59">
        <f>AVERAGE(D177:D179)</f>
        <v>134.96226415094341</v>
      </c>
      <c r="E180" s="59">
        <f>AVERAGE(E177:E179)</f>
        <v>28.855855855855854</v>
      </c>
    </row>
    <row r="181" spans="1:5" ht="27" customHeight="1" x14ac:dyDescent="0.25">
      <c r="A181" s="53" t="s">
        <v>11</v>
      </c>
      <c r="B181" s="50" t="s">
        <v>139</v>
      </c>
      <c r="D181" s="53" t="s">
        <v>11</v>
      </c>
      <c r="E181" s="53" t="s">
        <v>139</v>
      </c>
    </row>
    <row r="182" spans="1:5" ht="21" x14ac:dyDescent="0.25">
      <c r="A182" s="59">
        <f>Sheet1!E182</f>
        <v>56000</v>
      </c>
      <c r="B182" s="61">
        <f>Sheet1!M182</f>
        <v>3837000</v>
      </c>
      <c r="D182" s="59">
        <f>A182/A173</f>
        <v>3.4285714285714284</v>
      </c>
      <c r="E182" s="59">
        <f>B182/B173</f>
        <v>78.306122448979593</v>
      </c>
    </row>
    <row r="183" spans="1:5" ht="21" x14ac:dyDescent="0.25">
      <c r="A183" s="59">
        <f>Sheet1!E183</f>
        <v>53000</v>
      </c>
      <c r="B183" s="61">
        <f>Sheet1!M183</f>
        <v>3592000</v>
      </c>
      <c r="D183" s="59">
        <f>A183/A173</f>
        <v>3.2448979591836733</v>
      </c>
      <c r="E183" s="59">
        <f>B183/B173</f>
        <v>73.306122448979593</v>
      </c>
    </row>
    <row r="184" spans="1:5" ht="22" thickBot="1" x14ac:dyDescent="0.3">
      <c r="A184" s="65">
        <f>Sheet1!E184</f>
        <v>42000</v>
      </c>
      <c r="B184" s="63">
        <f>Sheet1!M184</f>
        <v>3471000</v>
      </c>
      <c r="D184" s="59">
        <f>A184/A173</f>
        <v>2.5714285714285712</v>
      </c>
      <c r="E184" s="59">
        <f>B184/B173</f>
        <v>70.836734693877546</v>
      </c>
    </row>
    <row r="185" spans="1:5" ht="22" thickBot="1" x14ac:dyDescent="0.3">
      <c r="D185" s="59">
        <f>AVERAGE(D182:D184)</f>
        <v>3.0816326530612241</v>
      </c>
      <c r="E185" s="59">
        <f>AVERAGE(E182:E184)</f>
        <v>74.149659863945587</v>
      </c>
    </row>
    <row r="186" spans="1:5" s="119" customFormat="1" ht="21" x14ac:dyDescent="0.25">
      <c r="A186" s="117" t="s">
        <v>49</v>
      </c>
      <c r="B186" s="118"/>
    </row>
    <row r="187" spans="1:5" ht="22" x14ac:dyDescent="0.25">
      <c r="A187" s="60" t="s">
        <v>34</v>
      </c>
      <c r="B187" s="50" t="s">
        <v>10</v>
      </c>
    </row>
    <row r="188" spans="1:5" ht="21" x14ac:dyDescent="0.25">
      <c r="A188" s="60">
        <f>'[1]MCF7 10w MonoPalbo-AltICI #3'!E211</f>
        <v>47000</v>
      </c>
      <c r="B188" s="50">
        <f>'[1]MCF7 10w MonoPalbo-AltICI #3'!M211</f>
        <v>42000</v>
      </c>
    </row>
    <row r="189" spans="1:5" ht="21" x14ac:dyDescent="0.25">
      <c r="A189" s="60">
        <f>'[1]MCF7 10w MonoPalbo-AltICI #3'!E212</f>
        <v>48000</v>
      </c>
      <c r="B189" s="50">
        <f>'[1]MCF7 10w MonoPalbo-AltICI #3'!M212</f>
        <v>48000</v>
      </c>
    </row>
    <row r="190" spans="1:5" ht="21" x14ac:dyDescent="0.25">
      <c r="A190" s="60">
        <f>'[1]MCF7 10w MonoPalbo-AltICI #3'!E213</f>
        <v>38000</v>
      </c>
      <c r="B190" s="50">
        <f>'[1]MCF7 10w MonoPalbo-AltICI #3'!M213</f>
        <v>40000</v>
      </c>
    </row>
    <row r="191" spans="1:5" ht="21" x14ac:dyDescent="0.25">
      <c r="A191" s="59">
        <f>AVERAGE(A188:A190)</f>
        <v>44333.333333333336</v>
      </c>
      <c r="B191" s="50">
        <f>AVERAGE(B188:B190)</f>
        <v>43333.333333333336</v>
      </c>
    </row>
    <row r="192" spans="1:5" ht="21" x14ac:dyDescent="0.25">
      <c r="A192" s="59"/>
      <c r="B192" s="50"/>
    </row>
    <row r="193" spans="1:5" ht="110" x14ac:dyDescent="0.25">
      <c r="A193" s="59" t="s">
        <v>47</v>
      </c>
      <c r="B193" s="61" t="s">
        <v>48</v>
      </c>
      <c r="C193" s="59"/>
      <c r="D193" s="59"/>
      <c r="E193" s="59"/>
    </row>
    <row r="194" spans="1:5" ht="21" x14ac:dyDescent="0.25">
      <c r="A194" s="59">
        <f>'[1]MCF7 10w MonoPalbo-AltICI #3'!E216</f>
        <v>49000</v>
      </c>
      <c r="B194" s="50">
        <f>'[1]MCF7 10w MonoPalbo-AltICI #3'!M216</f>
        <v>42000</v>
      </c>
    </row>
    <row r="195" spans="1:5" ht="21" x14ac:dyDescent="0.25">
      <c r="A195" s="59">
        <f>'[1]MCF7 10w MonoPalbo-AltICI #3'!E217</f>
        <v>56000</v>
      </c>
      <c r="B195" s="50">
        <f>'[1]MCF7 10w MonoPalbo-AltICI #3'!M217</f>
        <v>49000</v>
      </c>
    </row>
    <row r="196" spans="1:5" ht="21" x14ac:dyDescent="0.25">
      <c r="A196" s="59">
        <f>'[1]MCF7 10w MonoPalbo-AltICI #3'!E218</f>
        <v>39000</v>
      </c>
      <c r="B196" s="50">
        <f>'[1]MCF7 10w MonoPalbo-AltICI #3'!M218</f>
        <v>44000</v>
      </c>
    </row>
    <row r="197" spans="1:5" ht="22" thickBot="1" x14ac:dyDescent="0.3">
      <c r="A197" s="65">
        <f>AVERAGE(A194:A196)</f>
        <v>48000</v>
      </c>
      <c r="B197" s="63">
        <f>AVERAGE(B194:B196)</f>
        <v>45000</v>
      </c>
    </row>
    <row r="198" spans="1:5" ht="22" thickBot="1" x14ac:dyDescent="0.3">
      <c r="A198" s="59"/>
    </row>
    <row r="199" spans="1:5" ht="21" x14ac:dyDescent="0.25">
      <c r="A199" s="46" t="s">
        <v>50</v>
      </c>
      <c r="B199" s="68"/>
      <c r="D199" s="53" t="s">
        <v>50</v>
      </c>
    </row>
    <row r="200" spans="1:5" ht="22" x14ac:dyDescent="0.25">
      <c r="A200" s="60" t="s">
        <v>34</v>
      </c>
      <c r="B200" s="50" t="s">
        <v>10</v>
      </c>
      <c r="D200" s="53" t="s">
        <v>34</v>
      </c>
      <c r="E200" s="53" t="s">
        <v>10</v>
      </c>
    </row>
    <row r="201" spans="1:5" ht="21" x14ac:dyDescent="0.25">
      <c r="A201" s="60">
        <f>'[1]MCF7 10w MonoPalbo-AltICI #3'!E222</f>
        <v>1927000</v>
      </c>
      <c r="B201" s="50">
        <f>'[1]MCF7 10w MonoPalbo-AltICI #3'!M222</f>
        <v>373000</v>
      </c>
      <c r="D201" s="53">
        <f>A201/A191</f>
        <v>43.46616541353383</v>
      </c>
      <c r="E201" s="53">
        <f>B201/B191</f>
        <v>8.6076923076923073</v>
      </c>
    </row>
    <row r="202" spans="1:5" ht="21" x14ac:dyDescent="0.25">
      <c r="A202" s="60">
        <f>'[1]MCF7 10w MonoPalbo-AltICI #3'!E223</f>
        <v>1971000</v>
      </c>
      <c r="B202" s="50">
        <f>'[1]MCF7 10w MonoPalbo-AltICI #3'!M223</f>
        <v>393000</v>
      </c>
      <c r="D202" s="53">
        <f>A202/A191</f>
        <v>44.458646616541351</v>
      </c>
      <c r="E202" s="53">
        <f>B202/B191</f>
        <v>9.069230769230769</v>
      </c>
    </row>
    <row r="203" spans="1:5" ht="21" x14ac:dyDescent="0.25">
      <c r="A203" s="60">
        <f>'[1]MCF7 10w MonoPalbo-AltICI #3'!E224</f>
        <v>2097000</v>
      </c>
      <c r="B203" s="50">
        <f>'[1]MCF7 10w MonoPalbo-AltICI #3'!M224</f>
        <v>377000</v>
      </c>
      <c r="D203" s="53">
        <f>A203/A191</f>
        <v>47.300751879699249</v>
      </c>
      <c r="E203" s="53">
        <f>B203/B191</f>
        <v>8.6999999999999993</v>
      </c>
    </row>
    <row r="204" spans="1:5" ht="21" x14ac:dyDescent="0.25">
      <c r="B204" s="50"/>
      <c r="D204" s="53">
        <f>AVERAGE(D201:D203)</f>
        <v>45.075187969924805</v>
      </c>
      <c r="E204" s="53">
        <f>AVERAGE(E201:E203)</f>
        <v>8.7923076923076913</v>
      </c>
    </row>
    <row r="205" spans="1:5" ht="110" x14ac:dyDescent="0.25">
      <c r="A205" s="59" t="s">
        <v>51</v>
      </c>
      <c r="B205" s="61" t="s">
        <v>52</v>
      </c>
      <c r="D205" s="59" t="s">
        <v>51</v>
      </c>
      <c r="E205" s="59" t="s">
        <v>52</v>
      </c>
    </row>
    <row r="206" spans="1:5" ht="21" x14ac:dyDescent="0.25">
      <c r="A206" s="60">
        <f>'[1]MCF7 10w MonoPalbo-AltICI #3'!E227</f>
        <v>1960000</v>
      </c>
      <c r="B206" s="50">
        <f>'[1]MCF7 10w MonoPalbo-AltICI #3'!M227</f>
        <v>81000</v>
      </c>
      <c r="D206" s="53">
        <f>A206/A197</f>
        <v>40.833333333333336</v>
      </c>
      <c r="E206" s="53">
        <f>B206/B197</f>
        <v>1.8</v>
      </c>
    </row>
    <row r="207" spans="1:5" ht="21" x14ac:dyDescent="0.25">
      <c r="A207" s="60">
        <f>'[1]MCF7 10w MonoPalbo-AltICI #3'!E228</f>
        <v>2004000</v>
      </c>
      <c r="B207" s="50">
        <f>'[1]MCF7 10w MonoPalbo-AltICI #3'!M228</f>
        <v>79000</v>
      </c>
      <c r="D207" s="53">
        <f>A207/A197</f>
        <v>41.75</v>
      </c>
      <c r="E207" s="53">
        <f>B207/B197</f>
        <v>1.7555555555555555</v>
      </c>
    </row>
    <row r="208" spans="1:5" ht="22" thickBot="1" x14ac:dyDescent="0.3">
      <c r="A208" s="65">
        <f>'[1]MCF7 10w MonoPalbo-AltICI #3'!E229</f>
        <v>2070000</v>
      </c>
      <c r="B208" s="63">
        <f>'[1]MCF7 10w MonoPalbo-AltICI #3'!M229</f>
        <v>92000</v>
      </c>
      <c r="D208" s="53">
        <f>A208/A197</f>
        <v>43.125</v>
      </c>
      <c r="E208" s="53">
        <f>B208/B197</f>
        <v>2.0444444444444443</v>
      </c>
    </row>
    <row r="209" spans="1:5" ht="22" thickBot="1" x14ac:dyDescent="0.3">
      <c r="D209" s="53">
        <f>AVERAGE(D206:D208)</f>
        <v>41.902777777777779</v>
      </c>
      <c r="E209" s="53">
        <f>AVERAGE(E206:E208)</f>
        <v>1.8666666666666665</v>
      </c>
    </row>
    <row r="210" spans="1:5" ht="21" x14ac:dyDescent="0.25">
      <c r="A210" s="46" t="s">
        <v>53</v>
      </c>
      <c r="B210" s="68"/>
    </row>
    <row r="211" spans="1:5" ht="22" x14ac:dyDescent="0.25">
      <c r="A211" s="60" t="s">
        <v>34</v>
      </c>
      <c r="B211" s="50" t="s">
        <v>10</v>
      </c>
    </row>
    <row r="212" spans="1:5" ht="21" x14ac:dyDescent="0.25">
      <c r="A212" s="60">
        <f>'[1]MCF7 10w MonoPalbo-AltICI #3'!E237</f>
        <v>41000</v>
      </c>
      <c r="B212" s="50">
        <f>'[1]MCF7 10w MonoPalbo-AltICI #3'!M237</f>
        <v>47000</v>
      </c>
    </row>
    <row r="213" spans="1:5" ht="21" x14ac:dyDescent="0.25">
      <c r="A213" s="60">
        <f>'[1]MCF7 10w MonoPalbo-AltICI #3'!E238</f>
        <v>36000</v>
      </c>
      <c r="B213" s="50">
        <f>'[1]MCF7 10w MonoPalbo-AltICI #3'!M238</f>
        <v>35000</v>
      </c>
    </row>
    <row r="214" spans="1:5" ht="21" x14ac:dyDescent="0.25">
      <c r="A214" s="60">
        <f>'[1]MCF7 10w MonoPalbo-AltICI #3'!E239</f>
        <v>38000</v>
      </c>
      <c r="B214" s="50">
        <f>'[1]MCF7 10w MonoPalbo-AltICI #3'!M239</f>
        <v>34000</v>
      </c>
    </row>
    <row r="215" spans="1:5" ht="21" x14ac:dyDescent="0.25">
      <c r="A215" s="59">
        <f>AVERAGE(A212:A214)</f>
        <v>38333.333333333336</v>
      </c>
      <c r="B215" s="50">
        <f>AVERAGE(B212:B214)</f>
        <v>38666.666666666664</v>
      </c>
    </row>
    <row r="216" spans="1:5" ht="21" x14ac:dyDescent="0.25">
      <c r="B216" s="50"/>
    </row>
    <row r="217" spans="1:5" ht="110" x14ac:dyDescent="0.25">
      <c r="A217" s="59" t="s">
        <v>51</v>
      </c>
      <c r="B217" s="61" t="s">
        <v>52</v>
      </c>
    </row>
    <row r="218" spans="1:5" ht="21" x14ac:dyDescent="0.25">
      <c r="A218" s="60">
        <f>'[1]MCF7 10w MonoPalbo-AltICI #3'!E242</f>
        <v>46000</v>
      </c>
      <c r="B218" s="50">
        <f>'[1]MCF7 10w MonoPalbo-AltICI #3'!M242</f>
        <v>45000</v>
      </c>
    </row>
    <row r="219" spans="1:5" ht="21" x14ac:dyDescent="0.25">
      <c r="A219" s="60">
        <f>'[1]MCF7 10w MonoPalbo-AltICI #3'!E243</f>
        <v>46000</v>
      </c>
      <c r="B219" s="50">
        <f>'[1]MCF7 10w MonoPalbo-AltICI #3'!M243</f>
        <v>44000</v>
      </c>
    </row>
    <row r="220" spans="1:5" ht="21" x14ac:dyDescent="0.25">
      <c r="A220" s="60">
        <f>'[1]MCF7 10w MonoPalbo-AltICI #3'!E244</f>
        <v>37000</v>
      </c>
      <c r="B220" s="50">
        <f>'[1]MCF7 10w MonoPalbo-AltICI #3'!M244</f>
        <v>47000</v>
      </c>
    </row>
    <row r="221" spans="1:5" ht="22" thickBot="1" x14ac:dyDescent="0.3">
      <c r="A221" s="65">
        <f>AVERAGE(A218:A220)</f>
        <v>43000</v>
      </c>
      <c r="B221" s="63">
        <f>AVERAGE(B218:B220)</f>
        <v>45333.333333333336</v>
      </c>
    </row>
    <row r="222" spans="1:5" ht="16" thickBot="1" x14ac:dyDescent="0.25"/>
    <row r="223" spans="1:5" ht="21" x14ac:dyDescent="0.25">
      <c r="A223" s="46" t="s">
        <v>54</v>
      </c>
      <c r="B223" s="68"/>
      <c r="D223" s="53" t="s">
        <v>54</v>
      </c>
    </row>
    <row r="224" spans="1:5" ht="22" x14ac:dyDescent="0.25">
      <c r="A224" s="60" t="s">
        <v>34</v>
      </c>
      <c r="B224" s="50" t="s">
        <v>10</v>
      </c>
      <c r="D224" s="53" t="s">
        <v>34</v>
      </c>
      <c r="E224" s="53" t="s">
        <v>10</v>
      </c>
    </row>
    <row r="225" spans="1:5" ht="21" x14ac:dyDescent="0.25">
      <c r="A225" s="60">
        <f>'[1]MCF7 10w MonoPalbo-AltICI #3'!E252</f>
        <v>2919000</v>
      </c>
      <c r="B225" s="50">
        <f>'[1]MCF7 10w MonoPalbo-AltICI #3'!M252</f>
        <v>1281600</v>
      </c>
      <c r="D225" s="53">
        <f>A225/A215</f>
        <v>76.147826086956513</v>
      </c>
      <c r="E225" s="53">
        <f>B225/B215</f>
        <v>33.144827586206901</v>
      </c>
    </row>
    <row r="226" spans="1:5" ht="21" x14ac:dyDescent="0.25">
      <c r="A226" s="60">
        <f>'[1]MCF7 10w MonoPalbo-AltICI #3'!E253</f>
        <v>2742600</v>
      </c>
      <c r="B226" s="50">
        <f>'[1]MCF7 10w MonoPalbo-AltICI #3'!M253</f>
        <v>1210800</v>
      </c>
      <c r="D226" s="53">
        <f>A226/A215</f>
        <v>71.546086956521734</v>
      </c>
      <c r="E226" s="53">
        <f>B226/B215</f>
        <v>31.313793103448276</v>
      </c>
    </row>
    <row r="227" spans="1:5" ht="21" x14ac:dyDescent="0.25">
      <c r="A227" s="60">
        <f>'[1]MCF7 10w MonoPalbo-AltICI #3'!E254</f>
        <v>2696400</v>
      </c>
      <c r="B227" s="50">
        <f>'[1]MCF7 10w MonoPalbo-AltICI #3'!M254</f>
        <v>1087200</v>
      </c>
      <c r="D227" s="53">
        <f>A227/A215</f>
        <v>70.340869565217389</v>
      </c>
      <c r="E227" s="53">
        <f>B227/B215</f>
        <v>28.117241379310347</v>
      </c>
    </row>
    <row r="228" spans="1:5" ht="21" x14ac:dyDescent="0.25">
      <c r="B228" s="50"/>
      <c r="D228" s="53">
        <f>AVERAGE(D225:D227)</f>
        <v>72.678260869565207</v>
      </c>
      <c r="E228" s="53">
        <f>AVERAGE(E225:E227)</f>
        <v>30.858620689655172</v>
      </c>
    </row>
    <row r="229" spans="1:5" ht="132" x14ac:dyDescent="0.25">
      <c r="A229" s="59" t="s">
        <v>55</v>
      </c>
      <c r="B229" s="61" t="s">
        <v>56</v>
      </c>
      <c r="D229" s="59" t="s">
        <v>51</v>
      </c>
      <c r="E229" s="59" t="s">
        <v>52</v>
      </c>
    </row>
    <row r="230" spans="1:5" ht="21" x14ac:dyDescent="0.25">
      <c r="A230" s="60">
        <f>'[1]MCF7 10w MonoPalbo-AltICI #3'!E257</f>
        <v>1611400</v>
      </c>
      <c r="B230" s="50">
        <f>'[1]MCF7 10w MonoPalbo-AltICI #3'!M257</f>
        <v>90000</v>
      </c>
      <c r="D230" s="53">
        <f>A230/A221</f>
        <v>37.474418604651163</v>
      </c>
      <c r="E230" s="53">
        <f>B230/B221</f>
        <v>1.9852941176470587</v>
      </c>
    </row>
    <row r="231" spans="1:5" ht="21" x14ac:dyDescent="0.25">
      <c r="A231" s="60">
        <f>'[1]MCF7 10w MonoPalbo-AltICI #3'!E258</f>
        <v>1719200</v>
      </c>
      <c r="B231" s="50">
        <f>'[1]MCF7 10w MonoPalbo-AltICI #3'!M258</f>
        <v>114000</v>
      </c>
      <c r="D231" s="53">
        <f>A231/A221</f>
        <v>39.981395348837211</v>
      </c>
      <c r="E231" s="53">
        <f>B231/B221</f>
        <v>2.5147058823529411</v>
      </c>
    </row>
    <row r="232" spans="1:5" ht="22" thickBot="1" x14ac:dyDescent="0.3">
      <c r="A232" s="65">
        <f>'[1]MCF7 10w MonoPalbo-AltICI #3'!E259</f>
        <v>1575000</v>
      </c>
      <c r="B232" s="63">
        <f>'[1]MCF7 10w MonoPalbo-AltICI #3'!M259</f>
        <v>123000</v>
      </c>
      <c r="D232" s="53">
        <f>A232/A221</f>
        <v>36.627906976744185</v>
      </c>
      <c r="E232" s="53">
        <f>B232/B221</f>
        <v>2.7132352941176467</v>
      </c>
    </row>
    <row r="233" spans="1:5" ht="22" thickBot="1" x14ac:dyDescent="0.3">
      <c r="D233" s="53">
        <f>AVERAGE(D230:D232)</f>
        <v>38.027906976744184</v>
      </c>
      <c r="E233" s="53">
        <f>AVERAGE(E230:E232)</f>
        <v>2.4044117647058822</v>
      </c>
    </row>
    <row r="234" spans="1:5" ht="21" x14ac:dyDescent="0.25">
      <c r="A234" s="46" t="s">
        <v>57</v>
      </c>
      <c r="B234" s="68"/>
    </row>
    <row r="235" spans="1:5" ht="22" x14ac:dyDescent="0.25">
      <c r="A235" s="60" t="s">
        <v>34</v>
      </c>
      <c r="B235" s="50" t="s">
        <v>10</v>
      </c>
    </row>
    <row r="236" spans="1:5" ht="21" x14ac:dyDescent="0.25">
      <c r="A236" s="60">
        <f>'[1]MCF7 10w MonoPalbo-AltICI #3'!E267</f>
        <v>39000</v>
      </c>
      <c r="B236" s="50">
        <f>'[1]MCF7 10w MonoPalbo-AltICI #3'!M267</f>
        <v>31000</v>
      </c>
    </row>
    <row r="237" spans="1:5" ht="21" x14ac:dyDescent="0.25">
      <c r="A237" s="60">
        <f>'[1]MCF7 10w MonoPalbo-AltICI #3'!E268</f>
        <v>36000</v>
      </c>
      <c r="B237" s="50">
        <f>'[1]MCF7 10w MonoPalbo-AltICI #3'!M268</f>
        <v>43000</v>
      </c>
    </row>
    <row r="238" spans="1:5" ht="21" x14ac:dyDescent="0.25">
      <c r="A238" s="60">
        <f>'[1]MCF7 10w MonoPalbo-AltICI #3'!E269</f>
        <v>42000</v>
      </c>
      <c r="B238" s="50">
        <f>'[1]MCF7 10w MonoPalbo-AltICI #3'!M269</f>
        <v>45000</v>
      </c>
    </row>
    <row r="239" spans="1:5" ht="21" x14ac:dyDescent="0.25">
      <c r="A239" s="60">
        <f>AVERAGE(A236:A238)</f>
        <v>39000</v>
      </c>
      <c r="B239" s="50">
        <f>AVERAGE(B236:B238)</f>
        <v>39666.666666666664</v>
      </c>
    </row>
    <row r="240" spans="1:5" ht="132" x14ac:dyDescent="0.25">
      <c r="A240" s="59" t="s">
        <v>55</v>
      </c>
      <c r="B240" s="61" t="s">
        <v>56</v>
      </c>
    </row>
    <row r="241" spans="1:5" ht="21" x14ac:dyDescent="0.25">
      <c r="A241" s="60">
        <f>'[1]MCF7 10w MonoPalbo-AltICI #3'!E272</f>
        <v>41000</v>
      </c>
      <c r="B241" s="50">
        <f>'[1]MCF7 10w MonoPalbo-AltICI #3'!M272</f>
        <v>32000</v>
      </c>
    </row>
    <row r="242" spans="1:5" ht="21" x14ac:dyDescent="0.25">
      <c r="A242" s="60">
        <f>'[1]MCF7 10w MonoPalbo-AltICI #3'!E273</f>
        <v>38000</v>
      </c>
      <c r="B242" s="50">
        <f>'[1]MCF7 10w MonoPalbo-AltICI #3'!M273</f>
        <v>34000</v>
      </c>
    </row>
    <row r="243" spans="1:5" ht="21" x14ac:dyDescent="0.25">
      <c r="A243" s="59">
        <f>'[1]MCF7 10w MonoPalbo-AltICI #3'!E274</f>
        <v>36000</v>
      </c>
      <c r="B243" s="50">
        <f>'[1]MCF7 10w MonoPalbo-AltICI #3'!M274</f>
        <v>28000</v>
      </c>
    </row>
    <row r="244" spans="1:5" ht="22" thickBot="1" x14ac:dyDescent="0.3">
      <c r="A244" s="65">
        <f>AVERAGE(A241:A243)</f>
        <v>38333.333333333336</v>
      </c>
      <c r="B244" s="63">
        <f>AVERAGE(B241:B243)</f>
        <v>31333.333333333332</v>
      </c>
    </row>
    <row r="245" spans="1:5" ht="16" thickBot="1" x14ac:dyDescent="0.25"/>
    <row r="246" spans="1:5" ht="21" x14ac:dyDescent="0.25">
      <c r="A246" s="46" t="s">
        <v>58</v>
      </c>
      <c r="B246" s="68"/>
      <c r="D246" s="53" t="s">
        <v>59</v>
      </c>
    </row>
    <row r="247" spans="1:5" ht="22" x14ac:dyDescent="0.25">
      <c r="A247" s="60" t="s">
        <v>34</v>
      </c>
      <c r="B247" s="50" t="s">
        <v>10</v>
      </c>
      <c r="D247" s="53" t="s">
        <v>34</v>
      </c>
      <c r="E247" s="53" t="s">
        <v>10</v>
      </c>
    </row>
    <row r="248" spans="1:5" ht="21" x14ac:dyDescent="0.25">
      <c r="A248" s="60">
        <f>'[1]MCF7 10w MonoPalbo-AltICI #3'!E280</f>
        <v>4776000</v>
      </c>
      <c r="B248" s="50">
        <f>'[1]MCF7 10w MonoPalbo-AltICI #3'!M280</f>
        <v>2366000</v>
      </c>
      <c r="D248" s="53">
        <f>A248/A239</f>
        <v>122.46153846153847</v>
      </c>
      <c r="E248" s="53">
        <f>B248/B239</f>
        <v>59.647058823529413</v>
      </c>
    </row>
    <row r="249" spans="1:5" ht="21" x14ac:dyDescent="0.25">
      <c r="A249" s="60">
        <f>'[1]MCF7 10w MonoPalbo-AltICI #3'!E281</f>
        <v>4584000</v>
      </c>
      <c r="B249" s="50">
        <f>'[1]MCF7 10w MonoPalbo-AltICI #3'!M281</f>
        <v>2434000</v>
      </c>
      <c r="D249" s="53">
        <f>A249/A239</f>
        <v>117.53846153846153</v>
      </c>
      <c r="E249" s="53">
        <f>B249/B239</f>
        <v>61.361344537815128</v>
      </c>
    </row>
    <row r="250" spans="1:5" ht="21" x14ac:dyDescent="0.25">
      <c r="A250" s="60">
        <f>'[1]MCF7 10w MonoPalbo-AltICI #3'!E282</f>
        <v>4504000</v>
      </c>
      <c r="B250" s="50">
        <f>'[1]MCF7 10w MonoPalbo-AltICI #3'!M282</f>
        <v>2418000</v>
      </c>
      <c r="D250" s="53">
        <f>A250/A239</f>
        <v>115.48717948717949</v>
      </c>
      <c r="E250" s="53">
        <f>B250/B239</f>
        <v>60.957983193277315</v>
      </c>
    </row>
    <row r="251" spans="1:5" ht="21" x14ac:dyDescent="0.25">
      <c r="B251" s="50"/>
    </row>
    <row r="252" spans="1:5" ht="132" x14ac:dyDescent="0.25">
      <c r="A252" s="59" t="s">
        <v>60</v>
      </c>
      <c r="B252" s="61" t="s">
        <v>61</v>
      </c>
      <c r="D252" s="59" t="s">
        <v>60</v>
      </c>
      <c r="E252" s="59" t="s">
        <v>61</v>
      </c>
    </row>
    <row r="253" spans="1:5" ht="21" x14ac:dyDescent="0.25">
      <c r="A253" s="60">
        <f>'[1]MCF7 10w MonoPalbo-AltICI #3'!E285</f>
        <v>3557000</v>
      </c>
      <c r="B253" s="50">
        <f>'[1]MCF7 10w MonoPalbo-AltICI #3'!M285</f>
        <v>170000</v>
      </c>
      <c r="D253" s="53">
        <f>A253/A244</f>
        <v>92.791304347826085</v>
      </c>
      <c r="E253" s="53">
        <f>B253/B244</f>
        <v>5.4255319148936172</v>
      </c>
    </row>
    <row r="254" spans="1:5" ht="21" x14ac:dyDescent="0.25">
      <c r="A254" s="60">
        <f>'[1]MCF7 10w MonoPalbo-AltICI #3'!E286</f>
        <v>3420000</v>
      </c>
      <c r="B254" s="50">
        <f>'[1]MCF7 10w MonoPalbo-AltICI #3'!M286</f>
        <v>152000</v>
      </c>
      <c r="D254" s="53">
        <f>A254/A244</f>
        <v>89.217391304347814</v>
      </c>
      <c r="E254" s="53">
        <f>B254/B244</f>
        <v>4.8510638297872344</v>
      </c>
    </row>
    <row r="255" spans="1:5" ht="22" thickBot="1" x14ac:dyDescent="0.3">
      <c r="A255" s="65">
        <f>'[1]MCF7 10w MonoPalbo-AltICI #3'!E287</f>
        <v>3941000</v>
      </c>
      <c r="B255" s="63">
        <f>'[1]MCF7 10w MonoPalbo-AltICI #3'!M287</f>
        <v>161000</v>
      </c>
      <c r="D255" s="53">
        <f>A255/A244</f>
        <v>102.80869565217391</v>
      </c>
      <c r="E255" s="53">
        <f>B255/B244</f>
        <v>5.1382978723404253</v>
      </c>
    </row>
    <row r="256" spans="1:5" ht="16" thickBot="1" x14ac:dyDescent="0.25"/>
    <row r="257" spans="1:5" ht="21" x14ac:dyDescent="0.25">
      <c r="A257" s="46" t="s">
        <v>62</v>
      </c>
      <c r="B257" s="68"/>
    </row>
    <row r="258" spans="1:5" ht="22" x14ac:dyDescent="0.25">
      <c r="A258" s="60" t="s">
        <v>34</v>
      </c>
      <c r="B258" s="50" t="s">
        <v>10</v>
      </c>
    </row>
    <row r="259" spans="1:5" ht="21" x14ac:dyDescent="0.25">
      <c r="A259" s="60">
        <f>'[1]MCF7 10w MonoPalbo-AltICI #3'!E294</f>
        <v>47000</v>
      </c>
      <c r="B259" s="50">
        <f>'[1]MCF7 10w MonoPalbo-AltICI #3'!M294</f>
        <v>41000</v>
      </c>
    </row>
    <row r="260" spans="1:5" ht="21" x14ac:dyDescent="0.25">
      <c r="A260" s="60">
        <f>'[1]MCF7 10w MonoPalbo-AltICI #3'!E295</f>
        <v>42000</v>
      </c>
      <c r="B260" s="50">
        <f>'[1]MCF7 10w MonoPalbo-AltICI #3'!M295</f>
        <v>46000</v>
      </c>
    </row>
    <row r="261" spans="1:5" ht="21" x14ac:dyDescent="0.25">
      <c r="A261" s="60">
        <f>'[1]MCF7 10w MonoPalbo-AltICI #3'!E296</f>
        <v>36000</v>
      </c>
      <c r="B261" s="50">
        <f>'[1]MCF7 10w MonoPalbo-AltICI #3'!M296</f>
        <v>46000</v>
      </c>
    </row>
    <row r="262" spans="1:5" ht="21" x14ac:dyDescent="0.25">
      <c r="A262" s="60">
        <f>AVERAGE(A259:A261)</f>
        <v>41666.666666666664</v>
      </c>
      <c r="B262" s="50">
        <f>AVERAGE(B259:B261)</f>
        <v>44333.333333333336</v>
      </c>
    </row>
    <row r="263" spans="1:5" ht="132" x14ac:dyDescent="0.25">
      <c r="A263" s="59" t="s">
        <v>55</v>
      </c>
      <c r="B263" s="61" t="s">
        <v>56</v>
      </c>
    </row>
    <row r="264" spans="1:5" ht="21" x14ac:dyDescent="0.25">
      <c r="A264" s="60">
        <f>'[1]MCF7 10w MonoPalbo-AltICI #3'!E299</f>
        <v>44000</v>
      </c>
      <c r="B264" s="50">
        <f>'[1]MCF7 10w MonoPalbo-AltICI #3'!M299</f>
        <v>44000</v>
      </c>
    </row>
    <row r="265" spans="1:5" ht="21" x14ac:dyDescent="0.25">
      <c r="A265" s="60">
        <f>'[1]MCF7 10w MonoPalbo-AltICI #3'!E300</f>
        <v>45000</v>
      </c>
      <c r="B265" s="50">
        <f>'[1]MCF7 10w MonoPalbo-AltICI #3'!M300</f>
        <v>37000</v>
      </c>
    </row>
    <row r="266" spans="1:5" ht="21" x14ac:dyDescent="0.25">
      <c r="A266" s="60">
        <f>'[1]MCF7 10w MonoPalbo-AltICI #3'!E301</f>
        <v>53000</v>
      </c>
      <c r="B266" s="50">
        <f>'[1]MCF7 10w MonoPalbo-AltICI #3'!M301</f>
        <v>41000</v>
      </c>
    </row>
    <row r="267" spans="1:5" ht="22" thickBot="1" x14ac:dyDescent="0.3">
      <c r="A267" s="65">
        <f>AVERAGE(A264:A266)</f>
        <v>47333.333333333336</v>
      </c>
      <c r="B267" s="63">
        <f>AVERAGE(B264:B266)</f>
        <v>40666.666666666664</v>
      </c>
    </row>
    <row r="268" spans="1:5" ht="16" thickBot="1" x14ac:dyDescent="0.25"/>
    <row r="269" spans="1:5" ht="21" x14ac:dyDescent="0.25">
      <c r="A269" s="46" t="s">
        <v>63</v>
      </c>
      <c r="B269" s="68"/>
      <c r="D269" s="53" t="s">
        <v>63</v>
      </c>
    </row>
    <row r="270" spans="1:5" ht="22" x14ac:dyDescent="0.25">
      <c r="A270" s="60" t="s">
        <v>34</v>
      </c>
      <c r="B270" s="50" t="s">
        <v>10</v>
      </c>
      <c r="D270" s="53" t="s">
        <v>34</v>
      </c>
      <c r="E270" s="53" t="s">
        <v>10</v>
      </c>
    </row>
    <row r="271" spans="1:5" ht="21" x14ac:dyDescent="0.25">
      <c r="A271" s="60">
        <f>'[1]MCF7 10w MonoPalbo-AltICI #3'!E306</f>
        <v>5473000</v>
      </c>
      <c r="B271" s="50">
        <f>'[1]MCF7 10w MonoPalbo-AltICI #3'!M306</f>
        <v>2750000</v>
      </c>
      <c r="D271" s="53">
        <f>A271/A262</f>
        <v>131.352</v>
      </c>
      <c r="E271" s="53">
        <f>B271/B262</f>
        <v>62.030075187969921</v>
      </c>
    </row>
    <row r="272" spans="1:5" ht="21" x14ac:dyDescent="0.25">
      <c r="A272" s="60">
        <f>'[1]MCF7 10w MonoPalbo-AltICI #3'!E307</f>
        <v>5979000</v>
      </c>
      <c r="B272" s="50">
        <f>'[1]MCF7 10w MonoPalbo-AltICI #3'!M307</f>
        <v>2511000</v>
      </c>
      <c r="D272" s="53">
        <f>A272/A262</f>
        <v>143.49600000000001</v>
      </c>
      <c r="E272" s="53">
        <f>B272/B262</f>
        <v>56.639097744360896</v>
      </c>
    </row>
    <row r="273" spans="1:5" ht="21" x14ac:dyDescent="0.25">
      <c r="A273" s="60">
        <f>'[1]MCF7 10w MonoPalbo-AltICI #3'!E308</f>
        <v>6036000</v>
      </c>
      <c r="B273" s="50">
        <f>'[1]MCF7 10w MonoPalbo-AltICI #3'!M308</f>
        <v>2559000</v>
      </c>
      <c r="D273" s="53">
        <f>A273/A262</f>
        <v>144.864</v>
      </c>
      <c r="E273" s="53">
        <f>B273/B262</f>
        <v>57.721804511278194</v>
      </c>
    </row>
    <row r="274" spans="1:5" ht="21" x14ac:dyDescent="0.25">
      <c r="B274" s="50"/>
    </row>
    <row r="275" spans="1:5" ht="154" x14ac:dyDescent="0.25">
      <c r="A275" s="59" t="s">
        <v>64</v>
      </c>
      <c r="B275" s="61" t="s">
        <v>65</v>
      </c>
      <c r="D275" s="59" t="s">
        <v>64</v>
      </c>
      <c r="E275" s="59" t="s">
        <v>65</v>
      </c>
    </row>
    <row r="276" spans="1:5" ht="21" x14ac:dyDescent="0.25">
      <c r="A276" s="60">
        <f>'[1]MCF7 10w MonoPalbo-AltICI #3'!E311</f>
        <v>2182000</v>
      </c>
      <c r="B276" s="50">
        <f>'[1]MCF7 10w MonoPalbo-AltICI #3'!M311</f>
        <v>183000</v>
      </c>
      <c r="D276" s="59">
        <f>A276/A267</f>
        <v>46.098591549295769</v>
      </c>
      <c r="E276" s="59">
        <f>B276/B267</f>
        <v>4.5</v>
      </c>
    </row>
    <row r="277" spans="1:5" ht="21" x14ac:dyDescent="0.25">
      <c r="A277" s="60">
        <f>'[1]MCF7 10w MonoPalbo-AltICI #3'!E311</f>
        <v>2182000</v>
      </c>
      <c r="B277" s="50">
        <f>'[1]MCF7 10w MonoPalbo-AltICI #3'!M312</f>
        <v>167000</v>
      </c>
      <c r="D277" s="59">
        <f>A277/A267</f>
        <v>46.098591549295769</v>
      </c>
      <c r="E277" s="59">
        <f>B277/B267</f>
        <v>4.1065573770491808</v>
      </c>
    </row>
    <row r="278" spans="1:5" ht="22" thickBot="1" x14ac:dyDescent="0.3">
      <c r="A278" s="65">
        <f>'[1]MCF7 10w MonoPalbo-AltICI #3'!E313</f>
        <v>2113000</v>
      </c>
      <c r="B278" s="63">
        <f>'[1]MCF7 10w MonoPalbo-AltICI #3'!M313</f>
        <v>185000</v>
      </c>
      <c r="D278" s="59">
        <f>A278/A267</f>
        <v>44.640845070422536</v>
      </c>
      <c r="E278" s="59">
        <f>B278/B267</f>
        <v>4.5491803278688527</v>
      </c>
    </row>
    <row r="279" spans="1:5" ht="16" thickBot="1" x14ac:dyDescent="0.25"/>
    <row r="280" spans="1:5" ht="21" x14ac:dyDescent="0.25">
      <c r="A280" s="46" t="s">
        <v>66</v>
      </c>
      <c r="B280" s="68"/>
    </row>
    <row r="281" spans="1:5" ht="22" x14ac:dyDescent="0.25">
      <c r="A281" s="60" t="s">
        <v>34</v>
      </c>
      <c r="B281" s="50" t="s">
        <v>10</v>
      </c>
    </row>
    <row r="282" spans="1:5" ht="21" x14ac:dyDescent="0.25">
      <c r="A282" s="60">
        <f>'[1]MCF7 10w MonoPalbo-AltICI #3'!E321</f>
        <v>59000</v>
      </c>
      <c r="B282" s="50">
        <f>'[1]MCF7 10w MonoPalbo-AltICI #3'!M321</f>
        <v>67000</v>
      </c>
    </row>
    <row r="283" spans="1:5" ht="21" x14ac:dyDescent="0.25">
      <c r="A283" s="60">
        <f>'[1]MCF7 10w MonoPalbo-AltICI #3'!E322</f>
        <v>70000</v>
      </c>
      <c r="B283" s="50">
        <f>'[1]MCF7 10w MonoPalbo-AltICI #3'!M322</f>
        <v>73000</v>
      </c>
    </row>
    <row r="284" spans="1:5" ht="21" x14ac:dyDescent="0.25">
      <c r="A284" s="60">
        <f>'[1]MCF7 10w MonoPalbo-AltICI #3'!E323</f>
        <v>69000</v>
      </c>
      <c r="B284" s="50">
        <f>'[1]MCF7 10w MonoPalbo-AltICI #3'!M323</f>
        <v>78000</v>
      </c>
    </row>
    <row r="285" spans="1:5" ht="21" x14ac:dyDescent="0.25">
      <c r="A285" s="60">
        <f>AVERAGE(A282:A284)</f>
        <v>66000</v>
      </c>
      <c r="B285" s="50">
        <f>AVERAGE(B282:B284)</f>
        <v>72666.666666666672</v>
      </c>
    </row>
    <row r="286" spans="1:5" ht="154" x14ac:dyDescent="0.25">
      <c r="A286" s="59" t="s">
        <v>64</v>
      </c>
      <c r="B286" s="61" t="s">
        <v>65</v>
      </c>
    </row>
    <row r="287" spans="1:5" ht="21" x14ac:dyDescent="0.25">
      <c r="A287" s="60">
        <f>'[1]MCF7 10w MonoPalbo-AltICI #3'!E326</f>
        <v>58000</v>
      </c>
      <c r="B287" s="50">
        <f>'[1]MCF7 10w MonoPalbo-AltICI #3'!M326</f>
        <v>58000</v>
      </c>
    </row>
    <row r="288" spans="1:5" ht="21" x14ac:dyDescent="0.25">
      <c r="A288" s="60">
        <f>'[1]MCF7 10w MonoPalbo-AltICI #3'!E327</f>
        <v>63000</v>
      </c>
      <c r="B288" s="50">
        <f>'[1]MCF7 10w MonoPalbo-AltICI #3'!M327</f>
        <v>60000</v>
      </c>
    </row>
    <row r="289" spans="1:5" ht="21" x14ac:dyDescent="0.25">
      <c r="A289" s="59">
        <f>'[1]MCF7 10w MonoPalbo-AltICI #3'!E328</f>
        <v>73000</v>
      </c>
      <c r="B289" s="50">
        <f>'[1]MCF7 10w MonoPalbo-AltICI #3'!M328</f>
        <v>62000</v>
      </c>
    </row>
    <row r="290" spans="1:5" ht="22" thickBot="1" x14ac:dyDescent="0.3">
      <c r="A290" s="65">
        <f>AVERAGE(A287:A289)</f>
        <v>64666.666666666664</v>
      </c>
      <c r="B290" s="63">
        <f>AVERAGE(B287:B289)</f>
        <v>60000</v>
      </c>
    </row>
    <row r="291" spans="1:5" ht="21" x14ac:dyDescent="0.25">
      <c r="A291" s="59"/>
    </row>
    <row r="292" spans="1:5" ht="16" thickBot="1" x14ac:dyDescent="0.25"/>
    <row r="293" spans="1:5" ht="21" x14ac:dyDescent="0.25">
      <c r="A293" s="46" t="s">
        <v>67</v>
      </c>
      <c r="B293" s="68"/>
      <c r="D293" s="53" t="s">
        <v>67</v>
      </c>
    </row>
    <row r="294" spans="1:5" ht="22" x14ac:dyDescent="0.25">
      <c r="A294" s="60" t="s">
        <v>34</v>
      </c>
      <c r="B294" s="50" t="s">
        <v>10</v>
      </c>
      <c r="D294" s="53" t="s">
        <v>34</v>
      </c>
      <c r="E294" s="53" t="s">
        <v>10</v>
      </c>
    </row>
    <row r="295" spans="1:5" ht="21" x14ac:dyDescent="0.25">
      <c r="A295" s="60">
        <f>'[1]MCF7 10w MonoPalbo-AltICI #3'!E333</f>
        <v>5544000</v>
      </c>
      <c r="B295" s="50">
        <f>'[1]MCF7 10w MonoPalbo-AltICI #3'!M333</f>
        <v>2560000</v>
      </c>
      <c r="D295" s="53">
        <f>A295/A285</f>
        <v>84</v>
      </c>
      <c r="E295" s="53">
        <f>B295/[1]Sheet1!B264</f>
        <v>35.229357798165132</v>
      </c>
    </row>
    <row r="296" spans="1:5" ht="21" x14ac:dyDescent="0.25">
      <c r="A296" s="60">
        <f>'[1]MCF7 10w MonoPalbo-AltICI #3'!E334</f>
        <v>4958000</v>
      </c>
      <c r="B296" s="50">
        <f>'[1]MCF7 10w MonoPalbo-AltICI #3'!M334</f>
        <v>2437000</v>
      </c>
      <c r="D296" s="53">
        <f>A296/A285</f>
        <v>75.121212121212125</v>
      </c>
      <c r="E296" s="53">
        <f>B296/B285</f>
        <v>33.536697247706421</v>
      </c>
    </row>
    <row r="297" spans="1:5" ht="21" x14ac:dyDescent="0.25">
      <c r="A297" s="60">
        <f>'[1]MCF7 10w MonoPalbo-AltICI #3'!E335</f>
        <v>4983000</v>
      </c>
      <c r="B297" s="50">
        <f>'[1]MCF7 10w MonoPalbo-AltICI #3'!M335</f>
        <v>2553000</v>
      </c>
      <c r="D297" s="53">
        <f>A297/A285</f>
        <v>75.5</v>
      </c>
      <c r="E297" s="53">
        <f>B297/B285</f>
        <v>35.133027522935777</v>
      </c>
    </row>
    <row r="298" spans="1:5" ht="21" x14ac:dyDescent="0.25">
      <c r="B298" s="50"/>
    </row>
    <row r="299" spans="1:5" ht="154" x14ac:dyDescent="0.25">
      <c r="A299" s="59" t="s">
        <v>68</v>
      </c>
      <c r="B299" s="61" t="s">
        <v>69</v>
      </c>
      <c r="D299" s="59" t="s">
        <v>68</v>
      </c>
      <c r="E299" s="59" t="s">
        <v>69</v>
      </c>
    </row>
    <row r="300" spans="1:5" ht="21" x14ac:dyDescent="0.25">
      <c r="A300" s="60">
        <f>'[1]MCF7 10w MonoPalbo-AltICI #3'!E338</f>
        <v>2534000</v>
      </c>
      <c r="B300" s="50">
        <f>'[1]MCF7 10w MonoPalbo-AltICI #3'!M338</f>
        <v>344000</v>
      </c>
      <c r="D300" s="53">
        <f>A300/A290</f>
        <v>39.185567010309278</v>
      </c>
      <c r="E300" s="53">
        <f>B300/B290</f>
        <v>5.7333333333333334</v>
      </c>
    </row>
    <row r="301" spans="1:5" ht="21" x14ac:dyDescent="0.25">
      <c r="A301" s="60">
        <f>'[1]MCF7 10w MonoPalbo-AltICI #3'!E339</f>
        <v>2712000</v>
      </c>
      <c r="B301" s="50">
        <f>'[1]MCF7 10w MonoPalbo-AltICI #3'!M339</f>
        <v>420000</v>
      </c>
      <c r="D301" s="53">
        <f>A301/A290</f>
        <v>41.938144329896907</v>
      </c>
      <c r="E301" s="53">
        <f>B301/B290</f>
        <v>7</v>
      </c>
    </row>
    <row r="302" spans="1:5" ht="22" thickBot="1" x14ac:dyDescent="0.3">
      <c r="A302" s="65">
        <f>'[1]MCF7 10w MonoPalbo-AltICI #3'!E340</f>
        <v>2540000</v>
      </c>
      <c r="B302" s="63">
        <f>'[1]MCF7 10w MonoPalbo-AltICI #3'!M340</f>
        <v>299000</v>
      </c>
      <c r="D302" s="53">
        <f>A302/A290</f>
        <v>39.27835051546392</v>
      </c>
      <c r="E302" s="53">
        <f>B302/B290</f>
        <v>4.9833333333333334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ddema</dc:creator>
  <cp:lastModifiedBy>Microsoft Office User</cp:lastModifiedBy>
  <dcterms:created xsi:type="dcterms:W3CDTF">2023-06-14T15:05:03Z</dcterms:created>
  <dcterms:modified xsi:type="dcterms:W3CDTF">2025-08-05T20:40:05Z</dcterms:modified>
</cp:coreProperties>
</file>